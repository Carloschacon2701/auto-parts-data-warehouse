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'LISTA'!$A$1:$J$4129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3" fillId="0" borderId="0" pivotButton="0" quotePrefix="0" xfId="0"/>
    <xf numFmtId="9" fontId="3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6" customWidth="1" min="3" max="3"/>
    <col width="12" customWidth="1" min="4" max="4"/>
    <col width="11" customWidth="1" min="5" max="5"/>
    <col width="9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CODIGO</t>
        </is>
      </c>
      <c r="B1" s="1" t="inlineStr">
        <is>
          <t>NRO ORIGINAL</t>
        </is>
      </c>
      <c r="C1" s="1" t="inlineStr">
        <is>
          <t>DESCRIPCION</t>
        </is>
      </c>
      <c r="D1" s="1" t="inlineStr">
        <is>
          <t>MARCA</t>
        </is>
      </c>
      <c r="E1" s="1" t="inlineStr">
        <is>
          <t>COSTO USD</t>
        </is>
      </c>
      <c r="F1" s="1" t="inlineStr">
        <is>
          <t>MARGEN</t>
        </is>
      </c>
      <c r="G1" s="1" t="inlineStr">
        <is>
          <t>PRECIO VENTA USD</t>
        </is>
      </c>
      <c r="H1" s="1" t="inlineStr">
        <is>
          <t>PRECIO VENTA BS</t>
        </is>
      </c>
      <c r="I1" s="1" t="inlineStr">
        <is>
          <t>PRECIO VENTA COP</t>
        </is>
      </c>
      <c r="J1" s="1" t="inlineStr">
        <is>
          <t>CANTIDAD_TOTAL</t>
        </is>
      </c>
    </row>
    <row r="2">
      <c r="A2" s="2" t="inlineStr">
        <is>
          <t>SK1301A</t>
        </is>
      </c>
      <c r="B2" s="2" t="inlineStr"/>
      <c r="C2" s="2" t="inlineStr">
        <is>
          <t>ABRAZADERA BARRA ESTABILIZADORA R-18/FUEGO</t>
        </is>
      </c>
      <c r="D2" s="2" t="inlineStr"/>
      <c r="E2" s="3" t="n">
        <v>1.75</v>
      </c>
      <c r="F2" s="4" t="n">
        <v>0.3</v>
      </c>
      <c r="G2" s="5">
        <f>ROUND(E2*(1+F2),2)</f>
        <v>2.28</v>
      </c>
      <c r="H2" s="5">
        <f>ROUND(G2*NOTAS!$B$2,2)</f>
        <v>1644.67</v>
      </c>
      <c r="I2" s="6">
        <f>ROUND(G2*NOTAS!$B$3,0)</f>
        <v>7407</v>
      </c>
      <c r="J2" s="2" t="n">
        <v>1</v>
      </c>
    </row>
    <row r="3">
      <c r="A3" s="2" t="inlineStr">
        <is>
          <t>06-5A-14467</t>
        </is>
      </c>
      <c r="B3" s="2" t="inlineStr"/>
      <c r="C3" s="2" t="inlineStr">
        <is>
          <t>ABRAZADERA BARRA ESTABILIZADORA R-18/FUEGO</t>
        </is>
      </c>
      <c r="D3" s="2" t="inlineStr">
        <is>
          <t>SANFOR</t>
        </is>
      </c>
      <c r="E3" s="3" t="n">
        <v>1.75</v>
      </c>
      <c r="F3" s="4" t="n">
        <v>0.3</v>
      </c>
      <c r="G3" s="5">
        <f>ROUND(E3*(1+F3),2)</f>
        <v>2.28</v>
      </c>
      <c r="H3" s="5">
        <f>ROUND(G3*NOTAS!$B$2,2)</f>
        <v>1644.67</v>
      </c>
      <c r="I3" s="6">
        <f>ROUND(G3*NOTAS!$B$3,0)</f>
        <v>7407</v>
      </c>
      <c r="J3" s="2" t="n">
        <v>1</v>
      </c>
    </row>
    <row r="4">
      <c r="A4" s="2" t="inlineStr"/>
      <c r="B4" s="2" t="inlineStr"/>
      <c r="C4" s="2" t="inlineStr">
        <is>
          <t>ABRAZADERA CENTRAL BARRA ESTABILIZADORA R-11/19</t>
        </is>
      </c>
      <c r="D4" s="2" t="inlineStr"/>
      <c r="E4" s="3" t="n">
        <v>1.75</v>
      </c>
      <c r="F4" s="4" t="n">
        <v>0.3</v>
      </c>
      <c r="G4" s="5">
        <f>ROUND(E4*(1+F4),2)</f>
        <v>2.28</v>
      </c>
      <c r="H4" s="5">
        <f>ROUND(G4*NOTAS!$B$2,2)</f>
        <v>1644.67</v>
      </c>
      <c r="I4" s="6">
        <f>ROUND(G4*NOTAS!$B$3,0)</f>
        <v>7407</v>
      </c>
      <c r="J4" s="2" t="n">
        <v>4</v>
      </c>
    </row>
    <row r="5">
      <c r="A5" s="2" t="inlineStr">
        <is>
          <t>12479</t>
        </is>
      </c>
      <c r="B5" s="2" t="inlineStr"/>
      <c r="C5" s="2" t="inlineStr">
        <is>
          <t>ABRAZADERA PUNTA BARRA ESTABILIZADORA R-11/19</t>
        </is>
      </c>
      <c r="D5" s="2" t="inlineStr"/>
      <c r="E5" s="3" t="n">
        <v>1.75</v>
      </c>
      <c r="F5" s="4" t="n">
        <v>0.3</v>
      </c>
      <c r="G5" s="5">
        <f>ROUND(E5*(1+F5),2)</f>
        <v>2.28</v>
      </c>
      <c r="H5" s="5">
        <f>ROUND(G5*NOTAS!$B$2,2)</f>
        <v>1644.67</v>
      </c>
      <c r="I5" s="6">
        <f>ROUND(G5*NOTAS!$B$3,0)</f>
        <v>7407</v>
      </c>
      <c r="J5" s="2" t="n">
        <v>3</v>
      </c>
    </row>
    <row r="6">
      <c r="A6" s="2" t="inlineStr">
        <is>
          <t>SAE 25W-60</t>
        </is>
      </c>
      <c r="B6" s="2" t="inlineStr"/>
      <c r="C6" s="2" t="inlineStr">
        <is>
          <t>ACEITE CASTROL GTX</t>
        </is>
      </c>
      <c r="D6" s="2" t="inlineStr">
        <is>
          <t>CASTROL</t>
        </is>
      </c>
      <c r="E6" s="3" t="n">
        <v>14.6154</v>
      </c>
      <c r="F6" s="4" t="n">
        <v>0.3</v>
      </c>
      <c r="G6" s="5">
        <f>ROUND(E6*(1+F6),2)</f>
        <v>19.00</v>
      </c>
      <c r="H6" s="5">
        <f>ROUND(G6*NOTAS!$B$2,2)</f>
        <v>13705.57</v>
      </c>
      <c r="I6" s="6">
        <f>ROUND(G6*NOTAS!$B$3,0)</f>
        <v>61729</v>
      </c>
      <c r="J6" s="2" t="n">
        <v>18</v>
      </c>
    </row>
    <row r="7">
      <c r="A7" s="2" t="inlineStr"/>
      <c r="B7" s="2" t="inlineStr"/>
      <c r="C7" s="2" t="inlineStr">
        <is>
          <t>ACOPLE CAJA DIRECCION CIELO</t>
        </is>
      </c>
      <c r="D7" s="2" t="inlineStr">
        <is>
          <t>KOREA</t>
        </is>
      </c>
      <c r="E7" s="3" t="n">
        <v>9.615399999999999</v>
      </c>
      <c r="F7" s="4" t="n">
        <v>0.3</v>
      </c>
      <c r="G7" s="5">
        <f>ROUND(E7*(1+F7),2)</f>
        <v>12.50</v>
      </c>
      <c r="H7" s="5">
        <f>ROUND(G7*NOTAS!$B$2,2)</f>
        <v>9016.82</v>
      </c>
      <c r="I7" s="6">
        <f>ROUND(G7*NOTAS!$B$3,0)</f>
        <v>40611</v>
      </c>
      <c r="J7" s="2" t="n">
        <v>4</v>
      </c>
    </row>
    <row r="8">
      <c r="A8" s="2" t="inlineStr"/>
      <c r="B8" s="2" t="inlineStr"/>
      <c r="C8" s="2" t="inlineStr">
        <is>
          <t>ACOPLE CAJA DIRECCION R-12</t>
        </is>
      </c>
      <c r="D8" s="2" t="inlineStr">
        <is>
          <t>SANFOR</t>
        </is>
      </c>
      <c r="E8" s="3" t="n">
        <v>10</v>
      </c>
      <c r="F8" s="4" t="n">
        <v>0.3</v>
      </c>
      <c r="G8" s="5">
        <f>ROUND(E8*(1+F8),2)</f>
        <v>13.00</v>
      </c>
      <c r="H8" s="5">
        <f>ROUND(G8*NOTAS!$B$2,2)</f>
        <v>9377.49</v>
      </c>
      <c r="I8" s="6">
        <f>ROUND(G8*NOTAS!$B$3,0)</f>
        <v>42235</v>
      </c>
      <c r="J8" s="2" t="n">
        <v>3</v>
      </c>
    </row>
    <row r="9">
      <c r="A9" s="2" t="inlineStr"/>
      <c r="B9" s="2" t="inlineStr"/>
      <c r="C9" s="2" t="inlineStr">
        <is>
          <t>ALFOMBRAS NEGRA CHEVROLET</t>
        </is>
      </c>
      <c r="D9" s="2" t="inlineStr">
        <is>
          <t>ZEGA</t>
        </is>
      </c>
      <c r="E9" s="3" t="n">
        <v>47.6923</v>
      </c>
      <c r="F9" s="4" t="n">
        <v>0.3</v>
      </c>
      <c r="G9" s="5">
        <f>ROUND(E9*(1+F9),2)</f>
        <v>62.00</v>
      </c>
      <c r="H9" s="5">
        <f>ROUND(G9*NOTAS!$B$2,2)</f>
        <v>44723.43</v>
      </c>
      <c r="I9" s="6">
        <f>ROUND(G9*NOTAS!$B$3,0)</f>
        <v>201430</v>
      </c>
      <c r="J9" s="2" t="n">
        <v>1</v>
      </c>
    </row>
    <row r="10">
      <c r="A10" s="2" t="inlineStr"/>
      <c r="B10" s="2" t="inlineStr"/>
      <c r="C10" s="2" t="inlineStr">
        <is>
          <t>ALFOMBRAS NEGRA FIAT</t>
        </is>
      </c>
      <c r="D10" s="2" t="inlineStr">
        <is>
          <t>ZEGA</t>
        </is>
      </c>
      <c r="E10" s="3" t="n">
        <v>47.6923</v>
      </c>
      <c r="F10" s="4" t="n">
        <v>0.3</v>
      </c>
      <c r="G10" s="5">
        <f>ROUND(E10*(1+F10),2)</f>
        <v>62.00</v>
      </c>
      <c r="H10" s="5">
        <f>ROUND(G10*NOTAS!$B$2,2)</f>
        <v>44723.43</v>
      </c>
      <c r="I10" s="6">
        <f>ROUND(G10*NOTAS!$B$3,0)</f>
        <v>201430</v>
      </c>
      <c r="J10" s="2" t="n">
        <v>1</v>
      </c>
    </row>
    <row r="11">
      <c r="A11" s="2" t="inlineStr"/>
      <c r="B11" s="2" t="inlineStr"/>
      <c r="C11" s="2" t="inlineStr">
        <is>
          <t>ALFOMBRAS NEGRA FORD</t>
        </is>
      </c>
      <c r="D11" s="2" t="inlineStr">
        <is>
          <t>ZEGA</t>
        </is>
      </c>
      <c r="E11" s="3" t="n">
        <v>46.1538</v>
      </c>
      <c r="F11" s="4" t="n">
        <v>0.3</v>
      </c>
      <c r="G11" s="5">
        <f>ROUND(E11*(1+F11),2)</f>
        <v>60.00</v>
      </c>
      <c r="H11" s="5">
        <f>ROUND(G11*NOTAS!$B$2,2)</f>
        <v>43280.74</v>
      </c>
      <c r="I11" s="6">
        <f>ROUND(G11*NOTAS!$B$3,0)</f>
        <v>194932</v>
      </c>
      <c r="J11" s="2" t="n">
        <v>2</v>
      </c>
    </row>
    <row r="12">
      <c r="A12" s="2" t="inlineStr">
        <is>
          <t>96314258</t>
        </is>
      </c>
      <c r="B12" s="2" t="inlineStr"/>
      <c r="C12" s="2" t="inlineStr">
        <is>
          <t>ALTERNADOR MATIZ POLEA SIMPLE EN V</t>
        </is>
      </c>
      <c r="D12" s="2" t="inlineStr">
        <is>
          <t>MIRE</t>
        </is>
      </c>
      <c r="E12" s="3" t="n">
        <v>57.6923</v>
      </c>
      <c r="F12" s="4" t="n">
        <v>0.3</v>
      </c>
      <c r="G12" s="5">
        <f>ROUND(E12*(1+F12),2)</f>
        <v>75.00</v>
      </c>
      <c r="H12" s="5">
        <f>ROUND(G12*NOTAS!$B$2,2)</f>
        <v>54100.92</v>
      </c>
      <c r="I12" s="6">
        <f>ROUND(G12*NOTAS!$B$3,0)</f>
        <v>243665</v>
      </c>
      <c r="J12" s="2" t="n">
        <v>1</v>
      </c>
    </row>
    <row r="13">
      <c r="A13" s="2" t="inlineStr">
        <is>
          <t>GP30064..Y</t>
        </is>
      </c>
      <c r="B13" s="2" t="inlineStr"/>
      <c r="C13" s="2" t="inlineStr">
        <is>
          <t>AMORTIGUADOR DELANTERO CORSA</t>
        </is>
      </c>
      <c r="D13" s="2" t="inlineStr">
        <is>
          <t>COFAP</t>
        </is>
      </c>
      <c r="E13" s="3" t="n">
        <v>25</v>
      </c>
      <c r="F13" s="4" t="n">
        <v>0.3</v>
      </c>
      <c r="G13" s="5">
        <f>ROUND(E13*(1+F13),2)</f>
        <v>32.50</v>
      </c>
      <c r="H13" s="5">
        <f>ROUND(G13*NOTAS!$B$2,2)</f>
        <v>23443.73</v>
      </c>
      <c r="I13" s="6">
        <f>ROUND(G13*NOTAS!$B$3,0)</f>
        <v>105588</v>
      </c>
      <c r="J13" s="2" t="n">
        <v>1</v>
      </c>
    </row>
    <row r="14">
      <c r="A14" s="2" t="inlineStr">
        <is>
          <t>MP8148</t>
        </is>
      </c>
      <c r="B14" s="2" t="inlineStr"/>
      <c r="C14" s="2" t="inlineStr">
        <is>
          <t>AMORTIGUADOR DELANTERO CORSA</t>
        </is>
      </c>
      <c r="D14" s="2" t="inlineStr">
        <is>
          <t>BOGE</t>
        </is>
      </c>
      <c r="E14" s="3" t="n">
        <v>25</v>
      </c>
      <c r="F14" s="4" t="n">
        <v>0.3</v>
      </c>
      <c r="G14" s="5">
        <f>ROUND(E14*(1+F14),2)</f>
        <v>32.50</v>
      </c>
      <c r="H14" s="5">
        <f>ROUND(G14*NOTAS!$B$2,2)</f>
        <v>23443.73</v>
      </c>
      <c r="I14" s="6">
        <f>ROUND(G14*NOTAS!$B$3,0)</f>
        <v>105588</v>
      </c>
      <c r="J14" s="2" t="n">
        <v>4</v>
      </c>
    </row>
    <row r="15">
      <c r="A15" s="2" t="inlineStr">
        <is>
          <t>MP8297</t>
        </is>
      </c>
      <c r="B15" s="2" t="inlineStr"/>
      <c r="C15" s="2" t="inlineStr">
        <is>
          <t>AMORTIGUADOR DELANTERO ECOSPORT</t>
        </is>
      </c>
      <c r="D15" s="2" t="inlineStr">
        <is>
          <t>BOGE</t>
        </is>
      </c>
      <c r="E15" s="3" t="n">
        <v>25</v>
      </c>
      <c r="F15" s="4" t="n">
        <v>0.3</v>
      </c>
      <c r="G15" s="5">
        <f>ROUND(E15*(1+F15),2)</f>
        <v>32.50</v>
      </c>
      <c r="H15" s="5">
        <f>ROUND(G15*NOTAS!$B$2,2)</f>
        <v>23443.73</v>
      </c>
      <c r="I15" s="6">
        <f>ROUND(G15*NOTAS!$B$3,0)</f>
        <v>105588</v>
      </c>
      <c r="J15" s="2" t="n">
        <v>1</v>
      </c>
    </row>
    <row r="16">
      <c r="A16" s="2" t="inlineStr">
        <is>
          <t>4337G</t>
        </is>
      </c>
      <c r="B16" s="2" t="inlineStr"/>
      <c r="C16" s="2" t="inlineStr">
        <is>
          <t>AMORTIGUADOR DELANTERO R-TWINGO</t>
        </is>
      </c>
      <c r="D16" s="2" t="inlineStr">
        <is>
          <t>SACHS</t>
        </is>
      </c>
      <c r="E16" s="3" t="n">
        <v>25</v>
      </c>
      <c r="F16" s="4" t="n">
        <v>0.3</v>
      </c>
      <c r="G16" s="5">
        <f>ROUND(E16*(1+F16),2)</f>
        <v>32.50</v>
      </c>
      <c r="H16" s="5">
        <f>ROUND(G16*NOTAS!$B$2,2)</f>
        <v>23443.73</v>
      </c>
      <c r="I16" s="6">
        <f>ROUND(G16*NOTAS!$B$3,0)</f>
        <v>105588</v>
      </c>
      <c r="J16" s="2" t="n">
        <v>1</v>
      </c>
    </row>
    <row r="17">
      <c r="A17" s="2" t="inlineStr">
        <is>
          <t>902112</t>
        </is>
      </c>
      <c r="B17" s="2" t="inlineStr">
        <is>
          <t>2S65A406A10AE</t>
        </is>
      </c>
      <c r="C17" s="2" t="inlineStr">
        <is>
          <t>AMORTIGUADOR MALETA FIESTA 04/13</t>
        </is>
      </c>
      <c r="D17" s="2" t="inlineStr">
        <is>
          <t>FORD</t>
        </is>
      </c>
      <c r="E17" s="3" t="n">
        <v>15</v>
      </c>
      <c r="F17" s="4" t="n">
        <v>0.3</v>
      </c>
      <c r="G17" s="5">
        <f>ROUND(E17*(1+F17),2)</f>
        <v>19.50</v>
      </c>
      <c r="H17" s="5">
        <f>ROUND(G17*NOTAS!$B$2,2)</f>
        <v>14066.24</v>
      </c>
      <c r="I17" s="6">
        <f>ROUND(G17*NOTAS!$B$3,0)</f>
        <v>63353</v>
      </c>
      <c r="J17" s="2" t="n">
        <v>2</v>
      </c>
    </row>
    <row r="18">
      <c r="A18" s="2" t="inlineStr">
        <is>
          <t>DR.16030 C.Y</t>
        </is>
      </c>
      <c r="B18" s="2" t="inlineStr"/>
      <c r="C18" s="2" t="inlineStr">
        <is>
          <t>AMORTIGUADOR MALETA F-UNO</t>
        </is>
      </c>
      <c r="D18" s="2" t="inlineStr">
        <is>
          <t>COFAP</t>
        </is>
      </c>
      <c r="E18" s="3" t="n">
        <v>10</v>
      </c>
      <c r="F18" s="4" t="n">
        <v>0.3</v>
      </c>
      <c r="G18" s="5">
        <f>ROUND(E18*(1+F18),2)</f>
        <v>13.00</v>
      </c>
      <c r="H18" s="5">
        <f>ROUND(G18*NOTAS!$B$2,2)</f>
        <v>9377.49</v>
      </c>
      <c r="I18" s="6">
        <f>ROUND(G18*NOTAS!$B$3,0)</f>
        <v>42235</v>
      </c>
      <c r="J18" s="2" t="n">
        <v>10</v>
      </c>
    </row>
    <row r="19">
      <c r="A19" s="2" t="inlineStr">
        <is>
          <t>GB47798..Y</t>
        </is>
      </c>
      <c r="B19" s="2" t="inlineStr"/>
      <c r="C19" s="2" t="inlineStr">
        <is>
          <t>AMORTIGUADOR TRASERO CORSA</t>
        </is>
      </c>
      <c r="D19" s="2" t="inlineStr">
        <is>
          <t>COFAP</t>
        </is>
      </c>
      <c r="E19" s="3" t="n">
        <v>15</v>
      </c>
      <c r="F19" s="4" t="n">
        <v>0.3</v>
      </c>
      <c r="G19" s="5">
        <f>ROUND(E19*(1+F19),2)</f>
        <v>19.50</v>
      </c>
      <c r="H19" s="5">
        <f>ROUND(G19*NOTAS!$B$2,2)</f>
        <v>14066.24</v>
      </c>
      <c r="I19" s="6">
        <f>ROUND(G19*NOTAS!$B$3,0)</f>
        <v>63353</v>
      </c>
      <c r="J19" s="2" t="n">
        <v>5</v>
      </c>
    </row>
    <row r="20">
      <c r="A20" s="2" t="inlineStr">
        <is>
          <t>832387</t>
        </is>
      </c>
      <c r="B20" s="2" t="inlineStr"/>
      <c r="C20" s="2" t="inlineStr">
        <is>
          <t>AMORTIGUADOR TRASERO ECOSPORT</t>
        </is>
      </c>
      <c r="D20" s="2" t="inlineStr">
        <is>
          <t>BOGE</t>
        </is>
      </c>
      <c r="E20" s="3" t="n">
        <v>15</v>
      </c>
      <c r="F20" s="4" t="n">
        <v>0.3</v>
      </c>
      <c r="G20" s="5">
        <f>ROUND(E20*(1+F20),2)</f>
        <v>19.50</v>
      </c>
      <c r="H20" s="5">
        <f>ROUND(G20*NOTAS!$B$2,2)</f>
        <v>14066.24</v>
      </c>
      <c r="I20" s="6">
        <f>ROUND(G20*NOTAS!$B$3,0)</f>
        <v>63353</v>
      </c>
      <c r="J20" s="2" t="n">
        <v>6</v>
      </c>
    </row>
    <row r="21">
      <c r="A21" s="2" t="inlineStr">
        <is>
          <t>832386</t>
        </is>
      </c>
      <c r="B21" s="2" t="inlineStr"/>
      <c r="C21" s="2" t="inlineStr">
        <is>
          <t>AMORTIGUADOR TRASERO FIESTA 04/13</t>
        </is>
      </c>
      <c r="D21" s="2" t="inlineStr">
        <is>
          <t>BOGE</t>
        </is>
      </c>
      <c r="E21" s="3" t="n">
        <v>15</v>
      </c>
      <c r="F21" s="4" t="n">
        <v>0.3</v>
      </c>
      <c r="G21" s="5">
        <f>ROUND(E21*(1+F21),2)</f>
        <v>19.50</v>
      </c>
      <c r="H21" s="5">
        <f>ROUND(G21*NOTAS!$B$2,2)</f>
        <v>14066.24</v>
      </c>
      <c r="I21" s="6">
        <f>ROUND(G21*NOTAS!$B$3,0)</f>
        <v>63353</v>
      </c>
      <c r="J21" s="2" t="n">
        <v>2</v>
      </c>
    </row>
    <row r="22">
      <c r="A22" s="2" t="inlineStr">
        <is>
          <t>93740225 STD</t>
        </is>
      </c>
      <c r="B22" s="2" t="inlineStr"/>
      <c r="C22" s="2" t="inlineStr">
        <is>
          <t>ANILLOS MOTOR AVEO 1.6 STD</t>
        </is>
      </c>
      <c r="D22" s="2" t="inlineStr">
        <is>
          <t>DAEWOO</t>
        </is>
      </c>
      <c r="E22" s="3" t="n">
        <v>20</v>
      </c>
      <c r="F22" s="4" t="n">
        <v>0.3</v>
      </c>
      <c r="G22" s="5">
        <f>ROUND(E22*(1+F22),2)</f>
        <v>26.00</v>
      </c>
      <c r="H22" s="5">
        <f>ROUND(G22*NOTAS!$B$2,2)</f>
        <v>18754.99</v>
      </c>
      <c r="I22" s="6">
        <f>ROUND(G22*NOTAS!$B$3,0)</f>
        <v>84471</v>
      </c>
      <c r="J22" s="2" t="n">
        <v>1</v>
      </c>
    </row>
    <row r="23">
      <c r="A23" s="2" t="inlineStr">
        <is>
          <t>DA.6689 050</t>
        </is>
      </c>
      <c r="B23" s="2" t="inlineStr"/>
      <c r="C23" s="2" t="inlineStr">
        <is>
          <t>ANILLOS MOTOR CHEVETTE 1.6 81,98MM 050 F/F</t>
        </is>
      </c>
      <c r="D23" s="2" t="inlineStr">
        <is>
          <t>COFAP</t>
        </is>
      </c>
      <c r="E23" s="3" t="n">
        <v>20</v>
      </c>
      <c r="F23" s="4" t="n">
        <v>0.3</v>
      </c>
      <c r="G23" s="5">
        <f>ROUND(E23*(1+F23),2)</f>
        <v>26.00</v>
      </c>
      <c r="H23" s="5">
        <f>ROUND(G23*NOTAS!$B$2,2)</f>
        <v>18754.99</v>
      </c>
      <c r="I23" s="6">
        <f>ROUND(G23*NOTAS!$B$3,0)</f>
        <v>84471</v>
      </c>
      <c r="J23" s="2" t="n">
        <v>3</v>
      </c>
    </row>
    <row r="24">
      <c r="A24" s="2" t="inlineStr">
        <is>
          <t>DA.6404 050</t>
        </is>
      </c>
      <c r="B24" s="2" t="inlineStr"/>
      <c r="C24" s="2" t="inlineStr">
        <is>
          <t>ANILLOS MOTOR CHEVETTE 1.6 81,98MM 050 F/G</t>
        </is>
      </c>
      <c r="D24" s="2" t="inlineStr">
        <is>
          <t>COFAP</t>
        </is>
      </c>
      <c r="E24" s="3" t="n">
        <v>20</v>
      </c>
      <c r="F24" s="4" t="n">
        <v>0.3</v>
      </c>
      <c r="G24" s="5">
        <f>ROUND(E24*(1+F24),2)</f>
        <v>26.00</v>
      </c>
      <c r="H24" s="5">
        <f>ROUND(G24*NOTAS!$B$2,2)</f>
        <v>18754.99</v>
      </c>
      <c r="I24" s="6">
        <f>ROUND(G24*NOTAS!$B$3,0)</f>
        <v>84471</v>
      </c>
      <c r="J24" s="2" t="n">
        <v>10</v>
      </c>
    </row>
    <row r="25">
      <c r="A25" s="2" t="inlineStr">
        <is>
          <t>DA.6404 075</t>
        </is>
      </c>
      <c r="B25" s="2" t="inlineStr"/>
      <c r="C25" s="2" t="inlineStr">
        <is>
          <t>ANILLOS MOTOR CHEVETTE 1.6 81,98MM 075 F/G</t>
        </is>
      </c>
      <c r="D25" s="2" t="inlineStr">
        <is>
          <t>COFAP</t>
        </is>
      </c>
      <c r="E25" s="3" t="n">
        <v>20</v>
      </c>
      <c r="F25" s="4" t="n">
        <v>0.3</v>
      </c>
      <c r="G25" s="5">
        <f>ROUND(E25*(1+F25),2)</f>
        <v>26.00</v>
      </c>
      <c r="H25" s="5">
        <f>ROUND(G25*NOTAS!$B$2,2)</f>
        <v>18754.99</v>
      </c>
      <c r="I25" s="6">
        <f>ROUND(G25*NOTAS!$B$3,0)</f>
        <v>84471</v>
      </c>
      <c r="J25" s="2" t="n">
        <v>8</v>
      </c>
    </row>
    <row r="26">
      <c r="A26" s="2" t="inlineStr">
        <is>
          <t>DA.6689 100</t>
        </is>
      </c>
      <c r="B26" s="2" t="inlineStr"/>
      <c r="C26" s="2" t="inlineStr">
        <is>
          <t xml:space="preserve">ANILLOS MOTOR CHEVETTE 1.6 81,98MM 100 F/F </t>
        </is>
      </c>
      <c r="D26" s="2" t="inlineStr">
        <is>
          <t>COFAP</t>
        </is>
      </c>
      <c r="E26" s="3" t="n">
        <v>20</v>
      </c>
      <c r="F26" s="4" t="n">
        <v>0.3</v>
      </c>
      <c r="G26" s="5">
        <f>ROUND(E26*(1+F26),2)</f>
        <v>26.00</v>
      </c>
      <c r="H26" s="5">
        <f>ROUND(G26*NOTAS!$B$2,2)</f>
        <v>18754.99</v>
      </c>
      <c r="I26" s="6">
        <f>ROUND(G26*NOTAS!$B$3,0)</f>
        <v>84471</v>
      </c>
      <c r="J26" s="2" t="n">
        <v>1</v>
      </c>
    </row>
    <row r="27">
      <c r="A27" s="2" t="inlineStr">
        <is>
          <t>DA.6404 100</t>
        </is>
      </c>
      <c r="B27" s="2" t="inlineStr"/>
      <c r="C27" s="2" t="inlineStr">
        <is>
          <t>ANILLOS MOTOR CHEVETTE 1.6 81,98MM 100 F/G</t>
        </is>
      </c>
      <c r="D27" s="2" t="inlineStr">
        <is>
          <t>COFAP</t>
        </is>
      </c>
      <c r="E27" s="3" t="n">
        <v>20</v>
      </c>
      <c r="F27" s="4" t="n">
        <v>0.3</v>
      </c>
      <c r="G27" s="5">
        <f>ROUND(E27*(1+F27),2)</f>
        <v>26.00</v>
      </c>
      <c r="H27" s="5">
        <f>ROUND(G27*NOTAS!$B$2,2)</f>
        <v>18754.99</v>
      </c>
      <c r="I27" s="6">
        <f>ROUND(G27*NOTAS!$B$3,0)</f>
        <v>84471</v>
      </c>
      <c r="J27" s="2" t="n">
        <v>3</v>
      </c>
    </row>
    <row r="28">
      <c r="A28" s="2" t="inlineStr">
        <is>
          <t>DA.6404 STD</t>
        </is>
      </c>
      <c r="B28" s="2" t="inlineStr"/>
      <c r="C28" s="2" t="inlineStr">
        <is>
          <t>ANILLOS MOTOR CHEVETTE 1.6 81,98MM STD F/G</t>
        </is>
      </c>
      <c r="D28" s="2" t="inlineStr">
        <is>
          <t>COFAP</t>
        </is>
      </c>
      <c r="E28" s="3" t="n">
        <v>20</v>
      </c>
      <c r="F28" s="4" t="n">
        <v>0.3</v>
      </c>
      <c r="G28" s="5">
        <f>ROUND(E28*(1+F28),2)</f>
        <v>26.00</v>
      </c>
      <c r="H28" s="5">
        <f>ROUND(G28*NOTAS!$B$2,2)</f>
        <v>18754.99</v>
      </c>
      <c r="I28" s="6">
        <f>ROUND(G28*NOTAS!$B$3,0)</f>
        <v>84471</v>
      </c>
      <c r="J28" s="2" t="n">
        <v>5</v>
      </c>
    </row>
    <row r="29">
      <c r="A29" s="2" t="inlineStr">
        <is>
          <t>CA.4990 STD</t>
        </is>
      </c>
      <c r="B29" s="2" t="inlineStr"/>
      <c r="C29" s="2" t="inlineStr">
        <is>
          <t>ANILLOS MOTOR CHEVETTE 1.6 82MM STD G/G</t>
        </is>
      </c>
      <c r="D29" s="2" t="inlineStr">
        <is>
          <t>COFAP</t>
        </is>
      </c>
      <c r="E29" s="3" t="n">
        <v>20</v>
      </c>
      <c r="F29" s="4" t="n">
        <v>0.3</v>
      </c>
      <c r="G29" s="5">
        <f>ROUND(E29*(1+F29),2)</f>
        <v>26.00</v>
      </c>
      <c r="H29" s="5">
        <f>ROUND(G29*NOTAS!$B$2,2)</f>
        <v>18754.99</v>
      </c>
      <c r="I29" s="6">
        <f>ROUND(G29*NOTAS!$B$3,0)</f>
        <v>84471</v>
      </c>
      <c r="J29" s="2" t="n">
        <v>0</v>
      </c>
    </row>
    <row r="30">
      <c r="A30" s="2" t="inlineStr">
        <is>
          <t>A14900 050</t>
        </is>
      </c>
      <c r="B30" s="2" t="inlineStr"/>
      <c r="C30" s="2" t="inlineStr">
        <is>
          <t>ANILLOS MOTOR CIELO/LANOS 76,48MM 050</t>
        </is>
      </c>
      <c r="D30" s="2" t="inlineStr">
        <is>
          <t>MAHLE</t>
        </is>
      </c>
      <c r="E30" s="3" t="n">
        <v>20</v>
      </c>
      <c r="F30" s="4" t="n">
        <v>0.3</v>
      </c>
      <c r="G30" s="5">
        <f>ROUND(E30*(1+F30),2)</f>
        <v>26.00</v>
      </c>
      <c r="H30" s="5">
        <f>ROUND(G30*NOTAS!$B$2,2)</f>
        <v>18754.99</v>
      </c>
      <c r="I30" s="6">
        <f>ROUND(G30*NOTAS!$B$3,0)</f>
        <v>84471</v>
      </c>
      <c r="J30" s="2" t="n">
        <v>2</v>
      </c>
    </row>
    <row r="31">
      <c r="A31" s="2" t="inlineStr">
        <is>
          <t>93742296 075</t>
        </is>
      </c>
      <c r="B31" s="2" t="inlineStr"/>
      <c r="C31" s="2" t="inlineStr">
        <is>
          <t>ANILLOS MOTOR CIELO/LANOS 76,48MM 075</t>
        </is>
      </c>
      <c r="D31" s="2" t="inlineStr">
        <is>
          <t>GM</t>
        </is>
      </c>
      <c r="E31" s="3" t="n">
        <v>15</v>
      </c>
      <c r="F31" s="4" t="n">
        <v>0.3</v>
      </c>
      <c r="G31" s="5">
        <f>ROUND(E31*(1+F31),2)</f>
        <v>19.50</v>
      </c>
      <c r="H31" s="5">
        <f>ROUND(G31*NOTAS!$B$2,2)</f>
        <v>14066.24</v>
      </c>
      <c r="I31" s="6">
        <f>ROUND(G31*NOTAS!$B$3,0)</f>
        <v>63353</v>
      </c>
      <c r="J31" s="2" t="n">
        <v>1</v>
      </c>
    </row>
    <row r="32">
      <c r="A32" s="2" t="inlineStr">
        <is>
          <t>A14900 STD</t>
        </is>
      </c>
      <c r="B32" s="2" t="inlineStr"/>
      <c r="C32" s="2" t="inlineStr">
        <is>
          <t>ANILLOS MOTOR CIELO/LANOS 76,48MM STD</t>
        </is>
      </c>
      <c r="D32" s="2" t="inlineStr">
        <is>
          <t>MAHLE</t>
        </is>
      </c>
      <c r="E32" s="3" t="n">
        <v>20</v>
      </c>
      <c r="F32" s="4" t="n">
        <v>0.3</v>
      </c>
      <c r="G32" s="5">
        <f>ROUND(E32*(1+F32),2)</f>
        <v>26.00</v>
      </c>
      <c r="H32" s="5">
        <f>ROUND(G32*NOTAS!$B$2,2)</f>
        <v>18754.99</v>
      </c>
      <c r="I32" s="6">
        <f>ROUND(G32*NOTAS!$B$3,0)</f>
        <v>84471</v>
      </c>
      <c r="J32" s="2" t="n">
        <v>6</v>
      </c>
    </row>
    <row r="33">
      <c r="A33" s="2" t="inlineStr">
        <is>
          <t>93742293</t>
        </is>
      </c>
      <c r="B33" s="2" t="inlineStr"/>
      <c r="C33" s="2" t="inlineStr">
        <is>
          <t>ANILLOS MOTOR CIELO/LANOS 76,48MM STD</t>
        </is>
      </c>
      <c r="D33" s="2" t="inlineStr">
        <is>
          <t>YPR</t>
        </is>
      </c>
      <c r="E33" s="3" t="n">
        <v>20</v>
      </c>
      <c r="F33" s="4" t="n">
        <v>0.3</v>
      </c>
      <c r="G33" s="5">
        <f>ROUND(E33*(1+F33),2)</f>
        <v>26.00</v>
      </c>
      <c r="H33" s="5">
        <f>ROUND(G33*NOTAS!$B$2,2)</f>
        <v>18754.99</v>
      </c>
      <c r="I33" s="6">
        <f>ROUND(G33*NOTAS!$B$3,0)</f>
        <v>84471</v>
      </c>
      <c r="J33" s="2" t="n">
        <v>1</v>
      </c>
    </row>
    <row r="34">
      <c r="A34" s="2" t="inlineStr">
        <is>
          <t>SWL02419-1 025</t>
        </is>
      </c>
      <c r="B34" s="2" t="inlineStr"/>
      <c r="C34" s="2" t="inlineStr">
        <is>
          <t>ANILLOS MOTOR CIELO/LANOS 76,50MM 025</t>
        </is>
      </c>
      <c r="D34" s="2" t="inlineStr">
        <is>
          <t>NPR</t>
        </is>
      </c>
      <c r="E34" s="3" t="n">
        <v>20</v>
      </c>
      <c r="F34" s="4" t="n">
        <v>0.3</v>
      </c>
      <c r="G34" s="5">
        <f>ROUND(E34*(1+F34),2)</f>
        <v>26.00</v>
      </c>
      <c r="H34" s="5">
        <f>ROUND(G34*NOTAS!$B$2,2)</f>
        <v>18754.99</v>
      </c>
      <c r="I34" s="6">
        <f>ROUND(G34*NOTAS!$B$3,0)</f>
        <v>84471</v>
      </c>
      <c r="J34" s="2" t="n">
        <v>1</v>
      </c>
    </row>
    <row r="35">
      <c r="A35" s="2" t="inlineStr">
        <is>
          <t>AZT002 025</t>
        </is>
      </c>
      <c r="B35" s="2" t="inlineStr"/>
      <c r="C35" s="2" t="inlineStr">
        <is>
          <t>ANILLOS MOTOR CIELO/LANOS 76,50MM 025</t>
        </is>
      </c>
      <c r="D35" s="2" t="inlineStr">
        <is>
          <t>AZTEC</t>
        </is>
      </c>
      <c r="E35" s="3" t="n">
        <v>15</v>
      </c>
      <c r="F35" s="4" t="n">
        <v>0.3</v>
      </c>
      <c r="G35" s="5">
        <f>ROUND(E35*(1+F35),2)</f>
        <v>19.50</v>
      </c>
      <c r="H35" s="5">
        <f>ROUND(G35*NOTAS!$B$2,2)</f>
        <v>14066.24</v>
      </c>
      <c r="I35" s="6">
        <f>ROUND(G35*NOTAS!$B$3,0)</f>
        <v>63353</v>
      </c>
      <c r="J35" s="2" t="n">
        <v>1</v>
      </c>
    </row>
    <row r="36">
      <c r="A36" s="2" t="inlineStr">
        <is>
          <t>AZT002 050</t>
        </is>
      </c>
      <c r="B36" s="2" t="inlineStr"/>
      <c r="C36" s="2" t="inlineStr">
        <is>
          <t>ANILLOS MOTOR CIELO/LANOS 76,50MM 050</t>
        </is>
      </c>
      <c r="D36" s="2" t="inlineStr">
        <is>
          <t>AZTEC</t>
        </is>
      </c>
      <c r="E36" s="3" t="n">
        <v>15</v>
      </c>
      <c r="F36" s="4" t="n">
        <v>0.3</v>
      </c>
      <c r="G36" s="5">
        <f>ROUND(E36*(1+F36),2)</f>
        <v>19.50</v>
      </c>
      <c r="H36" s="5">
        <f>ROUND(G36*NOTAS!$B$2,2)</f>
        <v>14066.24</v>
      </c>
      <c r="I36" s="6">
        <f>ROUND(G36*NOTAS!$B$3,0)</f>
        <v>63353</v>
      </c>
      <c r="J36" s="2" t="n">
        <v>2</v>
      </c>
    </row>
    <row r="37">
      <c r="A37" s="2" t="inlineStr">
        <is>
          <t>SWL02419-0 STD</t>
        </is>
      </c>
      <c r="B37" s="2" t="inlineStr"/>
      <c r="C37" s="2" t="inlineStr">
        <is>
          <t>ANILLOS MOTOR CIELO/LANOS 76,50MM STD</t>
        </is>
      </c>
      <c r="D37" s="2" t="inlineStr">
        <is>
          <t>NPR</t>
        </is>
      </c>
      <c r="E37" s="3" t="n">
        <v>20</v>
      </c>
      <c r="F37" s="4" t="n">
        <v>0.3</v>
      </c>
      <c r="G37" s="5">
        <f>ROUND(E37*(1+F37),2)</f>
        <v>26.00</v>
      </c>
      <c r="H37" s="5">
        <f>ROUND(G37*NOTAS!$B$2,2)</f>
        <v>18754.99</v>
      </c>
      <c r="I37" s="6">
        <f>ROUND(G37*NOTAS!$B$3,0)</f>
        <v>84471</v>
      </c>
      <c r="J37" s="2" t="n">
        <v>10</v>
      </c>
    </row>
    <row r="38">
      <c r="A38" s="2" t="inlineStr">
        <is>
          <t>SWL02419-2 050</t>
        </is>
      </c>
      <c r="B38" s="2" t="inlineStr"/>
      <c r="C38" s="2" t="inlineStr">
        <is>
          <t>ANILLOS MOTOR CIELO/LANOS 77MM 050</t>
        </is>
      </c>
      <c r="D38" s="2" t="inlineStr">
        <is>
          <t>NPR</t>
        </is>
      </c>
      <c r="E38" s="3" t="n">
        <v>20</v>
      </c>
      <c r="F38" s="4" t="n">
        <v>0.3</v>
      </c>
      <c r="G38" s="5">
        <f>ROUND(E38*(1+F38),2)</f>
        <v>26.00</v>
      </c>
      <c r="H38" s="5">
        <f>ROUND(G38*NOTAS!$B$2,2)</f>
        <v>18754.99</v>
      </c>
      <c r="I38" s="6">
        <f>ROUND(G38*NOTAS!$B$3,0)</f>
        <v>84471</v>
      </c>
      <c r="J38" s="2" t="n">
        <v>1</v>
      </c>
    </row>
    <row r="39">
      <c r="A39" s="2" t="inlineStr">
        <is>
          <t>21531 025</t>
        </is>
      </c>
      <c r="B39" s="2" t="inlineStr"/>
      <c r="C39" s="2" t="inlineStr">
        <is>
          <t>ANILLOS MOTOR CORCEL  77MM 025</t>
        </is>
      </c>
      <c r="D39" s="2" t="inlineStr">
        <is>
          <t>WOLF</t>
        </is>
      </c>
      <c r="E39" s="3" t="n">
        <v>17.2</v>
      </c>
      <c r="F39" s="4" t="n">
        <v>0.3</v>
      </c>
      <c r="G39" s="5">
        <f>ROUND(E39*(1+F39),2)</f>
        <v>22.36</v>
      </c>
      <c r="H39" s="5">
        <f>ROUND(G39*NOTAS!$B$2,2)</f>
        <v>16129.29</v>
      </c>
      <c r="I39" s="6">
        <f>ROUND(G39*NOTAS!$B$3,0)</f>
        <v>72645</v>
      </c>
      <c r="J39" s="2" t="n">
        <v>1</v>
      </c>
    </row>
    <row r="40">
      <c r="A40" s="2" t="inlineStr">
        <is>
          <t>A14400 050</t>
        </is>
      </c>
      <c r="B40" s="2" t="inlineStr"/>
      <c r="C40" s="2" t="inlineStr">
        <is>
          <t>ANILLOS MOTOR CORSA 1.3 74,98MM 050</t>
        </is>
      </c>
      <c r="D40" s="2" t="inlineStr">
        <is>
          <t>MAHLE</t>
        </is>
      </c>
      <c r="E40" s="3" t="n">
        <v>23</v>
      </c>
      <c r="F40" s="4" t="n">
        <v>0.3</v>
      </c>
      <c r="G40" s="5">
        <f>ROUND(E40*(1+F40),2)</f>
        <v>29.90</v>
      </c>
      <c r="H40" s="5">
        <f>ROUND(G40*NOTAS!$B$2,2)</f>
        <v>21568.23</v>
      </c>
      <c r="I40" s="6">
        <f>ROUND(G40*NOTAS!$B$3,0)</f>
        <v>97141</v>
      </c>
      <c r="J40" s="2" t="n">
        <v>2</v>
      </c>
    </row>
    <row r="41">
      <c r="A41" s="2" t="inlineStr">
        <is>
          <t>DA.7205 050</t>
        </is>
      </c>
      <c r="B41" s="2" t="inlineStr"/>
      <c r="C41" s="2" t="inlineStr">
        <is>
          <t>ANILLOS MOTOR CORSA 1.3 74,98MM 050</t>
        </is>
      </c>
      <c r="D41" s="2" t="inlineStr">
        <is>
          <t>COFAP</t>
        </is>
      </c>
      <c r="E41" s="3" t="n">
        <v>23</v>
      </c>
      <c r="F41" s="4" t="n">
        <v>0.3</v>
      </c>
      <c r="G41" s="5">
        <f>ROUND(E41*(1+F41),2)</f>
        <v>29.90</v>
      </c>
      <c r="H41" s="5">
        <f>ROUND(G41*NOTAS!$B$2,2)</f>
        <v>21568.23</v>
      </c>
      <c r="I41" s="6">
        <f>ROUND(G41*NOTAS!$B$3,0)</f>
        <v>97141</v>
      </c>
      <c r="J41" s="2" t="n">
        <v>3</v>
      </c>
    </row>
    <row r="42">
      <c r="A42" s="2" t="inlineStr">
        <is>
          <t>DA.7205 STD</t>
        </is>
      </c>
      <c r="B42" s="2" t="inlineStr"/>
      <c r="C42" s="2" t="inlineStr">
        <is>
          <t>ANILLOS MOTOR CORSA 1.3 74,98MM STD</t>
        </is>
      </c>
      <c r="D42" s="2" t="inlineStr">
        <is>
          <t>COFAP</t>
        </is>
      </c>
      <c r="E42" s="3" t="n">
        <v>23</v>
      </c>
      <c r="F42" s="4" t="n">
        <v>0.3</v>
      </c>
      <c r="G42" s="5">
        <f>ROUND(E42*(1+F42),2)</f>
        <v>29.90</v>
      </c>
      <c r="H42" s="5">
        <f>ROUND(G42*NOTAS!$B$2,2)</f>
        <v>21568.23</v>
      </c>
      <c r="I42" s="6">
        <f>ROUND(G42*NOTAS!$B$3,0)</f>
        <v>97141</v>
      </c>
      <c r="J42" s="2" t="n">
        <v>2</v>
      </c>
    </row>
    <row r="43">
      <c r="A43" s="2" t="inlineStr">
        <is>
          <t>A14400 STD</t>
        </is>
      </c>
      <c r="B43" s="2" t="inlineStr"/>
      <c r="C43" s="2" t="inlineStr">
        <is>
          <t>ANILLOS MOTOR CORSA 1.3 74,98MM STD</t>
        </is>
      </c>
      <c r="D43" s="2" t="inlineStr">
        <is>
          <t>MAHLE</t>
        </is>
      </c>
      <c r="E43" s="3" t="n">
        <v>23</v>
      </c>
      <c r="F43" s="4" t="n">
        <v>0.3</v>
      </c>
      <c r="G43" s="5">
        <f>ROUND(E43*(1+F43),2)</f>
        <v>29.90</v>
      </c>
      <c r="H43" s="5">
        <f>ROUND(G43*NOTAS!$B$2,2)</f>
        <v>21568.23</v>
      </c>
      <c r="I43" s="6">
        <f>ROUND(G43*NOTAS!$B$3,0)</f>
        <v>97141</v>
      </c>
      <c r="J43" s="2" t="n">
        <v>3</v>
      </c>
    </row>
    <row r="44">
      <c r="A44" s="2" t="inlineStr">
        <is>
          <t>A14530 050</t>
        </is>
      </c>
      <c r="B44" s="2" t="inlineStr"/>
      <c r="C44" s="2" t="inlineStr">
        <is>
          <t>ANILLOS MOTOR CORSA 1.4 77,58MM 050</t>
        </is>
      </c>
      <c r="D44" s="2" t="inlineStr">
        <is>
          <t>MAHLE</t>
        </is>
      </c>
      <c r="E44" s="3" t="n">
        <v>23</v>
      </c>
      <c r="F44" s="4" t="n">
        <v>0.3</v>
      </c>
      <c r="G44" s="5">
        <f>ROUND(E44*(1+F44),2)</f>
        <v>29.90</v>
      </c>
      <c r="H44" s="5">
        <f>ROUND(G44*NOTAS!$B$2,2)</f>
        <v>21568.23</v>
      </c>
      <c r="I44" s="6">
        <f>ROUND(G44*NOTAS!$B$3,0)</f>
        <v>97141</v>
      </c>
      <c r="J44" s="2" t="n">
        <v>4</v>
      </c>
    </row>
    <row r="45">
      <c r="A45" s="2" t="inlineStr">
        <is>
          <t>DA.7093 100</t>
        </is>
      </c>
      <c r="B45" s="2" t="inlineStr"/>
      <c r="C45" s="2" t="inlineStr">
        <is>
          <t>ANILLOS MOTOR CORSA 1.4 77,58MM 100</t>
        </is>
      </c>
      <c r="D45" s="2" t="inlineStr">
        <is>
          <t>COFAP</t>
        </is>
      </c>
      <c r="E45" s="3" t="n">
        <v>23</v>
      </c>
      <c r="F45" s="4" t="n">
        <v>0.3</v>
      </c>
      <c r="G45" s="5">
        <f>ROUND(E45*(1+F45),2)</f>
        <v>29.90</v>
      </c>
      <c r="H45" s="5">
        <f>ROUND(G45*NOTAS!$B$2,2)</f>
        <v>21568.23</v>
      </c>
      <c r="I45" s="6">
        <f>ROUND(G45*NOTAS!$B$3,0)</f>
        <v>97141</v>
      </c>
      <c r="J45" s="2" t="n">
        <v>4</v>
      </c>
    </row>
    <row r="46">
      <c r="A46" s="2" t="inlineStr">
        <is>
          <t>A14190 025</t>
        </is>
      </c>
      <c r="B46" s="2" t="inlineStr"/>
      <c r="C46" s="2" t="inlineStr">
        <is>
          <t>ANILLOS MOTOR CORSA 1.6 79MM 025</t>
        </is>
      </c>
      <c r="D46" s="2" t="inlineStr">
        <is>
          <t>MAHLE</t>
        </is>
      </c>
      <c r="E46" s="3" t="n">
        <v>23</v>
      </c>
      <c r="F46" s="4" t="n">
        <v>0.3</v>
      </c>
      <c r="G46" s="5">
        <f>ROUND(E46*(1+F46),2)</f>
        <v>29.90</v>
      </c>
      <c r="H46" s="5">
        <f>ROUND(G46*NOTAS!$B$2,2)</f>
        <v>21568.23</v>
      </c>
      <c r="I46" s="6">
        <f>ROUND(G46*NOTAS!$B$3,0)</f>
        <v>97141</v>
      </c>
      <c r="J46" s="2" t="n">
        <v>1</v>
      </c>
    </row>
    <row r="47">
      <c r="A47" s="2" t="inlineStr">
        <is>
          <t>40390 025</t>
        </is>
      </c>
      <c r="B47" s="2" t="inlineStr"/>
      <c r="C47" s="2" t="inlineStr">
        <is>
          <t>ANILLOS MOTOR CORSA 1.6 79MM 025</t>
        </is>
      </c>
      <c r="D47" s="2" t="inlineStr">
        <is>
          <t>RIK</t>
        </is>
      </c>
      <c r="E47" s="3" t="n">
        <v>18.76</v>
      </c>
      <c r="F47" s="4" t="n">
        <v>0.3</v>
      </c>
      <c r="G47" s="5">
        <f>ROUND(E47*(1+F47),2)</f>
        <v>24.39</v>
      </c>
      <c r="H47" s="5">
        <f>ROUND(G47*NOTAS!$B$2,2)</f>
        <v>17593.62</v>
      </c>
      <c r="I47" s="6">
        <f>ROUND(G47*NOTAS!$B$3,0)</f>
        <v>79240</v>
      </c>
      <c r="J47" s="2" t="n">
        <v>1</v>
      </c>
    </row>
    <row r="48">
      <c r="A48" s="2" t="inlineStr">
        <is>
          <t>A14190 050</t>
        </is>
      </c>
      <c r="B48" s="2" t="inlineStr"/>
      <c r="C48" s="2" t="inlineStr">
        <is>
          <t>ANILLOS MOTOR CORSA 1.6 79MM 050</t>
        </is>
      </c>
      <c r="D48" s="2" t="inlineStr">
        <is>
          <t>MAHLE</t>
        </is>
      </c>
      <c r="E48" s="3" t="n">
        <v>23</v>
      </c>
      <c r="F48" s="4" t="n">
        <v>0.3</v>
      </c>
      <c r="G48" s="5">
        <f>ROUND(E48*(1+F48),2)</f>
        <v>29.90</v>
      </c>
      <c r="H48" s="5">
        <f>ROUND(G48*NOTAS!$B$2,2)</f>
        <v>21568.23</v>
      </c>
      <c r="I48" s="6">
        <f>ROUND(G48*NOTAS!$B$3,0)</f>
        <v>97141</v>
      </c>
      <c r="J48" s="2" t="n">
        <v>1</v>
      </c>
    </row>
    <row r="49">
      <c r="A49" s="2" t="inlineStr">
        <is>
          <t>40390 050</t>
        </is>
      </c>
      <c r="B49" s="2" t="inlineStr"/>
      <c r="C49" s="2" t="inlineStr">
        <is>
          <t>ANILLOS MOTOR CORSA 1.6 79MM 050</t>
        </is>
      </c>
      <c r="D49" s="2" t="inlineStr">
        <is>
          <t>RIK</t>
        </is>
      </c>
      <c r="E49" s="3" t="n">
        <v>18.76</v>
      </c>
      <c r="F49" s="4" t="n">
        <v>0.3</v>
      </c>
      <c r="G49" s="5">
        <f>ROUND(E49*(1+F49),2)</f>
        <v>24.39</v>
      </c>
      <c r="H49" s="5">
        <f>ROUND(G49*NOTAS!$B$2,2)</f>
        <v>17593.62</v>
      </c>
      <c r="I49" s="6">
        <f>ROUND(G49*NOTAS!$B$3,0)</f>
        <v>79240</v>
      </c>
      <c r="J49" s="2" t="n">
        <v>2</v>
      </c>
    </row>
    <row r="50">
      <c r="A50" s="2" t="inlineStr">
        <is>
          <t>A14190 075</t>
        </is>
      </c>
      <c r="B50" s="2" t="inlineStr"/>
      <c r="C50" s="2" t="inlineStr">
        <is>
          <t>ANILLOS MOTOR CORSA 1.6 79MM 075</t>
        </is>
      </c>
      <c r="D50" s="2" t="inlineStr">
        <is>
          <t>MAHLE</t>
        </is>
      </c>
      <c r="E50" s="3" t="n">
        <v>23</v>
      </c>
      <c r="F50" s="4" t="n">
        <v>0.3</v>
      </c>
      <c r="G50" s="5">
        <f>ROUND(E50*(1+F50),2)</f>
        <v>29.90</v>
      </c>
      <c r="H50" s="5">
        <f>ROUND(G50*NOTAS!$B$2,2)</f>
        <v>21568.23</v>
      </c>
      <c r="I50" s="6">
        <f>ROUND(G50*NOTAS!$B$3,0)</f>
        <v>97141</v>
      </c>
      <c r="J50" s="2" t="n">
        <v>1</v>
      </c>
    </row>
    <row r="51">
      <c r="A51" s="2" t="inlineStr">
        <is>
          <t>40390 STD</t>
        </is>
      </c>
      <c r="B51" s="2" t="inlineStr"/>
      <c r="C51" s="2" t="inlineStr">
        <is>
          <t>ANILLOS MOTOR CORSA 1.6 79MM STD</t>
        </is>
      </c>
      <c r="D51" s="2" t="inlineStr">
        <is>
          <t>RIK</t>
        </is>
      </c>
      <c r="E51" s="3" t="n">
        <v>18.76</v>
      </c>
      <c r="F51" s="4" t="n">
        <v>0.3</v>
      </c>
      <c r="G51" s="5">
        <f>ROUND(E51*(1+F51),2)</f>
        <v>24.39</v>
      </c>
      <c r="H51" s="5">
        <f>ROUND(G51*NOTAS!$B$2,2)</f>
        <v>17593.62</v>
      </c>
      <c r="I51" s="6">
        <f>ROUND(G51*NOTAS!$B$3,0)</f>
        <v>79240</v>
      </c>
      <c r="J51" s="2" t="n">
        <v>1</v>
      </c>
    </row>
    <row r="52">
      <c r="A52" s="2" t="inlineStr">
        <is>
          <t>DA.2885 020</t>
        </is>
      </c>
      <c r="B52" s="2" t="inlineStr"/>
      <c r="C52" s="2" t="inlineStr">
        <is>
          <t>ANILLOS MOTOR F-131/132/REGATA 2.0 84MM 020</t>
        </is>
      </c>
      <c r="D52" s="2" t="inlineStr">
        <is>
          <t>COFAP</t>
        </is>
      </c>
      <c r="E52" s="3" t="n">
        <v>15</v>
      </c>
      <c r="F52" s="4" t="n">
        <v>0.3</v>
      </c>
      <c r="G52" s="5">
        <f>ROUND(E52*(1+F52),2)</f>
        <v>19.50</v>
      </c>
      <c r="H52" s="5">
        <f>ROUND(G52*NOTAS!$B$2,2)</f>
        <v>14066.24</v>
      </c>
      <c r="I52" s="6">
        <f>ROUND(G52*NOTAS!$B$3,0)</f>
        <v>63353</v>
      </c>
      <c r="J52" s="2" t="n">
        <v>1</v>
      </c>
    </row>
    <row r="53">
      <c r="A53" s="2" t="inlineStr">
        <is>
          <t>DA.2885 040</t>
        </is>
      </c>
      <c r="B53" s="2" t="inlineStr"/>
      <c r="C53" s="2" t="inlineStr">
        <is>
          <t>ANILLOS MOTOR F-131/132/REGATA 2.0 84MM 040</t>
        </is>
      </c>
      <c r="D53" s="2" t="inlineStr">
        <is>
          <t>COFAP</t>
        </is>
      </c>
      <c r="E53" s="3" t="n">
        <v>15</v>
      </c>
      <c r="F53" s="4" t="n">
        <v>0.3</v>
      </c>
      <c r="G53" s="5">
        <f>ROUND(E53*(1+F53),2)</f>
        <v>19.50</v>
      </c>
      <c r="H53" s="5">
        <f>ROUND(G53*NOTAS!$B$2,2)</f>
        <v>14066.24</v>
      </c>
      <c r="I53" s="6">
        <f>ROUND(G53*NOTAS!$B$3,0)</f>
        <v>63353</v>
      </c>
      <c r="J53" s="2" t="n">
        <v>1</v>
      </c>
    </row>
    <row r="54">
      <c r="A54" s="2" t="inlineStr">
        <is>
          <t>A25984 060</t>
        </is>
      </c>
      <c r="B54" s="2" t="inlineStr"/>
      <c r="C54" s="2" t="inlineStr">
        <is>
          <t>ANILLOS MOTOR F-131/132/REGATA 2.0 84MM 060</t>
        </is>
      </c>
      <c r="D54" s="2" t="inlineStr">
        <is>
          <t>MAHLE</t>
        </is>
      </c>
      <c r="E54" s="3" t="n">
        <v>15</v>
      </c>
      <c r="F54" s="4" t="n">
        <v>0.3</v>
      </c>
      <c r="G54" s="5">
        <f>ROUND(E54*(1+F54),2)</f>
        <v>19.50</v>
      </c>
      <c r="H54" s="5">
        <f>ROUND(G54*NOTAS!$B$2,2)</f>
        <v>14066.24</v>
      </c>
      <c r="I54" s="6">
        <f>ROUND(G54*NOTAS!$B$3,0)</f>
        <v>63353</v>
      </c>
      <c r="J54" s="2" t="n">
        <v>2</v>
      </c>
    </row>
    <row r="55">
      <c r="A55" s="2" t="inlineStr">
        <is>
          <t>A25984 100</t>
        </is>
      </c>
      <c r="B55" s="2" t="inlineStr"/>
      <c r="C55" s="2" t="inlineStr">
        <is>
          <t>ANILLOS MOTOR F-131/132/REGATA 2.0 84MM 100</t>
        </is>
      </c>
      <c r="D55" s="2" t="inlineStr">
        <is>
          <t>MAHLE</t>
        </is>
      </c>
      <c r="E55" s="3" t="n">
        <v>15</v>
      </c>
      <c r="F55" s="4" t="n">
        <v>0.3</v>
      </c>
      <c r="G55" s="5">
        <f>ROUND(E55*(1+F55),2)</f>
        <v>19.50</v>
      </c>
      <c r="H55" s="5">
        <f>ROUND(G55*NOTAS!$B$2,2)</f>
        <v>14066.24</v>
      </c>
      <c r="I55" s="6">
        <f>ROUND(G55*NOTAS!$B$3,0)</f>
        <v>63353</v>
      </c>
      <c r="J55" s="2" t="n">
        <v>2</v>
      </c>
    </row>
    <row r="56">
      <c r="A56" s="2" t="inlineStr">
        <is>
          <t>DA.2885 STD</t>
        </is>
      </c>
      <c r="B56" s="2" t="inlineStr"/>
      <c r="C56" s="2" t="inlineStr">
        <is>
          <t>ANILLOS MOTOR F-131/132/REGATA 2.0 84MM STD</t>
        </is>
      </c>
      <c r="D56" s="2" t="inlineStr">
        <is>
          <t>COFAP</t>
        </is>
      </c>
      <c r="E56" s="3" t="n">
        <v>15</v>
      </c>
      <c r="F56" s="4" t="n">
        <v>0.3</v>
      </c>
      <c r="G56" s="5">
        <f>ROUND(E56*(1+F56),2)</f>
        <v>19.50</v>
      </c>
      <c r="H56" s="5">
        <f>ROUND(G56*NOTAS!$B$2,2)</f>
        <v>14066.24</v>
      </c>
      <c r="I56" s="6">
        <f>ROUND(G56*NOTAS!$B$3,0)</f>
        <v>63353</v>
      </c>
      <c r="J56" s="2" t="n">
        <v>1</v>
      </c>
    </row>
    <row r="57">
      <c r="A57" s="2" t="inlineStr">
        <is>
          <t>A25110 020</t>
        </is>
      </c>
      <c r="B57" s="2" t="inlineStr"/>
      <c r="C57" s="2" t="inlineStr">
        <is>
          <t>ANILLOS MOTOR F-147/UNO 1.3 76MM 020</t>
        </is>
      </c>
      <c r="D57" s="2" t="inlineStr">
        <is>
          <t>MAHLE</t>
        </is>
      </c>
      <c r="E57" s="3" t="n">
        <v>20</v>
      </c>
      <c r="F57" s="4" t="n">
        <v>0.3</v>
      </c>
      <c r="G57" s="5">
        <f>ROUND(E57*(1+F57),2)</f>
        <v>26.00</v>
      </c>
      <c r="H57" s="5">
        <f>ROUND(G57*NOTAS!$B$2,2)</f>
        <v>18754.99</v>
      </c>
      <c r="I57" s="6">
        <f>ROUND(G57*NOTAS!$B$3,0)</f>
        <v>84471</v>
      </c>
      <c r="J57" s="2" t="n">
        <v>2</v>
      </c>
    </row>
    <row r="58">
      <c r="A58" s="2" t="inlineStr">
        <is>
          <t>A25110 040</t>
        </is>
      </c>
      <c r="B58" s="2" t="inlineStr"/>
      <c r="C58" s="2" t="inlineStr">
        <is>
          <t>ANILLOS MOTOR F-147/UNO 1.3 76MM 040</t>
        </is>
      </c>
      <c r="D58" s="2" t="inlineStr">
        <is>
          <t>MAHLE</t>
        </is>
      </c>
      <c r="E58" s="3" t="n">
        <v>20</v>
      </c>
      <c r="F58" s="4" t="n">
        <v>0.3</v>
      </c>
      <c r="G58" s="5">
        <f>ROUND(E58*(1+F58),2)</f>
        <v>26.00</v>
      </c>
      <c r="H58" s="5">
        <f>ROUND(G58*NOTAS!$B$2,2)</f>
        <v>18754.99</v>
      </c>
      <c r="I58" s="6">
        <f>ROUND(G58*NOTAS!$B$3,0)</f>
        <v>84471</v>
      </c>
      <c r="J58" s="2" t="n">
        <v>3</v>
      </c>
    </row>
    <row r="59">
      <c r="A59" s="2" t="inlineStr">
        <is>
          <t>DD.6343 040</t>
        </is>
      </c>
      <c r="B59" s="2" t="inlineStr"/>
      <c r="C59" s="2" t="inlineStr">
        <is>
          <t>ANILLOS MOTOR F-147/UNO 1.3 76MM 040</t>
        </is>
      </c>
      <c r="D59" s="2" t="inlineStr">
        <is>
          <t>COFAP</t>
        </is>
      </c>
      <c r="E59" s="3" t="n">
        <v>20</v>
      </c>
      <c r="F59" s="4" t="n">
        <v>0.3</v>
      </c>
      <c r="G59" s="5">
        <f>ROUND(E59*(1+F59),2)</f>
        <v>26.00</v>
      </c>
      <c r="H59" s="5">
        <f>ROUND(G59*NOTAS!$B$2,2)</f>
        <v>18754.99</v>
      </c>
      <c r="I59" s="6">
        <f>ROUND(G59*NOTAS!$B$3,0)</f>
        <v>84471</v>
      </c>
      <c r="J59" s="2" t="n">
        <v>2</v>
      </c>
    </row>
    <row r="60">
      <c r="A60" s="2" t="inlineStr">
        <is>
          <t>A25110 060</t>
        </is>
      </c>
      <c r="B60" s="2" t="inlineStr"/>
      <c r="C60" s="2" t="inlineStr">
        <is>
          <t>ANILLOS MOTOR F-147/UNO 1.3 76MM 060</t>
        </is>
      </c>
      <c r="D60" s="2" t="inlineStr">
        <is>
          <t>MAHLE</t>
        </is>
      </c>
      <c r="E60" s="3" t="n">
        <v>20</v>
      </c>
      <c r="F60" s="4" t="n">
        <v>0.3</v>
      </c>
      <c r="G60" s="5">
        <f>ROUND(E60*(1+F60),2)</f>
        <v>26.00</v>
      </c>
      <c r="H60" s="5">
        <f>ROUND(G60*NOTAS!$B$2,2)</f>
        <v>18754.99</v>
      </c>
      <c r="I60" s="6">
        <f>ROUND(G60*NOTAS!$B$3,0)</f>
        <v>84471</v>
      </c>
      <c r="J60" s="2" t="n">
        <v>2</v>
      </c>
    </row>
    <row r="61">
      <c r="A61" s="2" t="inlineStr">
        <is>
          <t>DA.6343 060</t>
        </is>
      </c>
      <c r="B61" s="2" t="inlineStr"/>
      <c r="C61" s="2" t="inlineStr">
        <is>
          <t>ANILLOS MOTOR F-147/UNO 1.3 76MM 060</t>
        </is>
      </c>
      <c r="D61" s="2" t="inlineStr">
        <is>
          <t>COFAP</t>
        </is>
      </c>
      <c r="E61" s="3" t="n">
        <v>20</v>
      </c>
      <c r="F61" s="4" t="n">
        <v>0.3</v>
      </c>
      <c r="G61" s="5">
        <f>ROUND(E61*(1+F61),2)</f>
        <v>26.00</v>
      </c>
      <c r="H61" s="5">
        <f>ROUND(G61*NOTAS!$B$2,2)</f>
        <v>18754.99</v>
      </c>
      <c r="I61" s="6">
        <f>ROUND(G61*NOTAS!$B$3,0)</f>
        <v>84471</v>
      </c>
      <c r="J61" s="2" t="n">
        <v>2</v>
      </c>
    </row>
    <row r="62">
      <c r="A62" s="2" t="inlineStr">
        <is>
          <t>A25110 080</t>
        </is>
      </c>
      <c r="B62" s="2" t="inlineStr"/>
      <c r="C62" s="2" t="inlineStr">
        <is>
          <t>ANILLOS MOTOR F-147/UNO 1.3 76MM 080</t>
        </is>
      </c>
      <c r="D62" s="2" t="inlineStr">
        <is>
          <t>MAHLE</t>
        </is>
      </c>
      <c r="E62" s="3" t="n">
        <v>20</v>
      </c>
      <c r="F62" s="4" t="n">
        <v>0.3</v>
      </c>
      <c r="G62" s="5">
        <f>ROUND(E62*(1+F62),2)</f>
        <v>26.00</v>
      </c>
      <c r="H62" s="5">
        <f>ROUND(G62*NOTAS!$B$2,2)</f>
        <v>18754.99</v>
      </c>
      <c r="I62" s="6">
        <f>ROUND(G62*NOTAS!$B$3,0)</f>
        <v>84471</v>
      </c>
      <c r="J62" s="2" t="n">
        <v>2</v>
      </c>
    </row>
    <row r="63">
      <c r="A63" s="2" t="inlineStr">
        <is>
          <t>DA.6343 080</t>
        </is>
      </c>
      <c r="B63" s="2" t="inlineStr"/>
      <c r="C63" s="2" t="inlineStr">
        <is>
          <t>ANILLOS MOTOR F-147/UNO 1.3 76MM 080</t>
        </is>
      </c>
      <c r="D63" s="2" t="inlineStr">
        <is>
          <t>COFAP</t>
        </is>
      </c>
      <c r="E63" s="3" t="n">
        <v>20</v>
      </c>
      <c r="F63" s="4" t="n">
        <v>0.3</v>
      </c>
      <c r="G63" s="5">
        <f>ROUND(E63*(1+F63),2)</f>
        <v>26.00</v>
      </c>
      <c r="H63" s="5">
        <f>ROUND(G63*NOTAS!$B$2,2)</f>
        <v>18754.99</v>
      </c>
      <c r="I63" s="6">
        <f>ROUND(G63*NOTAS!$B$3,0)</f>
        <v>84471</v>
      </c>
      <c r="J63" s="2" t="n">
        <v>1</v>
      </c>
    </row>
    <row r="64">
      <c r="A64" s="2" t="inlineStr">
        <is>
          <t>DA.6343 100</t>
        </is>
      </c>
      <c r="B64" s="2" t="inlineStr"/>
      <c r="C64" s="2" t="inlineStr">
        <is>
          <t>ANILLOS MOTOR F-147/UNO 1.3 76MM 100</t>
        </is>
      </c>
      <c r="D64" s="2" t="inlineStr">
        <is>
          <t>COFAP</t>
        </is>
      </c>
      <c r="E64" s="3" t="n">
        <v>20</v>
      </c>
      <c r="F64" s="4" t="n">
        <v>0.3</v>
      </c>
      <c r="G64" s="5">
        <f>ROUND(E64*(1+F64),2)</f>
        <v>26.00</v>
      </c>
      <c r="H64" s="5">
        <f>ROUND(G64*NOTAS!$B$2,2)</f>
        <v>18754.99</v>
      </c>
      <c r="I64" s="6">
        <f>ROUND(G64*NOTAS!$B$3,0)</f>
        <v>84471</v>
      </c>
      <c r="J64" s="2" t="n">
        <v>1</v>
      </c>
    </row>
    <row r="65">
      <c r="A65" s="2" t="inlineStr">
        <is>
          <t>A25110 STD</t>
        </is>
      </c>
      <c r="B65" s="2" t="inlineStr"/>
      <c r="C65" s="2" t="inlineStr">
        <is>
          <t>ANILLOS MOTOR F-147/UNO 1.3 76MM STD</t>
        </is>
      </c>
      <c r="D65" s="2" t="inlineStr">
        <is>
          <t>MAHLE</t>
        </is>
      </c>
      <c r="E65" s="3" t="n">
        <v>20</v>
      </c>
      <c r="F65" s="4" t="n">
        <v>0.3</v>
      </c>
      <c r="G65" s="5">
        <f>ROUND(E65*(1+F65),2)</f>
        <v>26.00</v>
      </c>
      <c r="H65" s="5">
        <f>ROUND(G65*NOTAS!$B$2,2)</f>
        <v>18754.99</v>
      </c>
      <c r="I65" s="6">
        <f>ROUND(G65*NOTAS!$B$3,0)</f>
        <v>84471</v>
      </c>
      <c r="J65" s="2" t="n">
        <v>3</v>
      </c>
    </row>
    <row r="66">
      <c r="A66" s="2" t="inlineStr">
        <is>
          <t>DA.6343 STD</t>
        </is>
      </c>
      <c r="B66" s="2" t="inlineStr"/>
      <c r="C66" s="2" t="inlineStr">
        <is>
          <t>ANILLOS MOTOR F-147/UNO 1.3 76MM STD</t>
        </is>
      </c>
      <c r="D66" s="2" t="inlineStr">
        <is>
          <t>COFAP</t>
        </is>
      </c>
      <c r="E66" s="3" t="n">
        <v>20</v>
      </c>
      <c r="F66" s="4" t="n">
        <v>0.3</v>
      </c>
      <c r="G66" s="5">
        <f>ROUND(E66*(1+F66),2)</f>
        <v>26.00</v>
      </c>
      <c r="H66" s="5">
        <f>ROUND(G66*NOTAS!$B$2,2)</f>
        <v>18754.99</v>
      </c>
      <c r="I66" s="6">
        <f>ROUND(G66*NOTAS!$B$3,0)</f>
        <v>84471</v>
      </c>
      <c r="J66" s="2" t="n">
        <v>1</v>
      </c>
    </row>
    <row r="67">
      <c r="A67" s="2" t="inlineStr">
        <is>
          <t>A59840 STD</t>
        </is>
      </c>
      <c r="B67" s="2" t="inlineStr"/>
      <c r="C67" s="2" t="inlineStr">
        <is>
          <t>ANILLOS MOTOR FIESTA/KA 1.6 82,07MM STD</t>
        </is>
      </c>
      <c r="D67" s="2" t="inlineStr">
        <is>
          <t>MAHLE</t>
        </is>
      </c>
      <c r="E67" s="3" t="n">
        <v>32</v>
      </c>
      <c r="F67" s="4" t="n">
        <v>0.3</v>
      </c>
      <c r="G67" s="5">
        <f>ROUND(E67*(1+F67),2)</f>
        <v>41.60</v>
      </c>
      <c r="H67" s="5">
        <f>ROUND(G67*NOTAS!$B$2,2)</f>
        <v>30007.98</v>
      </c>
      <c r="I67" s="6">
        <f>ROUND(G67*NOTAS!$B$3,0)</f>
        <v>135153</v>
      </c>
      <c r="J67" s="2" t="n">
        <v>4</v>
      </c>
    </row>
    <row r="68">
      <c r="A68" s="2" t="inlineStr">
        <is>
          <t>TA.7454 050</t>
        </is>
      </c>
      <c r="B68" s="2" t="inlineStr"/>
      <c r="C68" s="2" t="inlineStr">
        <is>
          <t>ANILLOS MOTOR FIESTA/KA 1.6 82MM 050</t>
        </is>
      </c>
      <c r="D68" s="2" t="inlineStr">
        <is>
          <t>COFAP</t>
        </is>
      </c>
      <c r="E68" s="3" t="n">
        <v>32</v>
      </c>
      <c r="F68" s="4" t="n">
        <v>0.3</v>
      </c>
      <c r="G68" s="5">
        <f>ROUND(E68*(1+F68),2)</f>
        <v>41.60</v>
      </c>
      <c r="H68" s="5">
        <f>ROUND(G68*NOTAS!$B$2,2)</f>
        <v>30007.98</v>
      </c>
      <c r="I68" s="6">
        <f>ROUND(G68*NOTAS!$B$3,0)</f>
        <v>135153</v>
      </c>
      <c r="J68" s="2" t="n">
        <v>2</v>
      </c>
    </row>
    <row r="69">
      <c r="A69" s="2" t="inlineStr">
        <is>
          <t>A25930 100</t>
        </is>
      </c>
      <c r="B69" s="2" t="inlineStr"/>
      <c r="C69" s="2" t="inlineStr">
        <is>
          <t>ANILLOS MOTOR F-PALIO/SIENA 1.3 16V FIRE 70,80MM  100</t>
        </is>
      </c>
      <c r="D69" s="2" t="inlineStr">
        <is>
          <t>MAHLE</t>
        </is>
      </c>
      <c r="E69" s="3" t="n">
        <v>30</v>
      </c>
      <c r="F69" s="4" t="n">
        <v>0.3</v>
      </c>
      <c r="G69" s="5">
        <f>ROUND(E69*(1+F69),2)</f>
        <v>39.00</v>
      </c>
      <c r="H69" s="5">
        <f>ROUND(G69*NOTAS!$B$2,2)</f>
        <v>28132.48</v>
      </c>
      <c r="I69" s="6">
        <f>ROUND(G69*NOTAS!$B$3,0)</f>
        <v>126706</v>
      </c>
      <c r="J69" s="2" t="n">
        <v>1</v>
      </c>
    </row>
    <row r="70">
      <c r="A70" s="2" t="inlineStr">
        <is>
          <t>A25930 040</t>
        </is>
      </c>
      <c r="B70" s="2" t="inlineStr"/>
      <c r="C70" s="2" t="inlineStr">
        <is>
          <t>ANILLOS MOTOR F-PALIO/SIENA 1.3 16V FIRE 70,80MM 040</t>
        </is>
      </c>
      <c r="D70" s="2" t="inlineStr">
        <is>
          <t>MAHLE</t>
        </is>
      </c>
      <c r="E70" s="3" t="n">
        <v>30</v>
      </c>
      <c r="F70" s="4" t="n">
        <v>0.3</v>
      </c>
      <c r="G70" s="5">
        <f>ROUND(E70*(1+F70),2)</f>
        <v>39.00</v>
      </c>
      <c r="H70" s="5">
        <f>ROUND(G70*NOTAS!$B$2,2)</f>
        <v>28132.48</v>
      </c>
      <c r="I70" s="6">
        <f>ROUND(G70*NOTAS!$B$3,0)</f>
        <v>126706</v>
      </c>
      <c r="J70" s="2" t="n">
        <v>1</v>
      </c>
    </row>
    <row r="71">
      <c r="A71" s="2" t="inlineStr">
        <is>
          <t>A25930 STD</t>
        </is>
      </c>
      <c r="B71" s="2" t="inlineStr"/>
      <c r="C71" s="2" t="inlineStr">
        <is>
          <t>ANILLOS MOTOR F-PALIO/SIENA 1.3 16V FIRE 70,80MM STD</t>
        </is>
      </c>
      <c r="D71" s="2" t="inlineStr">
        <is>
          <t>MAHLE</t>
        </is>
      </c>
      <c r="E71" s="3" t="n">
        <v>30</v>
      </c>
      <c r="F71" s="4" t="n">
        <v>0.3</v>
      </c>
      <c r="G71" s="5">
        <f>ROUND(E71*(1+F71),2)</f>
        <v>39.00</v>
      </c>
      <c r="H71" s="5">
        <f>ROUND(G71*NOTAS!$B$2,2)</f>
        <v>28132.48</v>
      </c>
      <c r="I71" s="6">
        <f>ROUND(G71*NOTAS!$B$3,0)</f>
        <v>126706</v>
      </c>
      <c r="J71" s="2" t="n">
        <v>1</v>
      </c>
    </row>
    <row r="72">
      <c r="A72" s="2" t="inlineStr">
        <is>
          <t>A25010 020</t>
        </is>
      </c>
      <c r="B72" s="2" t="inlineStr"/>
      <c r="C72" s="2" t="inlineStr">
        <is>
          <t>ANILLOS MOTOR F-PALIO/SIENA 1.3 8V MPI 76MM 020</t>
        </is>
      </c>
      <c r="D72" s="2" t="inlineStr">
        <is>
          <t>MAHLE</t>
        </is>
      </c>
      <c r="E72" s="3" t="n">
        <v>25</v>
      </c>
      <c r="F72" s="4" t="n">
        <v>0.3</v>
      </c>
      <c r="G72" s="5">
        <f>ROUND(E72*(1+F72),2)</f>
        <v>32.50</v>
      </c>
      <c r="H72" s="5">
        <f>ROUND(G72*NOTAS!$B$2,2)</f>
        <v>23443.73</v>
      </c>
      <c r="I72" s="6">
        <f>ROUND(G72*NOTAS!$B$3,0)</f>
        <v>105588</v>
      </c>
      <c r="J72" s="2" t="n">
        <v>2</v>
      </c>
    </row>
    <row r="73">
      <c r="A73" s="2" t="inlineStr">
        <is>
          <t>A25019 040</t>
        </is>
      </c>
      <c r="B73" s="2" t="inlineStr"/>
      <c r="C73" s="2" t="inlineStr">
        <is>
          <t>ANILLOS MOTOR F-PALIO/SIENA 1.3 8V MPI 76MM 040</t>
        </is>
      </c>
      <c r="D73" s="2" t="inlineStr">
        <is>
          <t>MAHLE</t>
        </is>
      </c>
      <c r="E73" s="3" t="n">
        <v>25</v>
      </c>
      <c r="F73" s="4" t="n">
        <v>0.3</v>
      </c>
      <c r="G73" s="5">
        <f>ROUND(E73*(1+F73),2)</f>
        <v>32.50</v>
      </c>
      <c r="H73" s="5">
        <f>ROUND(G73*NOTAS!$B$2,2)</f>
        <v>23443.73</v>
      </c>
      <c r="I73" s="6">
        <f>ROUND(G73*NOTAS!$B$3,0)</f>
        <v>105588</v>
      </c>
      <c r="J73" s="2" t="n">
        <v>3</v>
      </c>
    </row>
    <row r="74">
      <c r="A74" s="2" t="inlineStr">
        <is>
          <t>A25019 060</t>
        </is>
      </c>
      <c r="B74" s="2" t="inlineStr"/>
      <c r="C74" s="2" t="inlineStr">
        <is>
          <t>ANILLOS MOTOR F-PALIO/SIENA 1.3 8V MPI 76MM 060</t>
        </is>
      </c>
      <c r="D74" s="2" t="inlineStr">
        <is>
          <t>MAHLE</t>
        </is>
      </c>
      <c r="E74" s="3" t="n">
        <v>25</v>
      </c>
      <c r="F74" s="4" t="n">
        <v>0.3</v>
      </c>
      <c r="G74" s="5">
        <f>ROUND(E74*(1+F74),2)</f>
        <v>32.50</v>
      </c>
      <c r="H74" s="5">
        <f>ROUND(G74*NOTAS!$B$2,2)</f>
        <v>23443.73</v>
      </c>
      <c r="I74" s="6">
        <f>ROUND(G74*NOTAS!$B$3,0)</f>
        <v>105588</v>
      </c>
      <c r="J74" s="2" t="n">
        <v>1</v>
      </c>
    </row>
    <row r="75">
      <c r="A75" s="2" t="inlineStr">
        <is>
          <t>DD.6983 060</t>
        </is>
      </c>
      <c r="B75" s="2" t="inlineStr"/>
      <c r="C75" s="2" t="inlineStr">
        <is>
          <t>ANILLOS MOTOR F-PALIO/SIENA 1.3 8V MPI 76MM 060</t>
        </is>
      </c>
      <c r="D75" s="2" t="inlineStr">
        <is>
          <t>COFAP</t>
        </is>
      </c>
      <c r="E75" s="3" t="n">
        <v>25</v>
      </c>
      <c r="F75" s="4" t="n">
        <v>0.3</v>
      </c>
      <c r="G75" s="5">
        <f>ROUND(E75*(1+F75),2)</f>
        <v>32.50</v>
      </c>
      <c r="H75" s="5">
        <f>ROUND(G75*NOTAS!$B$2,2)</f>
        <v>23443.73</v>
      </c>
      <c r="I75" s="6">
        <f>ROUND(G75*NOTAS!$B$3,0)</f>
        <v>105588</v>
      </c>
      <c r="J75" s="2" t="n">
        <v>2</v>
      </c>
    </row>
    <row r="76">
      <c r="A76" s="2" t="inlineStr">
        <is>
          <t>A25019 080</t>
        </is>
      </c>
      <c r="B76" s="2" t="inlineStr"/>
      <c r="C76" s="2" t="inlineStr">
        <is>
          <t>ANILLOS MOTOR F-PALIO/SIENA 1.3 8V MPI 76MM 080</t>
        </is>
      </c>
      <c r="D76" s="2" t="inlineStr">
        <is>
          <t>MAHLE</t>
        </is>
      </c>
      <c r="E76" s="3" t="n">
        <v>25</v>
      </c>
      <c r="F76" s="4" t="n">
        <v>0.3</v>
      </c>
      <c r="G76" s="5">
        <f>ROUND(E76*(1+F76),2)</f>
        <v>32.50</v>
      </c>
      <c r="H76" s="5">
        <f>ROUND(G76*NOTAS!$B$2,2)</f>
        <v>23443.73</v>
      </c>
      <c r="I76" s="6">
        <f>ROUND(G76*NOTAS!$B$3,0)</f>
        <v>105588</v>
      </c>
      <c r="J76" s="2" t="n">
        <v>1</v>
      </c>
    </row>
    <row r="77">
      <c r="A77" s="2" t="inlineStr">
        <is>
          <t>A25019 STD</t>
        </is>
      </c>
      <c r="B77" s="2" t="inlineStr"/>
      <c r="C77" s="2" t="inlineStr">
        <is>
          <t>ANILLOS MOTOR F-PALIO/SIENA 1.3 8V MPI 76MM STD</t>
        </is>
      </c>
      <c r="D77" s="2" t="inlineStr">
        <is>
          <t>MAHLE</t>
        </is>
      </c>
      <c r="E77" s="3" t="n">
        <v>25</v>
      </c>
      <c r="F77" s="4" t="n">
        <v>0.3</v>
      </c>
      <c r="G77" s="5">
        <f>ROUND(E77*(1+F77),2)</f>
        <v>32.50</v>
      </c>
      <c r="H77" s="5">
        <f>ROUND(G77*NOTAS!$B$2,2)</f>
        <v>23443.73</v>
      </c>
      <c r="I77" s="6">
        <f>ROUND(G77*NOTAS!$B$3,0)</f>
        <v>105588</v>
      </c>
      <c r="J77" s="2" t="n">
        <v>3</v>
      </c>
    </row>
    <row r="78">
      <c r="A78" s="2" t="inlineStr">
        <is>
          <t>DA7272 020</t>
        </is>
      </c>
      <c r="B78" s="2" t="inlineStr"/>
      <c r="C78" s="2" t="inlineStr">
        <is>
          <t>ANILLOS MOTOR F-PALIO/SIENA 1.6 16V 86,4MM 020</t>
        </is>
      </c>
      <c r="D78" s="2" t="inlineStr">
        <is>
          <t>COFAP</t>
        </is>
      </c>
      <c r="E78" s="3" t="n">
        <v>25</v>
      </c>
      <c r="F78" s="4" t="n">
        <v>0.3</v>
      </c>
      <c r="G78" s="5">
        <f>ROUND(E78*(1+F78),2)</f>
        <v>32.50</v>
      </c>
      <c r="H78" s="5">
        <f>ROUND(G78*NOTAS!$B$2,2)</f>
        <v>23443.73</v>
      </c>
      <c r="I78" s="6">
        <f>ROUND(G78*NOTAS!$B$3,0)</f>
        <v>105588</v>
      </c>
      <c r="J78" s="2" t="n">
        <v>1</v>
      </c>
    </row>
    <row r="79">
      <c r="A79" s="2" t="inlineStr">
        <is>
          <t>DA7272 060</t>
        </is>
      </c>
      <c r="B79" s="2" t="inlineStr"/>
      <c r="C79" s="2" t="inlineStr">
        <is>
          <t>ANILLOS MOTOR F-PALIO/SIENA 1.6 16V 86,4MM 060</t>
        </is>
      </c>
      <c r="D79" s="2" t="inlineStr">
        <is>
          <t>COFAP</t>
        </is>
      </c>
      <c r="E79" s="3" t="n">
        <v>25</v>
      </c>
      <c r="F79" s="4" t="n">
        <v>0.3</v>
      </c>
      <c r="G79" s="5">
        <f>ROUND(E79*(1+F79),2)</f>
        <v>32.50</v>
      </c>
      <c r="H79" s="5">
        <f>ROUND(G79*NOTAS!$B$2,2)</f>
        <v>23443.73</v>
      </c>
      <c r="I79" s="6">
        <f>ROUND(G79*NOTAS!$B$3,0)</f>
        <v>105588</v>
      </c>
      <c r="J79" s="2" t="n">
        <v>1</v>
      </c>
    </row>
    <row r="80">
      <c r="A80" s="2" t="inlineStr">
        <is>
          <t>A25600 STD</t>
        </is>
      </c>
      <c r="B80" s="2" t="inlineStr"/>
      <c r="C80" s="2" t="inlineStr">
        <is>
          <t>ANILLOS MOTOR F-PALIO/SIENA 1.6 16V 86,4MM STD</t>
        </is>
      </c>
      <c r="D80" s="2" t="inlineStr">
        <is>
          <t>MAHLE</t>
        </is>
      </c>
      <c r="E80" s="3" t="n">
        <v>25</v>
      </c>
      <c r="F80" s="4" t="n">
        <v>0.3</v>
      </c>
      <c r="G80" s="5">
        <f>ROUND(E80*(1+F80),2)</f>
        <v>32.50</v>
      </c>
      <c r="H80" s="5">
        <f>ROUND(G80*NOTAS!$B$2,2)</f>
        <v>23443.73</v>
      </c>
      <c r="I80" s="6">
        <f>ROUND(G80*NOTAS!$B$3,0)</f>
        <v>105588</v>
      </c>
      <c r="J80" s="2" t="n">
        <v>2</v>
      </c>
    </row>
    <row r="81">
      <c r="A81" s="2" t="inlineStr">
        <is>
          <t>A14010 075</t>
        </is>
      </c>
      <c r="B81" s="2" t="inlineStr"/>
      <c r="C81" s="2" t="inlineStr">
        <is>
          <t>ANILLOS MOTOR G/G CHEVETTE 82MM 075 BRILLANTE</t>
        </is>
      </c>
      <c r="D81" s="2" t="inlineStr">
        <is>
          <t>MAHLE</t>
        </is>
      </c>
      <c r="E81" s="3" t="n">
        <v>20</v>
      </c>
      <c r="F81" s="4" t="n">
        <v>0.3</v>
      </c>
      <c r="G81" s="5">
        <f>ROUND(E81*(1+F81),2)</f>
        <v>26.00</v>
      </c>
      <c r="H81" s="5">
        <f>ROUND(G81*NOTAS!$B$2,2)</f>
        <v>18754.99</v>
      </c>
      <c r="I81" s="6">
        <f>ROUND(G81*NOTAS!$B$3,0)</f>
        <v>84471</v>
      </c>
      <c r="J81" s="2" t="n">
        <v>2</v>
      </c>
    </row>
    <row r="82">
      <c r="A82" s="2" t="inlineStr">
        <is>
          <t>CA.4990 075</t>
        </is>
      </c>
      <c r="B82" s="2" t="inlineStr"/>
      <c r="C82" s="2" t="inlineStr">
        <is>
          <t>ANILLOS MOTOR G/G CHEVETTE 82MM 075 BRILLANTE</t>
        </is>
      </c>
      <c r="D82" s="2" t="inlineStr">
        <is>
          <t>COFAP</t>
        </is>
      </c>
      <c r="E82" s="3" t="n">
        <v>20</v>
      </c>
      <c r="F82" s="4" t="n">
        <v>0.3</v>
      </c>
      <c r="G82" s="5">
        <f>ROUND(E82*(1+F82),2)</f>
        <v>26.00</v>
      </c>
      <c r="H82" s="5">
        <f>ROUND(G82*NOTAS!$B$2,2)</f>
        <v>18754.99</v>
      </c>
      <c r="I82" s="6">
        <f>ROUND(G82*NOTAS!$B$3,0)</f>
        <v>84471</v>
      </c>
      <c r="J82" s="2" t="n">
        <v>7</v>
      </c>
    </row>
    <row r="83">
      <c r="A83" s="2" t="inlineStr">
        <is>
          <t>A14010 100</t>
        </is>
      </c>
      <c r="B83" s="2" t="inlineStr"/>
      <c r="C83" s="2" t="inlineStr">
        <is>
          <t>ANILLOS MOTOR G/G CHEVETTE 82MM 100 BRILLANTE</t>
        </is>
      </c>
      <c r="D83" s="2" t="inlineStr">
        <is>
          <t>MAHLE</t>
        </is>
      </c>
      <c r="E83" s="3" t="n">
        <v>20</v>
      </c>
      <c r="F83" s="4" t="n">
        <v>0.3</v>
      </c>
      <c r="G83" s="5">
        <f>ROUND(E83*(1+F83),2)</f>
        <v>26.00</v>
      </c>
      <c r="H83" s="5">
        <f>ROUND(G83*NOTAS!$B$2,2)</f>
        <v>18754.99</v>
      </c>
      <c r="I83" s="6">
        <f>ROUND(G83*NOTAS!$B$3,0)</f>
        <v>84471</v>
      </c>
      <c r="J83" s="2" t="n">
        <v>1</v>
      </c>
    </row>
    <row r="84">
      <c r="A84" s="2" t="inlineStr">
        <is>
          <t>A14010 STD</t>
        </is>
      </c>
      <c r="B84" s="2" t="inlineStr"/>
      <c r="C84" s="2" t="inlineStr">
        <is>
          <t>ANILLOS MOTOR G/G CHEVETTE 82MM STD BRILLANTE</t>
        </is>
      </c>
      <c r="D84" s="2" t="inlineStr">
        <is>
          <t>MAHLE</t>
        </is>
      </c>
      <c r="E84" s="3" t="n">
        <v>20</v>
      </c>
      <c r="F84" s="4" t="n">
        <v>0.3</v>
      </c>
      <c r="G84" s="5">
        <f>ROUND(E84*(1+F84),2)</f>
        <v>26.00</v>
      </c>
      <c r="H84" s="5">
        <f>ROUND(G84*NOTAS!$B$2,2)</f>
        <v>18754.99</v>
      </c>
      <c r="I84" s="6">
        <f>ROUND(G84*NOTAS!$B$3,0)</f>
        <v>84471</v>
      </c>
      <c r="J84" s="2" t="n">
        <v>1</v>
      </c>
    </row>
    <row r="85">
      <c r="A85" s="2" t="inlineStr">
        <is>
          <t>40174 075</t>
        </is>
      </c>
      <c r="B85" s="2" t="inlineStr"/>
      <c r="C85" s="2" t="inlineStr">
        <is>
          <t>ANILLOS MOTOR OPTRA DESIGN 80,50MM 075</t>
        </is>
      </c>
      <c r="D85" s="2" t="inlineStr">
        <is>
          <t>RIK</t>
        </is>
      </c>
      <c r="E85" s="3" t="n">
        <v>20.81</v>
      </c>
      <c r="F85" s="4" t="n">
        <v>0.3</v>
      </c>
      <c r="G85" s="5">
        <f>ROUND(E85*(1+F85),2)</f>
        <v>27.05</v>
      </c>
      <c r="H85" s="5">
        <f>ROUND(G85*NOTAS!$B$2,2)</f>
        <v>19512.40</v>
      </c>
      <c r="I85" s="6">
        <f>ROUND(G85*NOTAS!$B$3,0)</f>
        <v>87882</v>
      </c>
      <c r="J85" s="2" t="n">
        <v>1</v>
      </c>
    </row>
    <row r="86">
      <c r="A86" s="2" t="inlineStr">
        <is>
          <t>A14195 STD</t>
        </is>
      </c>
      <c r="B86" s="2" t="inlineStr"/>
      <c r="C86" s="2" t="inlineStr">
        <is>
          <t>ANILLOS MOTOR OPTRA DESIGN 80,50MM STD</t>
        </is>
      </c>
      <c r="D86" s="2" t="inlineStr">
        <is>
          <t>MAHLE</t>
        </is>
      </c>
      <c r="E86" s="3" t="n">
        <v>28</v>
      </c>
      <c r="F86" s="4" t="n">
        <v>0.3</v>
      </c>
      <c r="G86" s="5">
        <f>ROUND(E86*(1+F86),2)</f>
        <v>36.40</v>
      </c>
      <c r="H86" s="5">
        <f>ROUND(G86*NOTAS!$B$2,2)</f>
        <v>26256.98</v>
      </c>
      <c r="I86" s="6">
        <f>ROUND(G86*NOTAS!$B$3,0)</f>
        <v>118259</v>
      </c>
      <c r="J86" s="2" t="n">
        <v>1</v>
      </c>
    </row>
    <row r="87">
      <c r="A87" s="2" t="inlineStr">
        <is>
          <t>A18760 025</t>
        </is>
      </c>
      <c r="B87" s="2" t="inlineStr"/>
      <c r="C87" s="2" t="inlineStr">
        <is>
          <t>ANILLOS MOTOR R-11 1.4 76MM 025</t>
        </is>
      </c>
      <c r="D87" s="2" t="inlineStr">
        <is>
          <t>MAHLE</t>
        </is>
      </c>
      <c r="E87" s="3" t="n">
        <v>20</v>
      </c>
      <c r="F87" s="4" t="n">
        <v>0.3</v>
      </c>
      <c r="G87" s="5">
        <f>ROUND(E87*(1+F87),2)</f>
        <v>26.00</v>
      </c>
      <c r="H87" s="5">
        <f>ROUND(G87*NOTAS!$B$2,2)</f>
        <v>18754.99</v>
      </c>
      <c r="I87" s="6">
        <f>ROUND(G87*NOTAS!$B$3,0)</f>
        <v>84471</v>
      </c>
      <c r="J87" s="2" t="n">
        <v>1</v>
      </c>
    </row>
    <row r="88">
      <c r="A88" s="2" t="inlineStr">
        <is>
          <t>A59015 025</t>
        </is>
      </c>
      <c r="B88" s="2" t="inlineStr"/>
      <c r="C88" s="2" t="inlineStr">
        <is>
          <t>ANILLOS MOTOR R-12/5 1.3 73MM 025</t>
        </is>
      </c>
      <c r="D88" s="2" t="inlineStr">
        <is>
          <t>MAHLE</t>
        </is>
      </c>
      <c r="E88" s="3" t="n">
        <v>20</v>
      </c>
      <c r="F88" s="4" t="n">
        <v>0.3</v>
      </c>
      <c r="G88" s="5">
        <f>ROUND(E88*(1+F88),2)</f>
        <v>26.00</v>
      </c>
      <c r="H88" s="5">
        <f>ROUND(G88*NOTAS!$B$2,2)</f>
        <v>18754.99</v>
      </c>
      <c r="I88" s="6">
        <f>ROUND(G88*NOTAS!$B$3,0)</f>
        <v>84471</v>
      </c>
      <c r="J88" s="2" t="n">
        <v>2</v>
      </c>
    </row>
    <row r="89">
      <c r="A89" s="2" t="inlineStr">
        <is>
          <t>A18500 025</t>
        </is>
      </c>
      <c r="B89" s="2" t="inlineStr"/>
      <c r="C89" s="2" t="inlineStr">
        <is>
          <t>ANILLOS MOTOR R-19 1.4 75,80MM 025</t>
        </is>
      </c>
      <c r="D89" s="2" t="inlineStr">
        <is>
          <t>MAHLE</t>
        </is>
      </c>
      <c r="E89" s="3" t="n">
        <v>20</v>
      </c>
      <c r="F89" s="4" t="n">
        <v>0.3</v>
      </c>
      <c r="G89" s="5">
        <f>ROUND(E89*(1+F89),2)</f>
        <v>26.00</v>
      </c>
      <c r="H89" s="5">
        <f>ROUND(G89*NOTAS!$B$2,2)</f>
        <v>18754.99</v>
      </c>
      <c r="I89" s="6">
        <f>ROUND(G89*NOTAS!$B$3,0)</f>
        <v>84471</v>
      </c>
      <c r="J89" s="2" t="n">
        <v>1</v>
      </c>
    </row>
    <row r="90">
      <c r="A90" s="2" t="inlineStr">
        <is>
          <t>48-795-02/01 025</t>
        </is>
      </c>
      <c r="B90" s="2" t="inlineStr"/>
      <c r="C90" s="2" t="inlineStr">
        <is>
          <t>ANILLOS MOTOR R-LOGAN 8V 79,5MM 025</t>
        </is>
      </c>
      <c r="D90" s="2" t="inlineStr">
        <is>
          <t>CTI</t>
        </is>
      </c>
      <c r="E90" s="3" t="n">
        <v>17.5</v>
      </c>
      <c r="F90" s="4" t="n">
        <v>0.3</v>
      </c>
      <c r="G90" s="5">
        <f>ROUND(E90*(1+F90),2)</f>
        <v>22.75</v>
      </c>
      <c r="H90" s="5">
        <f>ROUND(G90*NOTAS!$B$2,2)</f>
        <v>16410.61</v>
      </c>
      <c r="I90" s="6">
        <f>ROUND(G90*NOTAS!$B$3,0)</f>
        <v>73912</v>
      </c>
      <c r="J90" s="2" t="n">
        <v>1</v>
      </c>
    </row>
    <row r="91">
      <c r="A91" s="2" t="inlineStr">
        <is>
          <t>48-795-02/02 050</t>
        </is>
      </c>
      <c r="B91" s="2" t="inlineStr"/>
      <c r="C91" s="2" t="inlineStr">
        <is>
          <t>ANILLOS MOTOR R-LOGAN 8V 79,5MM 050</t>
        </is>
      </c>
      <c r="D91" s="2" t="inlineStr">
        <is>
          <t>CTI</t>
        </is>
      </c>
      <c r="E91" s="3" t="n">
        <v>17.5</v>
      </c>
      <c r="F91" s="4" t="n">
        <v>0.3</v>
      </c>
      <c r="G91" s="5">
        <f>ROUND(E91*(1+F91),2)</f>
        <v>22.75</v>
      </c>
      <c r="H91" s="5">
        <f>ROUND(G91*NOTAS!$B$2,2)</f>
        <v>16410.61</v>
      </c>
      <c r="I91" s="6">
        <f>ROUND(G91*NOTAS!$B$3,0)</f>
        <v>73912</v>
      </c>
      <c r="J91" s="2" t="n">
        <v>1</v>
      </c>
    </row>
    <row r="92">
      <c r="A92" s="2" t="inlineStr">
        <is>
          <t>48-795-02</t>
        </is>
      </c>
      <c r="B92" s="2" t="inlineStr"/>
      <c r="C92" s="2" t="inlineStr">
        <is>
          <t>ANILLOS MOTOR R-LOGAN 8V STD</t>
        </is>
      </c>
      <c r="D92" s="2" t="inlineStr">
        <is>
          <t>CNPR</t>
        </is>
      </c>
      <c r="E92" s="3" t="n">
        <v>17.5</v>
      </c>
      <c r="F92" s="4" t="n">
        <v>0.3</v>
      </c>
      <c r="G92" s="5">
        <f>ROUND(E92*(1+F92),2)</f>
        <v>22.75</v>
      </c>
      <c r="H92" s="5">
        <f>ROUND(G92*NOTAS!$B$2,2)</f>
        <v>16410.61</v>
      </c>
      <c r="I92" s="6">
        <f>ROUND(G92*NOTAS!$B$3,0)</f>
        <v>73912</v>
      </c>
      <c r="J92" s="2" t="n">
        <v>1</v>
      </c>
    </row>
    <row r="93">
      <c r="A93" s="2" t="inlineStr">
        <is>
          <t>A95050 025</t>
        </is>
      </c>
      <c r="B93" s="2" t="inlineStr"/>
      <c r="C93" s="2" t="inlineStr">
        <is>
          <t>ANILLOS MOTOR SPARK 68,50MM 025</t>
        </is>
      </c>
      <c r="D93" s="2" t="inlineStr">
        <is>
          <t>MAHLE</t>
        </is>
      </c>
      <c r="E93" s="3" t="n">
        <v>10.83</v>
      </c>
      <c r="F93" s="4" t="n">
        <v>0.3</v>
      </c>
      <c r="G93" s="5">
        <f>ROUND(E93*(1+F93),2)</f>
        <v>14.08</v>
      </c>
      <c r="H93" s="5">
        <f>ROUND(G93*NOTAS!$B$2,2)</f>
        <v>10156.55</v>
      </c>
      <c r="I93" s="6">
        <f>ROUND(G93*NOTAS!$B$3,0)</f>
        <v>45744</v>
      </c>
      <c r="J93" s="2" t="n">
        <v>1</v>
      </c>
    </row>
    <row r="94">
      <c r="A94" s="2" t="inlineStr">
        <is>
          <t>A95090 050</t>
        </is>
      </c>
      <c r="B94" s="2" t="inlineStr"/>
      <c r="C94" s="2" t="inlineStr">
        <is>
          <t>ANILLOS MOTOR SPARK 68,50MM 050</t>
        </is>
      </c>
      <c r="D94" s="2" t="inlineStr">
        <is>
          <t>MAHLE</t>
        </is>
      </c>
      <c r="E94" s="3" t="n">
        <v>11.28</v>
      </c>
      <c r="F94" s="4" t="n">
        <v>0.3</v>
      </c>
      <c r="G94" s="5">
        <f>ROUND(E94*(1+F94),2)</f>
        <v>14.66</v>
      </c>
      <c r="H94" s="5">
        <f>ROUND(G94*NOTAS!$B$2,2)</f>
        <v>10574.93</v>
      </c>
      <c r="I94" s="6">
        <f>ROUND(G94*NOTAS!$B$3,0)</f>
        <v>47628</v>
      </c>
      <c r="J94" s="2" t="n">
        <v>1</v>
      </c>
    </row>
    <row r="95">
      <c r="A95" s="2" t="inlineStr">
        <is>
          <t>40105 050</t>
        </is>
      </c>
      <c r="B95" s="2" t="inlineStr"/>
      <c r="C95" s="2" t="inlineStr">
        <is>
          <t>ANILLOS MOTOR SPARK 68,50MM 050</t>
        </is>
      </c>
      <c r="D95" s="2" t="inlineStr">
        <is>
          <t>RIK</t>
        </is>
      </c>
      <c r="E95" s="3" t="n">
        <v>17.91</v>
      </c>
      <c r="F95" s="4" t="n">
        <v>0.3</v>
      </c>
      <c r="G95" s="5">
        <f>ROUND(E95*(1+F95),2)</f>
        <v>23.28</v>
      </c>
      <c r="H95" s="5">
        <f>ROUND(G95*NOTAS!$B$2,2)</f>
        <v>16792.93</v>
      </c>
      <c r="I95" s="6">
        <f>ROUND(G95*NOTAS!$B$3,0)</f>
        <v>75634</v>
      </c>
      <c r="J95" s="2" t="n">
        <v>1</v>
      </c>
    </row>
    <row r="96">
      <c r="A96" s="2" t="inlineStr">
        <is>
          <t>A95050 STD</t>
        </is>
      </c>
      <c r="B96" s="2" t="inlineStr"/>
      <c r="C96" s="2" t="inlineStr">
        <is>
          <t>ANILLOS MOTOR SPARK 68,50MM STD</t>
        </is>
      </c>
      <c r="D96" s="2" t="inlineStr">
        <is>
          <t>MAHLE</t>
        </is>
      </c>
      <c r="E96" s="3" t="n">
        <v>11.28</v>
      </c>
      <c r="F96" s="4" t="n">
        <v>0.3</v>
      </c>
      <c r="G96" s="5">
        <f>ROUND(E96*(1+F96),2)</f>
        <v>14.66</v>
      </c>
      <c r="H96" s="5">
        <f>ROUND(G96*NOTAS!$B$2,2)</f>
        <v>10574.93</v>
      </c>
      <c r="I96" s="6">
        <f>ROUND(G96*NOTAS!$B$3,0)</f>
        <v>47628</v>
      </c>
      <c r="J96" s="2" t="n">
        <v>1</v>
      </c>
    </row>
    <row r="97">
      <c r="A97" s="2" t="inlineStr">
        <is>
          <t>40105 STD</t>
        </is>
      </c>
      <c r="B97" s="2" t="inlineStr"/>
      <c r="C97" s="2" t="inlineStr">
        <is>
          <t>ANILLOS MOTOR SPARK 68,50MM STD</t>
        </is>
      </c>
      <c r="D97" s="2" t="inlineStr">
        <is>
          <t>RIK</t>
        </is>
      </c>
      <c r="E97" s="3" t="n">
        <v>17.91</v>
      </c>
      <c r="F97" s="4" t="n">
        <v>0.3</v>
      </c>
      <c r="G97" s="5">
        <f>ROUND(E97*(1+F97),2)</f>
        <v>23.28</v>
      </c>
      <c r="H97" s="5">
        <f>ROUND(G97*NOTAS!$B$2,2)</f>
        <v>16792.93</v>
      </c>
      <c r="I97" s="6">
        <f>ROUND(G97*NOTAS!$B$3,0)</f>
        <v>75634</v>
      </c>
      <c r="J97" s="2" t="n">
        <v>1</v>
      </c>
    </row>
    <row r="98">
      <c r="A98" s="2" t="inlineStr">
        <is>
          <t>4218003</t>
        </is>
      </c>
      <c r="B98" s="2" t="inlineStr"/>
      <c r="C98" s="2" t="inlineStr">
        <is>
          <t>ANTENA TECHO CORSA 2PTAS</t>
        </is>
      </c>
      <c r="D98" s="2" t="inlineStr">
        <is>
          <t>BRITE</t>
        </is>
      </c>
      <c r="E98" s="3" t="n">
        <v>6.1538</v>
      </c>
      <c r="F98" s="4" t="n">
        <v>0.3</v>
      </c>
      <c r="G98" s="5">
        <f>ROUND(E98*(1+F98),2)</f>
        <v>8.00</v>
      </c>
      <c r="H98" s="5">
        <f>ROUND(G98*NOTAS!$B$2,2)</f>
        <v>5770.76</v>
      </c>
      <c r="I98" s="6">
        <f>ROUND(G98*NOTAS!$B$3,0)</f>
        <v>25991</v>
      </c>
      <c r="J98" s="2" t="n">
        <v>1</v>
      </c>
    </row>
    <row r="99">
      <c r="A99" s="2" t="inlineStr"/>
      <c r="B99" s="2" t="inlineStr"/>
      <c r="C99" s="2" t="inlineStr">
        <is>
          <t>ANTENA TECHO CORSA 2PTAS</t>
        </is>
      </c>
      <c r="D99" s="2" t="inlineStr">
        <is>
          <t>NSN</t>
        </is>
      </c>
      <c r="E99" s="3" t="n">
        <v>6.1538</v>
      </c>
      <c r="F99" s="4" t="n">
        <v>0.3</v>
      </c>
      <c r="G99" s="5">
        <f>ROUND(E99*(1+F99),2)</f>
        <v>8.00</v>
      </c>
      <c r="H99" s="5">
        <f>ROUND(G99*NOTAS!$B$2,2)</f>
        <v>5770.76</v>
      </c>
      <c r="I99" s="6">
        <f>ROUND(G99*NOTAS!$B$3,0)</f>
        <v>25991</v>
      </c>
      <c r="J99" s="2" t="n">
        <v>1</v>
      </c>
    </row>
    <row r="100">
      <c r="A100" s="2" t="inlineStr">
        <is>
          <t>11093042</t>
        </is>
      </c>
      <c r="B100" s="2" t="inlineStr"/>
      <c r="C100" s="2" t="inlineStr">
        <is>
          <t>ARANDELA BOMBA ACEITE CIELO/LANOS/CORSA</t>
        </is>
      </c>
      <c r="D100" s="2" t="inlineStr">
        <is>
          <t>GM</t>
        </is>
      </c>
      <c r="E100" s="3" t="n">
        <v>2.3077</v>
      </c>
      <c r="F100" s="4" t="n">
        <v>0.3</v>
      </c>
      <c r="G100" s="5">
        <f>ROUND(E100*(1+F100),2)</f>
        <v>3.00</v>
      </c>
      <c r="H100" s="5">
        <f>ROUND(G100*NOTAS!$B$2,2)</f>
        <v>2164.04</v>
      </c>
      <c r="I100" s="6">
        <f>ROUND(G100*NOTAS!$B$3,0)</f>
        <v>9747</v>
      </c>
      <c r="J100" s="2" t="n">
        <v>20</v>
      </c>
    </row>
    <row r="101">
      <c r="A101" s="2" t="inlineStr">
        <is>
          <t>266</t>
        </is>
      </c>
      <c r="B101" s="2" t="inlineStr"/>
      <c r="C101" s="2" t="inlineStr">
        <is>
          <t>ARBOL DE LEVA CHEVETTE 1.6</t>
        </is>
      </c>
      <c r="D101" s="2" t="inlineStr">
        <is>
          <t>APLIC</t>
        </is>
      </c>
      <c r="E101" s="3" t="n">
        <v>70</v>
      </c>
      <c r="F101" s="4" t="n">
        <v>0.3</v>
      </c>
      <c r="G101" s="5">
        <f>ROUND(E101*(1+F101),2)</f>
        <v>91.00</v>
      </c>
      <c r="H101" s="5">
        <f>ROUND(G101*NOTAS!$B$2,2)</f>
        <v>65642.45</v>
      </c>
      <c r="I101" s="6">
        <f>ROUND(G101*NOTAS!$B$3,0)</f>
        <v>295647</v>
      </c>
      <c r="J101" s="2" t="n">
        <v>4</v>
      </c>
    </row>
    <row r="102">
      <c r="A102" s="2" t="inlineStr">
        <is>
          <t>133</t>
        </is>
      </c>
      <c r="B102" s="2" t="inlineStr"/>
      <c r="C102" s="2" t="inlineStr">
        <is>
          <t>ARBOL DE LEVA CORCEL</t>
        </is>
      </c>
      <c r="D102" s="2" t="inlineStr">
        <is>
          <t>APLIC</t>
        </is>
      </c>
      <c r="E102" s="3" t="n">
        <v>26</v>
      </c>
      <c r="F102" s="4" t="n">
        <v>0.3</v>
      </c>
      <c r="G102" s="5">
        <f>ROUND(E102*(1+F102),2)</f>
        <v>33.80</v>
      </c>
      <c r="H102" s="5">
        <f>ROUND(G102*NOTAS!$B$2,2)</f>
        <v>24381.48</v>
      </c>
      <c r="I102" s="6">
        <f>ROUND(G102*NOTAS!$B$3,0)</f>
        <v>109812</v>
      </c>
      <c r="J102" s="2" t="n">
        <v>1</v>
      </c>
    </row>
    <row r="103">
      <c r="A103" s="2" t="inlineStr">
        <is>
          <t>312</t>
        </is>
      </c>
      <c r="B103" s="2" t="inlineStr"/>
      <c r="C103" s="2" t="inlineStr">
        <is>
          <t>ARBOL DE LEVA F-147/UNO 1.3</t>
        </is>
      </c>
      <c r="D103" s="2" t="inlineStr">
        <is>
          <t>APLIC</t>
        </is>
      </c>
      <c r="E103" s="3" t="n">
        <v>70</v>
      </c>
      <c r="F103" s="4" t="n">
        <v>0.3</v>
      </c>
      <c r="G103" s="5">
        <f>ROUND(E103*(1+F103),2)</f>
        <v>91.00</v>
      </c>
      <c r="H103" s="5">
        <f>ROUND(G103*NOTAS!$B$2,2)</f>
        <v>65642.45</v>
      </c>
      <c r="I103" s="6">
        <f>ROUND(G103*NOTAS!$B$3,0)</f>
        <v>295647</v>
      </c>
      <c r="J103" s="2" t="n">
        <v>2</v>
      </c>
    </row>
    <row r="104">
      <c r="A104" s="2" t="inlineStr">
        <is>
          <t>900108</t>
        </is>
      </c>
      <c r="B104" s="2" t="inlineStr"/>
      <c r="C104" s="2" t="inlineStr">
        <is>
          <t>ARBOL DE LEVA FIESTA/KA 1.6 OXIDADO</t>
        </is>
      </c>
      <c r="D104" s="2" t="inlineStr">
        <is>
          <t>FORD</t>
        </is>
      </c>
      <c r="E104" s="3" t="n">
        <v>70</v>
      </c>
      <c r="F104" s="4" t="n">
        <v>0.3</v>
      </c>
      <c r="G104" s="5">
        <f>ROUND(E104*(1+F104),2)</f>
        <v>91.00</v>
      </c>
      <c r="H104" s="5">
        <f>ROUND(G104*NOTAS!$B$2,2)</f>
        <v>65642.45</v>
      </c>
      <c r="I104" s="6">
        <f>ROUND(G104*NOTAS!$B$3,0)</f>
        <v>295647</v>
      </c>
      <c r="J104" s="2" t="n">
        <v>2</v>
      </c>
    </row>
    <row r="105">
      <c r="A105" s="2" t="inlineStr">
        <is>
          <t>339</t>
        </is>
      </c>
      <c r="B105" s="2" t="inlineStr"/>
      <c r="C105" s="2" t="inlineStr">
        <is>
          <t>ARBOL DE LEVA F-PALIO/SIENA 1.3 16V FIRE ADMICION</t>
        </is>
      </c>
      <c r="D105" s="2" t="inlineStr">
        <is>
          <t>APLIC</t>
        </is>
      </c>
      <c r="E105" s="3" t="n">
        <v>72</v>
      </c>
      <c r="F105" s="4" t="n">
        <v>0.3</v>
      </c>
      <c r="G105" s="5">
        <f>ROUND(E105*(1+F105),2)</f>
        <v>93.60</v>
      </c>
      <c r="H105" s="5">
        <f>ROUND(G105*NOTAS!$B$2,2)</f>
        <v>67517.95</v>
      </c>
      <c r="I105" s="6">
        <f>ROUND(G105*NOTAS!$B$3,0)</f>
        <v>304094</v>
      </c>
      <c r="J105" s="2" t="n">
        <v>2</v>
      </c>
    </row>
    <row r="106">
      <c r="A106" s="2" t="inlineStr">
        <is>
          <t>320</t>
        </is>
      </c>
      <c r="B106" s="2" t="inlineStr"/>
      <c r="C106" s="2" t="inlineStr">
        <is>
          <t>ARBOL DE LEVA F-PALIO/SIENA 1.3 8V MPI</t>
        </is>
      </c>
      <c r="D106" s="2" t="inlineStr">
        <is>
          <t>APLIC</t>
        </is>
      </c>
      <c r="E106" s="3" t="n">
        <v>70</v>
      </c>
      <c r="F106" s="4" t="n">
        <v>0.3</v>
      </c>
      <c r="G106" s="5">
        <f>ROUND(E106*(1+F106),2)</f>
        <v>91.00</v>
      </c>
      <c r="H106" s="5">
        <f>ROUND(G106*NOTAS!$B$2,2)</f>
        <v>65642.45</v>
      </c>
      <c r="I106" s="6">
        <f>ROUND(G106*NOTAS!$B$3,0)</f>
        <v>295647</v>
      </c>
      <c r="J106" s="2" t="n">
        <v>2</v>
      </c>
    </row>
    <row r="107">
      <c r="A107" s="2" t="inlineStr">
        <is>
          <t>93235615-1</t>
        </is>
      </c>
      <c r="B107" s="2" t="inlineStr"/>
      <c r="C107" s="2" t="inlineStr">
        <is>
          <t xml:space="preserve">ARBOL DE LEVA F-PALIO/SIENA 1.8 IDEA </t>
        </is>
      </c>
      <c r="D107" s="2" t="inlineStr">
        <is>
          <t>ZUTACA</t>
        </is>
      </c>
      <c r="E107" s="3" t="n">
        <v>50</v>
      </c>
      <c r="F107" s="4" t="n">
        <v>0.3</v>
      </c>
      <c r="G107" s="5">
        <f>ROUND(E107*(1+F107),2)</f>
        <v>65.00</v>
      </c>
      <c r="H107" s="5">
        <f>ROUND(G107*NOTAS!$B$2,2)</f>
        <v>46887.46</v>
      </c>
      <c r="I107" s="6">
        <f>ROUND(G107*NOTAS!$B$3,0)</f>
        <v>211177</v>
      </c>
      <c r="J107" s="2" t="n">
        <v>1</v>
      </c>
    </row>
    <row r="108">
      <c r="A108" s="2" t="inlineStr">
        <is>
          <t>267</t>
        </is>
      </c>
      <c r="B108" s="2" t="inlineStr"/>
      <c r="C108" s="2" t="inlineStr">
        <is>
          <t>ARBOL DE LEVA MONZA</t>
        </is>
      </c>
      <c r="D108" s="2" t="inlineStr">
        <is>
          <t>APLIC</t>
        </is>
      </c>
      <c r="E108" s="3" t="n">
        <v>70</v>
      </c>
      <c r="F108" s="4" t="n">
        <v>0.3</v>
      </c>
      <c r="G108" s="5">
        <f>ROUND(E108*(1+F108),2)</f>
        <v>91.00</v>
      </c>
      <c r="H108" s="5">
        <f>ROUND(G108*NOTAS!$B$2,2)</f>
        <v>65642.45</v>
      </c>
      <c r="I108" s="6">
        <f>ROUND(G108*NOTAS!$B$3,0)</f>
        <v>295647</v>
      </c>
      <c r="J108" s="2" t="n">
        <v>3</v>
      </c>
    </row>
    <row r="109">
      <c r="A109" s="2" t="inlineStr">
        <is>
          <t>90250034</t>
        </is>
      </c>
      <c r="B109" s="2" t="inlineStr"/>
      <c r="C109" s="2" t="inlineStr">
        <is>
          <t xml:space="preserve">ARO INTERMEDIO CIELO LANOS </t>
        </is>
      </c>
      <c r="D109" s="2" t="inlineStr">
        <is>
          <t>KOREA</t>
        </is>
      </c>
      <c r="E109" s="3" t="n">
        <v>4</v>
      </c>
      <c r="F109" s="4" t="n">
        <v>0.3</v>
      </c>
      <c r="G109" s="5">
        <f>ROUND(E109*(1+F109),2)</f>
        <v>5.20</v>
      </c>
      <c r="H109" s="5">
        <f>ROUND(G109*NOTAS!$B$2,2)</f>
        <v>3751.00</v>
      </c>
      <c r="I109" s="6">
        <f>ROUND(G109*NOTAS!$B$3,0)</f>
        <v>16894</v>
      </c>
      <c r="J109" s="2" t="n">
        <v>10</v>
      </c>
    </row>
    <row r="110">
      <c r="A110" s="2" t="inlineStr"/>
      <c r="B110" s="2" t="inlineStr"/>
      <c r="C110" s="2" t="inlineStr">
        <is>
          <t>ARO SINCRONICO 1RA Y 2DA EXT CIELO/LANOS</t>
        </is>
      </c>
      <c r="D110" s="2" t="inlineStr">
        <is>
          <t>KOREA</t>
        </is>
      </c>
      <c r="E110" s="3" t="n">
        <v>9</v>
      </c>
      <c r="F110" s="4" t="n">
        <v>0.3</v>
      </c>
      <c r="G110" s="5">
        <f>ROUND(E110*(1+F110),2)</f>
        <v>11.70</v>
      </c>
      <c r="H110" s="5">
        <f>ROUND(G110*NOTAS!$B$2,2)</f>
        <v>8439.74</v>
      </c>
      <c r="I110" s="6">
        <f>ROUND(G110*NOTAS!$B$3,0)</f>
        <v>38012</v>
      </c>
      <c r="J110" s="2" t="n">
        <v>10</v>
      </c>
    </row>
    <row r="111">
      <c r="A111" s="2" t="inlineStr">
        <is>
          <t>9126089</t>
        </is>
      </c>
      <c r="B111" s="2" t="inlineStr"/>
      <c r="C111" s="2" t="inlineStr">
        <is>
          <t>ARO SINCRONICO 1RA Y 2DA EXT CORSA</t>
        </is>
      </c>
      <c r="D111" s="2" t="inlineStr">
        <is>
          <t>GM ORIG</t>
        </is>
      </c>
      <c r="E111" s="3" t="n">
        <v>10</v>
      </c>
      <c r="F111" s="4" t="n">
        <v>0.3</v>
      </c>
      <c r="G111" s="5">
        <f>ROUND(E111*(1+F111),2)</f>
        <v>13.00</v>
      </c>
      <c r="H111" s="5">
        <f>ROUND(G111*NOTAS!$B$2,2)</f>
        <v>9377.49</v>
      </c>
      <c r="I111" s="6">
        <f>ROUND(G111*NOTAS!$B$3,0)</f>
        <v>42235</v>
      </c>
      <c r="J111" s="2" t="n">
        <v>10</v>
      </c>
    </row>
    <row r="112">
      <c r="A112" s="2" t="inlineStr">
        <is>
          <t>PL-360.02</t>
        </is>
      </c>
      <c r="B112" s="2" t="inlineStr"/>
      <c r="C112" s="2" t="inlineStr">
        <is>
          <t>ARO SINCRONICO 1RA Y 2DA F-UNO/PREMIO/REGATAPALIO/TEMPRA</t>
        </is>
      </c>
      <c r="D112" s="2" t="inlineStr">
        <is>
          <t>PLATINUM</t>
        </is>
      </c>
      <c r="E112" s="3" t="n">
        <v>9</v>
      </c>
      <c r="F112" s="4" t="n">
        <v>0.3</v>
      </c>
      <c r="G112" s="5">
        <f>ROUND(E112*(1+F112),2)</f>
        <v>11.70</v>
      </c>
      <c r="H112" s="5">
        <f>ROUND(G112*NOTAS!$B$2,2)</f>
        <v>8439.74</v>
      </c>
      <c r="I112" s="6">
        <f>ROUND(G112*NOTAS!$B$3,0)</f>
        <v>38012</v>
      </c>
      <c r="J112" s="2" t="n">
        <v>2</v>
      </c>
    </row>
    <row r="113">
      <c r="A113" s="2" t="inlineStr">
        <is>
          <t>7629336</t>
        </is>
      </c>
      <c r="B113" s="2" t="inlineStr"/>
      <c r="C113" s="2" t="inlineStr">
        <is>
          <t>ARO SINCRONICO 1RA Y 2DA F-UNO/PREMIO/REGATAPALIO/TEMPRA</t>
        </is>
      </c>
      <c r="D113" s="2" t="inlineStr">
        <is>
          <t>WOLF</t>
        </is>
      </c>
      <c r="E113" s="3" t="n">
        <v>9</v>
      </c>
      <c r="F113" s="4" t="n">
        <v>0.3</v>
      </c>
      <c r="G113" s="5">
        <f>ROUND(E113*(1+F113),2)</f>
        <v>11.70</v>
      </c>
      <c r="H113" s="5">
        <f>ROUND(G113*NOTAS!$B$2,2)</f>
        <v>8439.74</v>
      </c>
      <c r="I113" s="6">
        <f>ROUND(G113*NOTAS!$B$3,0)</f>
        <v>38012</v>
      </c>
      <c r="J113" s="2" t="n">
        <v>1</v>
      </c>
    </row>
    <row r="114">
      <c r="A114" s="2" t="inlineStr"/>
      <c r="B114" s="2" t="inlineStr"/>
      <c r="C114" s="2" t="inlineStr">
        <is>
          <t>ARO SINCRONICO 1RA Y 2DA INT CIELO/LANOS</t>
        </is>
      </c>
      <c r="D114" s="2" t="inlineStr">
        <is>
          <t>KOREA</t>
        </is>
      </c>
      <c r="E114" s="3" t="n">
        <v>8</v>
      </c>
      <c r="F114" s="4" t="n">
        <v>0.3</v>
      </c>
      <c r="G114" s="5">
        <f>ROUND(E114*(1+F114),2)</f>
        <v>10.40</v>
      </c>
      <c r="H114" s="5">
        <f>ROUND(G114*NOTAS!$B$2,2)</f>
        <v>7501.99</v>
      </c>
      <c r="I114" s="6">
        <f>ROUND(G114*NOTAS!$B$3,0)</f>
        <v>33788</v>
      </c>
      <c r="J114" s="2" t="n">
        <v>5</v>
      </c>
    </row>
    <row r="115">
      <c r="A115" s="2" t="inlineStr"/>
      <c r="B115" s="2" t="inlineStr"/>
      <c r="C115" s="2" t="inlineStr">
        <is>
          <t>ARO SINCRONICO 1RA Y 2DA R-19</t>
        </is>
      </c>
      <c r="D115" s="2" t="inlineStr"/>
      <c r="E115" s="3" t="n">
        <v>8</v>
      </c>
      <c r="F115" s="4" t="n">
        <v>0.3</v>
      </c>
      <c r="G115" s="5">
        <f>ROUND(E115*(1+F115),2)</f>
        <v>10.40</v>
      </c>
      <c r="H115" s="5">
        <f>ROUND(G115*NOTAS!$B$2,2)</f>
        <v>7501.99</v>
      </c>
      <c r="I115" s="6">
        <f>ROUND(G115*NOTAS!$B$3,0)</f>
        <v>33788</v>
      </c>
      <c r="J115" s="2" t="n">
        <v>7</v>
      </c>
    </row>
    <row r="116">
      <c r="A116" s="2" t="inlineStr"/>
      <c r="B116" s="2" t="inlineStr"/>
      <c r="C116" s="2" t="inlineStr">
        <is>
          <t>ARO SINCRONICO 2DA R-12</t>
        </is>
      </c>
      <c r="D116" s="2" t="inlineStr"/>
      <c r="E116" s="3" t="n">
        <v>7</v>
      </c>
      <c r="F116" s="4" t="n">
        <v>0.3</v>
      </c>
      <c r="G116" s="5">
        <f>ROUND(E116*(1+F116),2)</f>
        <v>9.10</v>
      </c>
      <c r="H116" s="5">
        <f>ROUND(G116*NOTAS!$B$2,2)</f>
        <v>6564.24</v>
      </c>
      <c r="I116" s="6">
        <f>ROUND(G116*NOTAS!$B$3,0)</f>
        <v>29565</v>
      </c>
      <c r="J116" s="2" t="n">
        <v>2</v>
      </c>
    </row>
    <row r="117">
      <c r="A117" s="2" t="inlineStr">
        <is>
          <t>PL-066.02</t>
        </is>
      </c>
      <c r="B117" s="2" t="inlineStr"/>
      <c r="C117" s="2" t="inlineStr">
        <is>
          <t>ARO SINCRONICO 3RA 4TA F-UNO/PREMIO/REGATA/PALIO/TEMPRA</t>
        </is>
      </c>
      <c r="D117" s="2" t="inlineStr">
        <is>
          <t>PLATINUM</t>
        </is>
      </c>
      <c r="E117" s="3" t="n">
        <v>4</v>
      </c>
      <c r="F117" s="4" t="n">
        <v>0.3</v>
      </c>
      <c r="G117" s="5">
        <f>ROUND(E117*(1+F117),2)</f>
        <v>5.20</v>
      </c>
      <c r="H117" s="5">
        <f>ROUND(G117*NOTAS!$B$2,2)</f>
        <v>3751.00</v>
      </c>
      <c r="I117" s="6">
        <f>ROUND(G117*NOTAS!$B$3,0)</f>
        <v>16894</v>
      </c>
      <c r="J117" s="2" t="n">
        <v>4</v>
      </c>
    </row>
    <row r="118">
      <c r="A118" s="2" t="inlineStr">
        <is>
          <t>38021R</t>
        </is>
      </c>
      <c r="B118" s="2" t="inlineStr"/>
      <c r="C118" s="2" t="inlineStr">
        <is>
          <t>ARO SINCRONICO 3RA 4TA F-UNO/PREMIO/REGATA/PALIO/TEMPRA</t>
        </is>
      </c>
      <c r="D118" s="2" t="inlineStr">
        <is>
          <t>ITALY</t>
        </is>
      </c>
      <c r="E118" s="3" t="n">
        <v>4</v>
      </c>
      <c r="F118" s="4" t="n">
        <v>0.3</v>
      </c>
      <c r="G118" s="5">
        <f>ROUND(E118*(1+F118),2)</f>
        <v>5.20</v>
      </c>
      <c r="H118" s="5">
        <f>ROUND(G118*NOTAS!$B$2,2)</f>
        <v>3751.00</v>
      </c>
      <c r="I118" s="6">
        <f>ROUND(G118*NOTAS!$B$3,0)</f>
        <v>16894</v>
      </c>
      <c r="J118" s="2" t="n">
        <v>2</v>
      </c>
    </row>
    <row r="119">
      <c r="A119" s="2" t="inlineStr">
        <is>
          <t>94580747</t>
        </is>
      </c>
      <c r="B119" s="2" t="inlineStr"/>
      <c r="C119" s="2" t="inlineStr">
        <is>
          <t>ARO SINCRONICO 5TA CIELO/LANOS</t>
        </is>
      </c>
      <c r="D119" s="2" t="inlineStr">
        <is>
          <t>GM KOREA</t>
        </is>
      </c>
      <c r="E119" s="3" t="n">
        <v>4</v>
      </c>
      <c r="F119" s="4" t="n">
        <v>0.3</v>
      </c>
      <c r="G119" s="5">
        <f>ROUND(E119*(1+F119),2)</f>
        <v>5.20</v>
      </c>
      <c r="H119" s="5">
        <f>ROUND(G119*NOTAS!$B$2,2)</f>
        <v>3751.00</v>
      </c>
      <c r="I119" s="6">
        <f>ROUND(G119*NOTAS!$B$3,0)</f>
        <v>16894</v>
      </c>
      <c r="J119" s="2" t="n">
        <v>2</v>
      </c>
    </row>
    <row r="120">
      <c r="A120" s="2" t="inlineStr">
        <is>
          <t>90147286</t>
        </is>
      </c>
      <c r="B120" s="2" t="inlineStr"/>
      <c r="C120" s="2" t="inlineStr">
        <is>
          <t>ARO SINCRONICO 5TA CORSA</t>
        </is>
      </c>
      <c r="D120" s="2" t="inlineStr">
        <is>
          <t>GM ORIG</t>
        </is>
      </c>
      <c r="E120" s="3" t="n">
        <v>4</v>
      </c>
      <c r="F120" s="4" t="n">
        <v>0.3</v>
      </c>
      <c r="G120" s="5">
        <f>ROUND(E120*(1+F120),2)</f>
        <v>5.20</v>
      </c>
      <c r="H120" s="5">
        <f>ROUND(G120*NOTAS!$B$2,2)</f>
        <v>3751.00</v>
      </c>
      <c r="I120" s="6">
        <f>ROUND(G120*NOTAS!$B$3,0)</f>
        <v>16894</v>
      </c>
      <c r="J120" s="2" t="n">
        <v>1</v>
      </c>
    </row>
    <row r="121">
      <c r="A121" s="2" t="inlineStr">
        <is>
          <t>PL-065.02</t>
        </is>
      </c>
      <c r="B121" s="2" t="inlineStr"/>
      <c r="C121" s="2" t="inlineStr">
        <is>
          <t>ARO SINCRONICO 5TA F-UNO/PREMIO/REGATAPALIO/TEMPRA</t>
        </is>
      </c>
      <c r="D121" s="2" t="inlineStr">
        <is>
          <t>PLATINUM</t>
        </is>
      </c>
      <c r="E121" s="3" t="n">
        <v>5</v>
      </c>
      <c r="F121" s="4" t="n">
        <v>0.3</v>
      </c>
      <c r="G121" s="5">
        <f>ROUND(E121*(1+F121),2)</f>
        <v>6.50</v>
      </c>
      <c r="H121" s="5">
        <f>ROUND(G121*NOTAS!$B$2,2)</f>
        <v>4688.75</v>
      </c>
      <c r="I121" s="6">
        <f>ROUND(G121*NOTAS!$B$3,0)</f>
        <v>21118</v>
      </c>
      <c r="J121" s="2" t="n">
        <v>3</v>
      </c>
    </row>
    <row r="122">
      <c r="A122" s="2" t="inlineStr">
        <is>
          <t>38032R</t>
        </is>
      </c>
      <c r="B122" s="2" t="inlineStr"/>
      <c r="C122" s="2" t="inlineStr">
        <is>
          <t>ARO SINCRONICO 5TA F-UNO/PREMIO/REGATAPALIO/TEMPRA</t>
        </is>
      </c>
      <c r="D122" s="2" t="inlineStr">
        <is>
          <t>ITALY</t>
        </is>
      </c>
      <c r="E122" s="3" t="n">
        <v>5</v>
      </c>
      <c r="F122" s="4" t="n">
        <v>0.3</v>
      </c>
      <c r="G122" s="5">
        <f>ROUND(E122*(1+F122),2)</f>
        <v>6.50</v>
      </c>
      <c r="H122" s="5">
        <f>ROUND(G122*NOTAS!$B$2,2)</f>
        <v>4688.75</v>
      </c>
      <c r="I122" s="6">
        <f>ROUND(G122*NOTAS!$B$3,0)</f>
        <v>21118</v>
      </c>
      <c r="J122" s="2" t="n">
        <v>2</v>
      </c>
    </row>
    <row r="123">
      <c r="A123" s="2" t="inlineStr">
        <is>
          <t>41005</t>
        </is>
      </c>
      <c r="B123" s="2" t="inlineStr"/>
      <c r="C123" s="2" t="inlineStr">
        <is>
          <t>ARO SINCRONICO BRONCE LADA</t>
        </is>
      </c>
      <c r="D123" s="2" t="inlineStr">
        <is>
          <t>ITALY</t>
        </is>
      </c>
      <c r="E123" s="3" t="n">
        <v>10</v>
      </c>
      <c r="F123" s="4" t="n">
        <v>0.3</v>
      </c>
      <c r="G123" s="5">
        <f>ROUND(E123*(1+F123),2)</f>
        <v>13.00</v>
      </c>
      <c r="H123" s="5">
        <f>ROUND(G123*NOTAS!$B$2,2)</f>
        <v>9377.49</v>
      </c>
      <c r="I123" s="6">
        <f>ROUND(G123*NOTAS!$B$3,0)</f>
        <v>42235</v>
      </c>
      <c r="J123" s="2" t="n">
        <v>2</v>
      </c>
    </row>
    <row r="124">
      <c r="A124" s="2" t="inlineStr">
        <is>
          <t>14699</t>
        </is>
      </c>
      <c r="B124" s="2" t="inlineStr"/>
      <c r="C124" s="2" t="inlineStr">
        <is>
          <t>ARO SINCRONICO CHEVETTE</t>
        </is>
      </c>
      <c r="D124" s="2" t="inlineStr">
        <is>
          <t>IMCE</t>
        </is>
      </c>
      <c r="E124" s="3" t="n">
        <v>8</v>
      </c>
      <c r="F124" s="4" t="n">
        <v>0.3</v>
      </c>
      <c r="G124" s="5">
        <f>ROUND(E124*(1+F124),2)</f>
        <v>10.40</v>
      </c>
      <c r="H124" s="5">
        <f>ROUND(G124*NOTAS!$B$2,2)</f>
        <v>7501.99</v>
      </c>
      <c r="I124" s="6">
        <f>ROUND(G124*NOTAS!$B$3,0)</f>
        <v>33788</v>
      </c>
      <c r="J124" s="2" t="n">
        <v>3</v>
      </c>
    </row>
    <row r="125">
      <c r="A125" s="2" t="inlineStr">
        <is>
          <t>631608.11</t>
        </is>
      </c>
      <c r="B125" s="2" t="inlineStr"/>
      <c r="C125" s="2" t="inlineStr">
        <is>
          <t>ARO SINCRONICO CHEVETTE</t>
        </is>
      </c>
      <c r="D125" s="2" t="inlineStr">
        <is>
          <t>DIEHL</t>
        </is>
      </c>
      <c r="E125" s="3" t="n">
        <v>8</v>
      </c>
      <c r="F125" s="4" t="n">
        <v>0.3</v>
      </c>
      <c r="G125" s="5">
        <f>ROUND(E125*(1+F125),2)</f>
        <v>10.40</v>
      </c>
      <c r="H125" s="5">
        <f>ROUND(G125*NOTAS!$B$2,2)</f>
        <v>7501.99</v>
      </c>
      <c r="I125" s="6">
        <f>ROUND(G125*NOTAS!$B$3,0)</f>
        <v>33788</v>
      </c>
      <c r="J125" s="2" t="n">
        <v>2</v>
      </c>
    </row>
    <row r="126">
      <c r="A126" s="2" t="inlineStr">
        <is>
          <t>06-5A-51301</t>
        </is>
      </c>
      <c r="B126" s="2" t="inlineStr"/>
      <c r="C126" s="2" t="inlineStr">
        <is>
          <t>ASPA VENTILADOR CORCEL 3 HUECOS</t>
        </is>
      </c>
      <c r="D126" s="2" t="inlineStr">
        <is>
          <t>SANFOR</t>
        </is>
      </c>
      <c r="E126" s="3" t="n">
        <v>9.380000000000001</v>
      </c>
      <c r="F126" s="4" t="n">
        <v>0.3</v>
      </c>
      <c r="G126" s="5">
        <f>ROUND(E126*(1+F126),2)</f>
        <v>12.19</v>
      </c>
      <c r="H126" s="5">
        <f>ROUND(G126*NOTAS!$B$2,2)</f>
        <v>8793.20</v>
      </c>
      <c r="I126" s="6">
        <f>ROUND(G126*NOTAS!$B$3,0)</f>
        <v>39604</v>
      </c>
      <c r="J126" s="2" t="n">
        <v>3</v>
      </c>
    </row>
    <row r="127">
      <c r="A127" s="2" t="inlineStr">
        <is>
          <t>93741008</t>
        </is>
      </c>
      <c r="B127" s="2" t="inlineStr"/>
      <c r="C127" s="2" t="inlineStr">
        <is>
          <t>ASPA VENTILADOR MATIZ</t>
        </is>
      </c>
      <c r="D127" s="2" t="inlineStr">
        <is>
          <t>GM</t>
        </is>
      </c>
      <c r="E127" s="3" t="n">
        <v>18.89</v>
      </c>
      <c r="F127" s="4" t="n">
        <v>0.3</v>
      </c>
      <c r="G127" s="5">
        <f>ROUND(E127*(1+F127),2)</f>
        <v>24.56</v>
      </c>
      <c r="H127" s="5">
        <f>ROUND(G127*NOTAS!$B$2,2)</f>
        <v>17716.25</v>
      </c>
      <c r="I127" s="6">
        <f>ROUND(G127*NOTAS!$B$3,0)</f>
        <v>79792</v>
      </c>
      <c r="J127" s="2" t="n">
        <v>2</v>
      </c>
    </row>
    <row r="128">
      <c r="A128" s="2" t="inlineStr">
        <is>
          <t>2-13-048</t>
        </is>
      </c>
      <c r="B128" s="2" t="inlineStr"/>
      <c r="C128" s="2" t="inlineStr">
        <is>
          <t>ASPA VENTILADOR SWIFT</t>
        </is>
      </c>
      <c r="D128" s="2" t="inlineStr">
        <is>
          <t>SANFOR</t>
        </is>
      </c>
      <c r="E128" s="3" t="n">
        <v>15</v>
      </c>
      <c r="F128" s="4" t="n">
        <v>0.3</v>
      </c>
      <c r="G128" s="5">
        <f>ROUND(E128*(1+F128),2)</f>
        <v>19.50</v>
      </c>
      <c r="H128" s="5">
        <f>ROUND(G128*NOTAS!$B$2,2)</f>
        <v>14066.24</v>
      </c>
      <c r="I128" s="6">
        <f>ROUND(G128*NOTAS!$B$3,0)</f>
        <v>63353</v>
      </c>
      <c r="J128" s="2" t="n">
        <v>1</v>
      </c>
    </row>
    <row r="129">
      <c r="A129" s="2" t="inlineStr">
        <is>
          <t>HA-5035-R</t>
        </is>
      </c>
      <c r="B129" s="2" t="inlineStr"/>
      <c r="C129" s="2" t="inlineStr">
        <is>
          <t>BALLESTA F-147/SPAZIO</t>
        </is>
      </c>
      <c r="D129" s="2" t="inlineStr">
        <is>
          <t>METALCAR</t>
        </is>
      </c>
      <c r="E129" s="3" t="n">
        <v>68</v>
      </c>
      <c r="F129" s="4" t="n">
        <v>0.3</v>
      </c>
      <c r="G129" s="5">
        <f>ROUND(E129*(1+F129),2)</f>
        <v>88.40</v>
      </c>
      <c r="H129" s="5">
        <f>ROUND(G129*NOTAS!$B$2,2)</f>
        <v>63766.95</v>
      </c>
      <c r="I129" s="6">
        <f>ROUND(G129*NOTAS!$B$3,0)</f>
        <v>287200</v>
      </c>
      <c r="J129" s="2" t="n">
        <v>1</v>
      </c>
    </row>
    <row r="130">
      <c r="A130" s="2" t="inlineStr">
        <is>
          <t>HA-5037-R</t>
        </is>
      </c>
      <c r="B130" s="2" t="inlineStr"/>
      <c r="C130" s="2" t="inlineStr">
        <is>
          <t>BALLESTA F-FIORINO PICK UP</t>
        </is>
      </c>
      <c r="D130" s="2" t="inlineStr">
        <is>
          <t>METALCAR</t>
        </is>
      </c>
      <c r="E130" s="3" t="n">
        <v>70</v>
      </c>
      <c r="F130" s="4" t="n">
        <v>0.3</v>
      </c>
      <c r="G130" s="5">
        <f>ROUND(E130*(1+F130),2)</f>
        <v>91.00</v>
      </c>
      <c r="H130" s="5">
        <f>ROUND(G130*NOTAS!$B$2,2)</f>
        <v>65642.45</v>
      </c>
      <c r="I130" s="6">
        <f>ROUND(G130*NOTAS!$B$3,0)</f>
        <v>295647</v>
      </c>
      <c r="J130" s="2" t="n">
        <v>1</v>
      </c>
    </row>
    <row r="131">
      <c r="A131" s="2" t="inlineStr">
        <is>
          <t>HA-5040-R</t>
        </is>
      </c>
      <c r="B131" s="2" t="inlineStr"/>
      <c r="C131" s="2" t="inlineStr">
        <is>
          <t>BALLESTA F-PREMIO</t>
        </is>
      </c>
      <c r="D131" s="2" t="inlineStr">
        <is>
          <t>METALCAR</t>
        </is>
      </c>
      <c r="E131" s="3" t="n">
        <v>71</v>
      </c>
      <c r="F131" s="4" t="n">
        <v>0.3</v>
      </c>
      <c r="G131" s="5">
        <f>ROUND(E131*(1+F131),2)</f>
        <v>92.30</v>
      </c>
      <c r="H131" s="5">
        <f>ROUND(G131*NOTAS!$B$2,2)</f>
        <v>66580.20</v>
      </c>
      <c r="I131" s="6">
        <f>ROUND(G131*NOTAS!$B$3,0)</f>
        <v>299871</v>
      </c>
      <c r="J131" s="2" t="n">
        <v>1</v>
      </c>
    </row>
    <row r="132">
      <c r="A132" s="2" t="inlineStr">
        <is>
          <t>HA-5038-R</t>
        </is>
      </c>
      <c r="B132" s="2" t="inlineStr"/>
      <c r="C132" s="2" t="inlineStr">
        <is>
          <t>BALLESTA F-REGATA/RITMO</t>
        </is>
      </c>
      <c r="D132" s="2" t="inlineStr">
        <is>
          <t>METALCAR</t>
        </is>
      </c>
      <c r="E132" s="3" t="n">
        <v>65</v>
      </c>
      <c r="F132" s="4" t="n">
        <v>0.3</v>
      </c>
      <c r="G132" s="5">
        <f>ROUND(E132*(1+F132),2)</f>
        <v>84.50</v>
      </c>
      <c r="H132" s="5">
        <f>ROUND(G132*NOTAS!$B$2,2)</f>
        <v>60953.70</v>
      </c>
      <c r="I132" s="6">
        <f>ROUND(G132*NOTAS!$B$3,0)</f>
        <v>274530</v>
      </c>
      <c r="J132" s="2" t="n">
        <v>1</v>
      </c>
    </row>
    <row r="133">
      <c r="A133" s="2" t="inlineStr">
        <is>
          <t>HA-5039-R</t>
        </is>
      </c>
      <c r="B133" s="2" t="inlineStr"/>
      <c r="C133" s="2" t="inlineStr">
        <is>
          <t>BALLESTA F-UNO</t>
        </is>
      </c>
      <c r="D133" s="2" t="inlineStr">
        <is>
          <t>METALCAR</t>
        </is>
      </c>
      <c r="E133" s="3" t="n">
        <v>70</v>
      </c>
      <c r="F133" s="4" t="n">
        <v>0.3</v>
      </c>
      <c r="G133" s="5">
        <f>ROUND(E133*(1+F133),2)</f>
        <v>91.00</v>
      </c>
      <c r="H133" s="5">
        <f>ROUND(G133*NOTAS!$B$2,2)</f>
        <v>65642.45</v>
      </c>
      <c r="I133" s="6">
        <f>ROUND(G133*NOTAS!$B$3,0)</f>
        <v>295647</v>
      </c>
      <c r="J133" s="2" t="n">
        <v>1</v>
      </c>
    </row>
    <row r="134">
      <c r="A134" s="2" t="inlineStr">
        <is>
          <t>93740252</t>
        </is>
      </c>
      <c r="B134" s="2" t="inlineStr"/>
      <c r="C134" s="2" t="inlineStr">
        <is>
          <t>BANDA FRENOS TRASEROS AVEO</t>
        </is>
      </c>
      <c r="D134" s="2" t="inlineStr">
        <is>
          <t>ICHIBAN</t>
        </is>
      </c>
      <c r="E134" s="3" t="n">
        <v>15</v>
      </c>
      <c r="F134" s="4" t="n">
        <v>0.3</v>
      </c>
      <c r="G134" s="5">
        <f>ROUND(E134*(1+F134),2)</f>
        <v>19.50</v>
      </c>
      <c r="H134" s="5">
        <f>ROUND(G134*NOTAS!$B$2,2)</f>
        <v>14066.24</v>
      </c>
      <c r="I134" s="6">
        <f>ROUND(G134*NOTAS!$B$3,0)</f>
        <v>63353</v>
      </c>
      <c r="J134" s="2" t="n">
        <v>1</v>
      </c>
    </row>
    <row r="135">
      <c r="A135" s="2" t="inlineStr">
        <is>
          <t>19252503</t>
        </is>
      </c>
      <c r="B135" s="2" t="inlineStr"/>
      <c r="C135" s="2" t="inlineStr">
        <is>
          <t>BANDA FRENOS TRASEROS AVEO</t>
        </is>
      </c>
      <c r="D135" s="2" t="inlineStr">
        <is>
          <t>ACDELCO</t>
        </is>
      </c>
      <c r="E135" s="3" t="n">
        <v>18</v>
      </c>
      <c r="F135" s="4" t="n">
        <v>0.3</v>
      </c>
      <c r="G135" s="5">
        <f>ROUND(E135*(1+F135),2)</f>
        <v>23.40</v>
      </c>
      <c r="H135" s="5">
        <f>ROUND(G135*NOTAS!$B$2,2)</f>
        <v>16879.49</v>
      </c>
      <c r="I135" s="6">
        <f>ROUND(G135*NOTAS!$B$3,0)</f>
        <v>76024</v>
      </c>
      <c r="J135" s="2" t="n">
        <v>4</v>
      </c>
    </row>
    <row r="136">
      <c r="A136" s="2" t="inlineStr">
        <is>
          <t>ACD000249</t>
        </is>
      </c>
      <c r="B136" s="2" t="inlineStr"/>
      <c r="C136" s="2" t="inlineStr">
        <is>
          <t>BANDA FRENOS TRASEROS AVEO</t>
        </is>
      </c>
      <c r="D136" s="2" t="inlineStr">
        <is>
          <t>ACDELCO</t>
        </is>
      </c>
      <c r="E136" s="3" t="n">
        <v>18</v>
      </c>
      <c r="F136" s="4" t="n">
        <v>0.3</v>
      </c>
      <c r="G136" s="5">
        <f>ROUND(E136*(1+F136),2)</f>
        <v>23.40</v>
      </c>
      <c r="H136" s="5">
        <f>ROUND(G136*NOTAS!$B$2,2)</f>
        <v>16879.49</v>
      </c>
      <c r="I136" s="6">
        <f>ROUND(G136*NOTAS!$B$3,0)</f>
        <v>76024</v>
      </c>
      <c r="J136" s="2" t="n">
        <v>1</v>
      </c>
    </row>
    <row r="137">
      <c r="A137" s="2" t="inlineStr">
        <is>
          <t>PLC-004</t>
        </is>
      </c>
      <c r="B137" s="2" t="inlineStr"/>
      <c r="C137" s="2" t="inlineStr">
        <is>
          <t>BANDA FRENOS TRASEROS CIELO/LANOS</t>
        </is>
      </c>
      <c r="D137" s="2" t="inlineStr">
        <is>
          <t>PARTS-MALL</t>
        </is>
      </c>
      <c r="E137" s="3" t="n">
        <v>15</v>
      </c>
      <c r="F137" s="4" t="n">
        <v>0.3</v>
      </c>
      <c r="G137" s="5">
        <f>ROUND(E137*(1+F137),2)</f>
        <v>19.50</v>
      </c>
      <c r="H137" s="5">
        <f>ROUND(G137*NOTAS!$B$2,2)</f>
        <v>14066.24</v>
      </c>
      <c r="I137" s="6">
        <f>ROUND(G137*NOTAS!$B$3,0)</f>
        <v>63353</v>
      </c>
      <c r="J137" s="2" t="n">
        <v>1</v>
      </c>
    </row>
    <row r="138">
      <c r="A138" s="2" t="inlineStr">
        <is>
          <t>PF690704</t>
        </is>
      </c>
      <c r="B138" s="2" t="inlineStr"/>
      <c r="C138" s="2" t="inlineStr">
        <is>
          <t>BANDA FRENOS TRASEROS CORSA</t>
        </is>
      </c>
      <c r="D138" s="2" t="inlineStr">
        <is>
          <t>PERFECTION BRAKE</t>
        </is>
      </c>
      <c r="E138" s="3" t="n">
        <v>15</v>
      </c>
      <c r="F138" s="4" t="n">
        <v>0.3</v>
      </c>
      <c r="G138" s="5">
        <f>ROUND(E138*(1+F138),2)</f>
        <v>19.50</v>
      </c>
      <c r="H138" s="5">
        <f>ROUND(G138*NOTAS!$B$2,2)</f>
        <v>14066.24</v>
      </c>
      <c r="I138" s="6">
        <f>ROUND(G138*NOTAS!$B$3,0)</f>
        <v>63353</v>
      </c>
      <c r="J138" s="2" t="n">
        <v>3</v>
      </c>
    </row>
    <row r="139">
      <c r="A139" s="2" t="inlineStr">
        <is>
          <t>BHPD86790</t>
        </is>
      </c>
      <c r="B139" s="2" t="inlineStr"/>
      <c r="C139" s="2" t="inlineStr">
        <is>
          <t>BANDA FRENOS TRASEROS CORSA</t>
        </is>
      </c>
      <c r="D139" s="2" t="inlineStr">
        <is>
          <t>BKPS</t>
        </is>
      </c>
      <c r="E139" s="3" t="n">
        <v>15</v>
      </c>
      <c r="F139" s="4" t="n">
        <v>0.3</v>
      </c>
      <c r="G139" s="5">
        <f>ROUND(E139*(1+F139),2)</f>
        <v>19.50</v>
      </c>
      <c r="H139" s="5">
        <f>ROUND(G139*NOTAS!$B$2,2)</f>
        <v>14066.24</v>
      </c>
      <c r="I139" s="6">
        <f>ROUND(G139*NOTAS!$B$3,0)</f>
        <v>63353</v>
      </c>
      <c r="J139" s="2" t="n">
        <v>1</v>
      </c>
    </row>
    <row r="140">
      <c r="A140" s="2" t="inlineStr">
        <is>
          <t>19252496</t>
        </is>
      </c>
      <c r="B140" s="2" t="inlineStr"/>
      <c r="C140" s="2" t="inlineStr">
        <is>
          <t>BANDA FRENOS TRASEROS CORSA</t>
        </is>
      </c>
      <c r="D140" s="2" t="inlineStr">
        <is>
          <t>ACDELCO</t>
        </is>
      </c>
      <c r="E140" s="3" t="n">
        <v>18</v>
      </c>
      <c r="F140" s="4" t="n">
        <v>0.3</v>
      </c>
      <c r="G140" s="5">
        <f>ROUND(E140*(1+F140),2)</f>
        <v>23.40</v>
      </c>
      <c r="H140" s="5">
        <f>ROUND(G140*NOTAS!$B$2,2)</f>
        <v>16879.49</v>
      </c>
      <c r="I140" s="6">
        <f>ROUND(G140*NOTAS!$B$3,0)</f>
        <v>76024</v>
      </c>
      <c r="J140" s="2" t="n">
        <v>4</v>
      </c>
    </row>
    <row r="141">
      <c r="A141" s="2" t="inlineStr">
        <is>
          <t>ACD000248</t>
        </is>
      </c>
      <c r="B141" s="2" t="inlineStr"/>
      <c r="C141" s="2" t="inlineStr">
        <is>
          <t>BANDA FRENOS TRASEROS CORSA</t>
        </is>
      </c>
      <c r="D141" s="2" t="inlineStr">
        <is>
          <t>ACDELCO</t>
        </is>
      </c>
      <c r="E141" s="3" t="n">
        <v>18</v>
      </c>
      <c r="F141" s="4" t="n">
        <v>0.3</v>
      </c>
      <c r="G141" s="5">
        <f>ROUND(E141*(1+F141),2)</f>
        <v>23.40</v>
      </c>
      <c r="H141" s="5">
        <f>ROUND(G141*NOTAS!$B$2,2)</f>
        <v>16879.49</v>
      </c>
      <c r="I141" s="6">
        <f>ROUND(G141*NOTAS!$B$3,0)</f>
        <v>76024</v>
      </c>
      <c r="J141" s="2" t="n">
        <v>1</v>
      </c>
    </row>
    <row r="142">
      <c r="A142" s="2" t="inlineStr">
        <is>
          <t>BHPD87175</t>
        </is>
      </c>
      <c r="B142" s="2" t="inlineStr"/>
      <c r="C142" s="2" t="inlineStr">
        <is>
          <t>BANDA FRENOS TRASEROS FIESTA 00/03-KA</t>
        </is>
      </c>
      <c r="D142" s="2" t="inlineStr">
        <is>
          <t>BKPS</t>
        </is>
      </c>
      <c r="E142" s="3" t="n">
        <v>17</v>
      </c>
      <c r="F142" s="4" t="n">
        <v>0.3</v>
      </c>
      <c r="G142" s="5">
        <f>ROUND(E142*(1+F142),2)</f>
        <v>22.10</v>
      </c>
      <c r="H142" s="5">
        <f>ROUND(G142*NOTAS!$B$2,2)</f>
        <v>15941.74</v>
      </c>
      <c r="I142" s="6">
        <f>ROUND(G142*NOTAS!$B$3,0)</f>
        <v>71800</v>
      </c>
      <c r="J142" s="2" t="n">
        <v>2</v>
      </c>
    </row>
    <row r="143">
      <c r="A143" s="2" t="inlineStr">
        <is>
          <t>BHPD2200A</t>
        </is>
      </c>
      <c r="B143" s="2" t="inlineStr"/>
      <c r="C143" s="2" t="inlineStr">
        <is>
          <t>BANDA FRENOS TRASEROS FIESTA 04/13-ECOSPORT</t>
        </is>
      </c>
      <c r="D143" s="2" t="inlineStr">
        <is>
          <t>BKPS</t>
        </is>
      </c>
      <c r="E143" s="3" t="n">
        <v>17</v>
      </c>
      <c r="F143" s="4" t="n">
        <v>0.3</v>
      </c>
      <c r="G143" s="5">
        <f>ROUND(E143*(1+F143),2)</f>
        <v>22.10</v>
      </c>
      <c r="H143" s="5">
        <f>ROUND(G143*NOTAS!$B$2,2)</f>
        <v>15941.74</v>
      </c>
      <c r="I143" s="6">
        <f>ROUND(G143*NOTAS!$B$3,0)</f>
        <v>71800</v>
      </c>
      <c r="J143" s="2" t="n">
        <v>1</v>
      </c>
    </row>
    <row r="144">
      <c r="A144" s="2" t="inlineStr">
        <is>
          <t>WS6033</t>
        </is>
      </c>
      <c r="B144" s="2" t="inlineStr"/>
      <c r="C144" s="2" t="inlineStr">
        <is>
          <t>BANDA FRENOS TRASEROS F-PALIO/SIENA</t>
        </is>
      </c>
      <c r="D144" s="2" t="inlineStr">
        <is>
          <t>WOLF</t>
        </is>
      </c>
      <c r="E144" s="3" t="n">
        <v>15</v>
      </c>
      <c r="F144" s="4" t="n">
        <v>0.3</v>
      </c>
      <c r="G144" s="5">
        <f>ROUND(E144*(1+F144),2)</f>
        <v>19.50</v>
      </c>
      <c r="H144" s="5">
        <f>ROUND(G144*NOTAS!$B$2,2)</f>
        <v>14066.24</v>
      </c>
      <c r="I144" s="6">
        <f>ROUND(G144*NOTAS!$B$3,0)</f>
        <v>63353</v>
      </c>
      <c r="J144" s="2" t="n">
        <v>1</v>
      </c>
    </row>
    <row r="145">
      <c r="A145" s="2" t="inlineStr">
        <is>
          <t>BHPD87070</t>
        </is>
      </c>
      <c r="B145" s="2" t="inlineStr"/>
      <c r="C145" s="2" t="inlineStr">
        <is>
          <t>BANDA FRENOS TRASEROS F-PALIO/SIENA CON PALANCA</t>
        </is>
      </c>
      <c r="D145" s="2" t="inlineStr">
        <is>
          <t>BKPS</t>
        </is>
      </c>
      <c r="E145" s="3" t="n">
        <v>17</v>
      </c>
      <c r="F145" s="4" t="n">
        <v>0.3</v>
      </c>
      <c r="G145" s="5">
        <f>ROUND(E145*(1+F145),2)</f>
        <v>22.10</v>
      </c>
      <c r="H145" s="5">
        <f>ROUND(G145*NOTAS!$B$2,2)</f>
        <v>15941.74</v>
      </c>
      <c r="I145" s="6">
        <f>ROUND(G145*NOTAS!$B$3,0)</f>
        <v>71800</v>
      </c>
      <c r="J145" s="2" t="n">
        <v>4</v>
      </c>
    </row>
    <row r="146">
      <c r="A146" s="2" t="inlineStr">
        <is>
          <t>3432</t>
        </is>
      </c>
      <c r="B146" s="2" t="inlineStr"/>
      <c r="C146" s="2" t="inlineStr">
        <is>
          <t>BANDA FRENOS TRASEROS F-TEMPRA</t>
        </is>
      </c>
      <c r="D146" s="2" t="inlineStr">
        <is>
          <t>BESER</t>
        </is>
      </c>
      <c r="E146" s="3" t="n">
        <v>10</v>
      </c>
      <c r="F146" s="4" t="n">
        <v>0.3</v>
      </c>
      <c r="G146" s="5">
        <f>ROUND(E146*(1+F146),2)</f>
        <v>13.00</v>
      </c>
      <c r="H146" s="5">
        <f>ROUND(G146*NOTAS!$B$2,2)</f>
        <v>9377.49</v>
      </c>
      <c r="I146" s="6">
        <f>ROUND(G146*NOTAS!$B$3,0)</f>
        <v>42235</v>
      </c>
      <c r="J146" s="2" t="n">
        <v>2</v>
      </c>
    </row>
    <row r="147">
      <c r="A147" s="2" t="inlineStr">
        <is>
          <t>BHPD80670</t>
        </is>
      </c>
      <c r="B147" s="2" t="inlineStr"/>
      <c r="C147" s="2" t="inlineStr">
        <is>
          <t>BANDA FRENOS TRASEROS F-UNO/PREMIO</t>
        </is>
      </c>
      <c r="D147" s="2" t="inlineStr">
        <is>
          <t>BKPS</t>
        </is>
      </c>
      <c r="E147" s="3" t="n">
        <v>15</v>
      </c>
      <c r="F147" s="4" t="n">
        <v>0.3</v>
      </c>
      <c r="G147" s="5">
        <f>ROUND(E147*(1+F147),2)</f>
        <v>19.50</v>
      </c>
      <c r="H147" s="5">
        <f>ROUND(G147*NOTAS!$B$2,2)</f>
        <v>14066.24</v>
      </c>
      <c r="I147" s="6">
        <f>ROUND(G147*NOTAS!$B$3,0)</f>
        <v>63353</v>
      </c>
      <c r="J147" s="2" t="n">
        <v>1</v>
      </c>
    </row>
    <row r="148">
      <c r="A148" s="2" t="inlineStr">
        <is>
          <t>BHPD3600</t>
        </is>
      </c>
      <c r="B148" s="2" t="inlineStr"/>
      <c r="C148" s="2" t="inlineStr">
        <is>
          <t>BANDA FRENOS TRASEROS R-19 1.4</t>
        </is>
      </c>
      <c r="D148" s="2" t="inlineStr">
        <is>
          <t>BKPS</t>
        </is>
      </c>
      <c r="E148" s="3" t="n">
        <v>15</v>
      </c>
      <c r="F148" s="4" t="n">
        <v>0.3</v>
      </c>
      <c r="G148" s="5">
        <f>ROUND(E148*(1+F148),2)</f>
        <v>19.50</v>
      </c>
      <c r="H148" s="5">
        <f>ROUND(G148*NOTAS!$B$2,2)</f>
        <v>14066.24</v>
      </c>
      <c r="I148" s="6">
        <f>ROUND(G148*NOTAS!$B$3,0)</f>
        <v>63353</v>
      </c>
      <c r="J148" s="2" t="n">
        <v>2</v>
      </c>
    </row>
    <row r="149">
      <c r="A149" s="2" t="inlineStr"/>
      <c r="B149" s="2" t="inlineStr"/>
      <c r="C149" s="2" t="inlineStr">
        <is>
          <t>BARRA ESTABILIZADORA KA</t>
        </is>
      </c>
      <c r="D149" s="2" t="inlineStr">
        <is>
          <t>FORD</t>
        </is>
      </c>
      <c r="E149" s="3" t="n">
        <v>26.9231</v>
      </c>
      <c r="F149" s="4" t="n">
        <v>0.3</v>
      </c>
      <c r="G149" s="5">
        <f>ROUND(E149*(1+F149),2)</f>
        <v>35.00</v>
      </c>
      <c r="H149" s="5">
        <f>ROUND(G149*NOTAS!$B$2,2)</f>
        <v>25247.10</v>
      </c>
      <c r="I149" s="6">
        <f>ROUND(G149*NOTAS!$B$3,0)</f>
        <v>113710</v>
      </c>
      <c r="J149" s="2" t="n">
        <v>2</v>
      </c>
    </row>
    <row r="150">
      <c r="A150" s="2" t="inlineStr">
        <is>
          <t>96653269</t>
        </is>
      </c>
      <c r="B150" s="2" t="inlineStr"/>
      <c r="C150" s="2" t="inlineStr">
        <is>
          <t xml:space="preserve">BASE AMORTIGUADOR DELANTERA AVEO </t>
        </is>
      </c>
      <c r="D150" s="2" t="inlineStr">
        <is>
          <t>KOREA</t>
        </is>
      </c>
      <c r="E150" s="3" t="n">
        <v>4</v>
      </c>
      <c r="F150" s="4" t="n">
        <v>0.3</v>
      </c>
      <c r="G150" s="5">
        <f>ROUND(E150*(1+F150),2)</f>
        <v>5.20</v>
      </c>
      <c r="H150" s="5">
        <f>ROUND(G150*NOTAS!$B$2,2)</f>
        <v>3751.00</v>
      </c>
      <c r="I150" s="6">
        <f>ROUND(G150*NOTAS!$B$3,0)</f>
        <v>16894</v>
      </c>
      <c r="J150" s="2" t="n">
        <v>2</v>
      </c>
    </row>
    <row r="151">
      <c r="A151" s="2" t="inlineStr">
        <is>
          <t>95015324</t>
        </is>
      </c>
      <c r="B151" s="2" t="inlineStr"/>
      <c r="C151" s="2" t="inlineStr">
        <is>
          <t>BASE AMORTIGUADOR DELANTERA AVEO ALTA</t>
        </is>
      </c>
      <c r="D151" s="2" t="inlineStr">
        <is>
          <t>PARTS-MALL</t>
        </is>
      </c>
      <c r="E151" s="3" t="n">
        <v>5</v>
      </c>
      <c r="F151" s="4" t="n">
        <v>0.3</v>
      </c>
      <c r="G151" s="5">
        <f>ROUND(E151*(1+F151),2)</f>
        <v>6.50</v>
      </c>
      <c r="H151" s="5">
        <f>ROUND(G151*NOTAS!$B$2,2)</f>
        <v>4688.75</v>
      </c>
      <c r="I151" s="6">
        <f>ROUND(G151*NOTAS!$B$3,0)</f>
        <v>21118</v>
      </c>
      <c r="J151" s="2" t="n">
        <v>3</v>
      </c>
    </row>
    <row r="152">
      <c r="A152" s="2" t="inlineStr">
        <is>
          <t>95015324</t>
        </is>
      </c>
      <c r="B152" s="2" t="inlineStr"/>
      <c r="C152" s="2" t="inlineStr">
        <is>
          <t>BASE AMORTIGUADOR DELANTERA AVEO ALTA</t>
        </is>
      </c>
      <c r="D152" s="2" t="inlineStr">
        <is>
          <t>GM</t>
        </is>
      </c>
      <c r="E152" s="3" t="n">
        <v>5</v>
      </c>
      <c r="F152" s="4" t="n">
        <v>0.3</v>
      </c>
      <c r="G152" s="5">
        <f>ROUND(E152*(1+F152),2)</f>
        <v>6.50</v>
      </c>
      <c r="H152" s="5">
        <f>ROUND(G152*NOTAS!$B$2,2)</f>
        <v>4688.75</v>
      </c>
      <c r="I152" s="6">
        <f>ROUND(G152*NOTAS!$B$3,0)</f>
        <v>21118</v>
      </c>
      <c r="J152" s="2" t="n">
        <v>8</v>
      </c>
    </row>
    <row r="153">
      <c r="A153" s="2" t="inlineStr">
        <is>
          <t>96653239</t>
        </is>
      </c>
      <c r="B153" s="2" t="inlineStr"/>
      <c r="C153" s="2" t="inlineStr">
        <is>
          <t>BASE AMORTIGUADOR DELANTERA AVEO ALTA</t>
        </is>
      </c>
      <c r="D153" s="2" t="inlineStr">
        <is>
          <t>GKP</t>
        </is>
      </c>
      <c r="E153" s="3" t="n">
        <v>4</v>
      </c>
      <c r="F153" s="4" t="n">
        <v>0.3</v>
      </c>
      <c r="G153" s="5">
        <f>ROUND(E153*(1+F153),2)</f>
        <v>5.20</v>
      </c>
      <c r="H153" s="5">
        <f>ROUND(G153*NOTAS!$B$2,2)</f>
        <v>3751.00</v>
      </c>
      <c r="I153" s="6">
        <f>ROUND(G153*NOTAS!$B$3,0)</f>
        <v>16894</v>
      </c>
      <c r="J153" s="2" t="n">
        <v>1</v>
      </c>
    </row>
    <row r="154">
      <c r="A154" s="2" t="inlineStr">
        <is>
          <t>92098953</t>
        </is>
      </c>
      <c r="B154" s="2" t="inlineStr"/>
      <c r="C154" s="2" t="inlineStr">
        <is>
          <t>BASE AMORTIGUADOR DELANTERA CORSA</t>
        </is>
      </c>
      <c r="D154" s="2" t="inlineStr"/>
      <c r="E154" s="3" t="n">
        <v>4</v>
      </c>
      <c r="F154" s="4" t="n">
        <v>0.3</v>
      </c>
      <c r="G154" s="5">
        <f>ROUND(E154*(1+F154),2)</f>
        <v>5.20</v>
      </c>
      <c r="H154" s="5">
        <f>ROUND(G154*NOTAS!$B$2,2)</f>
        <v>3751.00</v>
      </c>
      <c r="I154" s="6">
        <f>ROUND(G154*NOTAS!$B$3,0)</f>
        <v>16894</v>
      </c>
      <c r="J154" s="2" t="n">
        <v>1</v>
      </c>
    </row>
    <row r="155">
      <c r="A155" s="2" t="inlineStr">
        <is>
          <t>92098953</t>
        </is>
      </c>
      <c r="B155" s="2" t="inlineStr"/>
      <c r="C155" s="2" t="inlineStr">
        <is>
          <t>BASE AMORTIGUADOR DELANTERA CORSA</t>
        </is>
      </c>
      <c r="D155" s="2" t="inlineStr">
        <is>
          <t>HITECH</t>
        </is>
      </c>
      <c r="E155" s="3" t="n">
        <v>4</v>
      </c>
      <c r="F155" s="4" t="n">
        <v>0.3</v>
      </c>
      <c r="G155" s="5">
        <f>ROUND(E155*(1+F155),2)</f>
        <v>5.20</v>
      </c>
      <c r="H155" s="5">
        <f>ROUND(G155*NOTAS!$B$2,2)</f>
        <v>3751.00</v>
      </c>
      <c r="I155" s="6">
        <f>ROUND(G155*NOTAS!$B$3,0)</f>
        <v>16894</v>
      </c>
      <c r="J155" s="2" t="n">
        <v>0</v>
      </c>
    </row>
    <row r="156">
      <c r="A156" s="2" t="inlineStr">
        <is>
          <t>GKP-42-01330</t>
        </is>
      </c>
      <c r="B156" s="2" t="inlineStr"/>
      <c r="C156" s="2" t="inlineStr">
        <is>
          <t>BASE AMORTIGUADOR DELANTERA DERECHA F-PAL/SIE</t>
        </is>
      </c>
      <c r="D156" s="2" t="inlineStr">
        <is>
          <t>GKP</t>
        </is>
      </c>
      <c r="E156" s="3" t="n">
        <v>15</v>
      </c>
      <c r="F156" s="4" t="n">
        <v>0.3</v>
      </c>
      <c r="G156" s="5">
        <f>ROUND(E156*(1+F156),2)</f>
        <v>19.50</v>
      </c>
      <c r="H156" s="5">
        <f>ROUND(G156*NOTAS!$B$2,2)</f>
        <v>14066.24</v>
      </c>
      <c r="I156" s="6">
        <f>ROUND(G156*NOTAS!$B$3,0)</f>
        <v>63353</v>
      </c>
      <c r="J156" s="2" t="n">
        <v>1</v>
      </c>
    </row>
    <row r="157">
      <c r="A157" s="2" t="inlineStr">
        <is>
          <t>1308</t>
        </is>
      </c>
      <c r="B157" s="2" t="inlineStr"/>
      <c r="C157" s="2" t="inlineStr">
        <is>
          <t>BASE AMORTIGUADOR DELANTERA DERECHA F-PAL/SIE</t>
        </is>
      </c>
      <c r="D157" s="2" t="inlineStr">
        <is>
          <t>SAMPEL</t>
        </is>
      </c>
      <c r="E157" s="3" t="n">
        <v>25</v>
      </c>
      <c r="F157" s="4" t="n">
        <v>0.3</v>
      </c>
      <c r="G157" s="5">
        <f>ROUND(E157*(1+F157),2)</f>
        <v>32.50</v>
      </c>
      <c r="H157" s="5">
        <f>ROUND(G157*NOTAS!$B$2,2)</f>
        <v>23443.73</v>
      </c>
      <c r="I157" s="6">
        <f>ROUND(G157*NOTAS!$B$3,0)</f>
        <v>105588</v>
      </c>
      <c r="J157" s="2" t="n">
        <v>4</v>
      </c>
    </row>
    <row r="158">
      <c r="A158" s="2" t="inlineStr">
        <is>
          <t>1006</t>
        </is>
      </c>
      <c r="B158" s="2" t="inlineStr"/>
      <c r="C158" s="2" t="inlineStr">
        <is>
          <t>BASE AMORTIGUADOR DELANTERA F-147/SPAZIO</t>
        </is>
      </c>
      <c r="D158" s="2" t="inlineStr">
        <is>
          <t>SAMPEL</t>
        </is>
      </c>
      <c r="E158" s="3" t="n">
        <v>8</v>
      </c>
      <c r="F158" s="4" t="n">
        <v>0.3</v>
      </c>
      <c r="G158" s="5">
        <f>ROUND(E158*(1+F158),2)</f>
        <v>10.40</v>
      </c>
      <c r="H158" s="5">
        <f>ROUND(G158*NOTAS!$B$2,2)</f>
        <v>7501.99</v>
      </c>
      <c r="I158" s="6">
        <f>ROUND(G158*NOTAS!$B$3,0)</f>
        <v>33788</v>
      </c>
      <c r="J158" s="2" t="n">
        <v>3</v>
      </c>
    </row>
    <row r="159">
      <c r="A159" s="2" t="inlineStr">
        <is>
          <t>1013794</t>
        </is>
      </c>
      <c r="B159" s="2" t="inlineStr">
        <is>
          <t>96FB3K155AG</t>
        </is>
      </c>
      <c r="C159" s="2" t="inlineStr">
        <is>
          <t>BASE AMORTIGUADOR DELANTERA FIESTA …/03-KA</t>
        </is>
      </c>
      <c r="D159" s="2" t="inlineStr">
        <is>
          <t>FORD</t>
        </is>
      </c>
      <c r="E159" s="3" t="n">
        <v>12</v>
      </c>
      <c r="F159" s="4" t="n">
        <v>0.3</v>
      </c>
      <c r="G159" s="5">
        <f>ROUND(E159*(1+F159),2)</f>
        <v>15.60</v>
      </c>
      <c r="H159" s="5">
        <f>ROUND(G159*NOTAS!$B$2,2)</f>
        <v>11252.99</v>
      </c>
      <c r="I159" s="6">
        <f>ROUND(G159*NOTAS!$B$3,0)</f>
        <v>50682</v>
      </c>
      <c r="J159" s="2" t="n">
        <v>1</v>
      </c>
    </row>
    <row r="160">
      <c r="A160" s="2" t="inlineStr">
        <is>
          <t>2701A</t>
        </is>
      </c>
      <c r="B160" s="2" t="inlineStr">
        <is>
          <t>96FB3K155AG</t>
        </is>
      </c>
      <c r="C160" s="2" t="inlineStr">
        <is>
          <t>BASE AMORTIGUADOR DELANTERA FIESTA …/03-KA CON ROLINERA</t>
        </is>
      </c>
      <c r="D160" s="2" t="inlineStr">
        <is>
          <t>SAMPEL</t>
        </is>
      </c>
      <c r="E160" s="3" t="n">
        <v>14</v>
      </c>
      <c r="F160" s="4" t="n">
        <v>0.3</v>
      </c>
      <c r="G160" s="5">
        <f>ROUND(E160*(1+F160),2)</f>
        <v>18.20</v>
      </c>
      <c r="H160" s="5">
        <f>ROUND(G160*NOTAS!$B$2,2)</f>
        <v>13128.49</v>
      </c>
      <c r="I160" s="6">
        <f>ROUND(G160*NOTAS!$B$3,0)</f>
        <v>59129</v>
      </c>
      <c r="J160" s="2" t="n">
        <v>2</v>
      </c>
    </row>
    <row r="161">
      <c r="A161" s="2" t="inlineStr">
        <is>
          <t>924785</t>
        </is>
      </c>
      <c r="B161" s="2" t="inlineStr">
        <is>
          <t>2S653K155CB</t>
        </is>
      </c>
      <c r="C161" s="2" t="inlineStr">
        <is>
          <t>BASE AMORTIGUADOR DELANTERA FIESTA 04/13-ECOSPORT</t>
        </is>
      </c>
      <c r="D161" s="2" t="inlineStr">
        <is>
          <t>FORD</t>
        </is>
      </c>
      <c r="E161" s="3" t="n">
        <v>15</v>
      </c>
      <c r="F161" s="4" t="n">
        <v>0.3</v>
      </c>
      <c r="G161" s="5">
        <f>ROUND(E161*(1+F161),2)</f>
        <v>19.50</v>
      </c>
      <c r="H161" s="5">
        <f>ROUND(G161*NOTAS!$B$2,2)</f>
        <v>14066.24</v>
      </c>
      <c r="I161" s="6">
        <f>ROUND(G161*NOTAS!$B$3,0)</f>
        <v>63353</v>
      </c>
      <c r="J161" s="2" t="n">
        <v>2</v>
      </c>
    </row>
    <row r="162">
      <c r="A162" s="2" t="inlineStr">
        <is>
          <t>2722B</t>
        </is>
      </c>
      <c r="B162" s="2" t="inlineStr"/>
      <c r="C162" s="2" t="inlineStr">
        <is>
          <t>BASE AMORTIGUADOR DELANTERA FIESTA 04/13-ECOSPORT CON ROLINERA</t>
        </is>
      </c>
      <c r="D162" s="2" t="inlineStr">
        <is>
          <t>SAMPEL</t>
        </is>
      </c>
      <c r="E162" s="3" t="n">
        <v>18</v>
      </c>
      <c r="F162" s="4" t="n">
        <v>0.3</v>
      </c>
      <c r="G162" s="5">
        <f>ROUND(E162*(1+F162),2)</f>
        <v>23.40</v>
      </c>
      <c r="H162" s="5">
        <f>ROUND(G162*NOTAS!$B$2,2)</f>
        <v>16879.49</v>
      </c>
      <c r="I162" s="6">
        <f>ROUND(G162*NOTAS!$B$3,0)</f>
        <v>76024</v>
      </c>
      <c r="J162" s="2" t="n">
        <v>1</v>
      </c>
    </row>
    <row r="163">
      <c r="A163" s="2" t="inlineStr">
        <is>
          <t>CF-1655-A</t>
        </is>
      </c>
      <c r="B163" s="2" t="inlineStr"/>
      <c r="C163" s="2" t="inlineStr">
        <is>
          <t>BASE AMORTIGUADOR DELANTERA F-UNO/PREMIO</t>
        </is>
      </c>
      <c r="D163" s="2" t="inlineStr">
        <is>
          <t>CENTROFLEX</t>
        </is>
      </c>
      <c r="E163" s="3" t="n">
        <v>5</v>
      </c>
      <c r="F163" s="4" t="n">
        <v>0.3</v>
      </c>
      <c r="G163" s="5">
        <f>ROUND(E163*(1+F163),2)</f>
        <v>6.50</v>
      </c>
      <c r="H163" s="5">
        <f>ROUND(G163*NOTAS!$B$2,2)</f>
        <v>4688.75</v>
      </c>
      <c r="I163" s="6">
        <f>ROUND(G163*NOTAS!$B$3,0)</f>
        <v>21118</v>
      </c>
      <c r="J163" s="2" t="n">
        <v>2</v>
      </c>
    </row>
    <row r="164">
      <c r="A164" s="2" t="inlineStr">
        <is>
          <t>7583185-1</t>
        </is>
      </c>
      <c r="B164" s="2" t="inlineStr"/>
      <c r="C164" s="2" t="inlineStr">
        <is>
          <t>BASE AMORTIGUADOR DELANTERA F-UNO/PREMIO</t>
        </is>
      </c>
      <c r="D164" s="2" t="inlineStr">
        <is>
          <t>INROLCA</t>
        </is>
      </c>
      <c r="E164" s="3" t="n">
        <v>3</v>
      </c>
      <c r="F164" s="4" t="n">
        <v>0.3</v>
      </c>
      <c r="G164" s="5">
        <f>ROUND(E164*(1+F164),2)</f>
        <v>3.90</v>
      </c>
      <c r="H164" s="5">
        <f>ROUND(G164*NOTAS!$B$2,2)</f>
        <v>2813.25</v>
      </c>
      <c r="I164" s="6">
        <f>ROUND(G164*NOTAS!$B$3,0)</f>
        <v>12671</v>
      </c>
      <c r="J164" s="2" t="n">
        <v>6</v>
      </c>
    </row>
    <row r="165">
      <c r="A165" s="2" t="inlineStr">
        <is>
          <t>54610-22000</t>
        </is>
      </c>
      <c r="B165" s="2" t="inlineStr"/>
      <c r="C165" s="2" t="inlineStr">
        <is>
          <t>BASE AMORTIGUADOR DELANTERA HYUNDAI ACCENT/GETZ 1.6</t>
        </is>
      </c>
      <c r="D165" s="2" t="inlineStr">
        <is>
          <t>KOREA</t>
        </is>
      </c>
      <c r="E165" s="3" t="n">
        <v>13</v>
      </c>
      <c r="F165" s="4" t="n">
        <v>0.3</v>
      </c>
      <c r="G165" s="5">
        <f>ROUND(E165*(1+F165),2)</f>
        <v>16.90</v>
      </c>
      <c r="H165" s="5">
        <f>ROUND(G165*NOTAS!$B$2,2)</f>
        <v>12190.74</v>
      </c>
      <c r="I165" s="6">
        <f>ROUND(G165*NOTAS!$B$3,0)</f>
        <v>54906</v>
      </c>
      <c r="J165" s="2" t="n">
        <v>11</v>
      </c>
    </row>
    <row r="166">
      <c r="A166" s="2" t="inlineStr">
        <is>
          <t>1307</t>
        </is>
      </c>
      <c r="B166" s="2" t="inlineStr"/>
      <c r="C166" s="2" t="inlineStr">
        <is>
          <t>BASE AMORTIGUADOR DELANTERA IZQUIERDA F-PAL/SIE</t>
        </is>
      </c>
      <c r="D166" s="2" t="inlineStr">
        <is>
          <t>SAMPEL</t>
        </is>
      </c>
      <c r="E166" s="3" t="n">
        <v>25</v>
      </c>
      <c r="F166" s="4" t="n">
        <v>0.3</v>
      </c>
      <c r="G166" s="5">
        <f>ROUND(E166*(1+F166),2)</f>
        <v>32.50</v>
      </c>
      <c r="H166" s="5">
        <f>ROUND(G166*NOTAS!$B$2,2)</f>
        <v>23443.73</v>
      </c>
      <c r="I166" s="6">
        <f>ROUND(G166*NOTAS!$B$3,0)</f>
        <v>105588</v>
      </c>
      <c r="J166" s="2" t="n">
        <v>1</v>
      </c>
    </row>
    <row r="167">
      <c r="A167" s="2" t="inlineStr">
        <is>
          <t>96444919</t>
        </is>
      </c>
      <c r="B167" s="2" t="inlineStr"/>
      <c r="C167" s="2" t="inlineStr">
        <is>
          <t>BASE AMORTIGUADOR DELANTERA IZQUIERDA LANOS</t>
        </is>
      </c>
      <c r="D167" s="2" t="inlineStr">
        <is>
          <t>CARDEX</t>
        </is>
      </c>
      <c r="E167" s="3" t="n">
        <v>12</v>
      </c>
      <c r="F167" s="4" t="n">
        <v>0.3</v>
      </c>
      <c r="G167" s="5">
        <f>ROUND(E167*(1+F167),2)</f>
        <v>15.60</v>
      </c>
      <c r="H167" s="5">
        <f>ROUND(G167*NOTAS!$B$2,2)</f>
        <v>11252.99</v>
      </c>
      <c r="I167" s="6">
        <f>ROUND(G167*NOTAS!$B$3,0)</f>
        <v>50682</v>
      </c>
      <c r="J167" s="2" t="n">
        <v>1</v>
      </c>
    </row>
    <row r="168">
      <c r="A168" s="2" t="inlineStr">
        <is>
          <t>DA0146</t>
        </is>
      </c>
      <c r="B168" s="2" t="inlineStr"/>
      <c r="C168" s="2" t="inlineStr">
        <is>
          <t>BASE AMORTIGUADOR DELANTERA IZQUIERDA LANOS</t>
        </is>
      </c>
      <c r="D168" s="2" t="inlineStr">
        <is>
          <t>PROSHOCK</t>
        </is>
      </c>
      <c r="E168" s="3" t="n">
        <v>10</v>
      </c>
      <c r="F168" s="4" t="n">
        <v>0.3</v>
      </c>
      <c r="G168" s="5">
        <f>ROUND(E168*(1+F168),2)</f>
        <v>13.00</v>
      </c>
      <c r="H168" s="5">
        <f>ROUND(G168*NOTAS!$B$2,2)</f>
        <v>9377.49</v>
      </c>
      <c r="I168" s="6">
        <f>ROUND(G168*NOTAS!$B$3,0)</f>
        <v>42235</v>
      </c>
      <c r="J168" s="2" t="n">
        <v>3</v>
      </c>
    </row>
    <row r="169">
      <c r="A169" s="2" t="inlineStr">
        <is>
          <t>P96549921</t>
        </is>
      </c>
      <c r="B169" s="2" t="inlineStr"/>
      <c r="C169" s="2" t="inlineStr">
        <is>
          <t>BASE AMORTIGUADOR DELANTERA OPTRA</t>
        </is>
      </c>
      <c r="D169" s="2" t="inlineStr">
        <is>
          <t>SBB</t>
        </is>
      </c>
      <c r="E169" s="3" t="n">
        <v>7</v>
      </c>
      <c r="F169" s="4" t="n">
        <v>0.3</v>
      </c>
      <c r="G169" s="5">
        <f>ROUND(E169*(1+F169),2)</f>
        <v>9.10</v>
      </c>
      <c r="H169" s="5">
        <f>ROUND(G169*NOTAS!$B$2,2)</f>
        <v>6564.24</v>
      </c>
      <c r="I169" s="6">
        <f>ROUND(G169*NOTAS!$B$3,0)</f>
        <v>29565</v>
      </c>
      <c r="J169" s="2" t="n">
        <v>2</v>
      </c>
    </row>
    <row r="170">
      <c r="A170" s="2" t="inlineStr">
        <is>
          <t>96549921</t>
        </is>
      </c>
      <c r="B170" s="2" t="inlineStr"/>
      <c r="C170" s="2" t="inlineStr">
        <is>
          <t>BASE AMORTIGUADOR DELANTERA OPTRA</t>
        </is>
      </c>
      <c r="D170" s="2" t="inlineStr">
        <is>
          <t>BOSUNGINDUS</t>
        </is>
      </c>
      <c r="E170" s="3" t="n">
        <v>10</v>
      </c>
      <c r="F170" s="4" t="n">
        <v>0.3</v>
      </c>
      <c r="G170" s="5">
        <f>ROUND(E170*(1+F170),2)</f>
        <v>13.00</v>
      </c>
      <c r="H170" s="5">
        <f>ROUND(G170*NOTAS!$B$2,2)</f>
        <v>9377.49</v>
      </c>
      <c r="I170" s="6">
        <f>ROUND(G170*NOTAS!$B$3,0)</f>
        <v>42235</v>
      </c>
      <c r="J170" s="2" t="n">
        <v>2</v>
      </c>
    </row>
    <row r="171">
      <c r="A171" s="2" t="inlineStr">
        <is>
          <t>R.9-615</t>
        </is>
      </c>
      <c r="B171" s="2" t="inlineStr"/>
      <c r="C171" s="2" t="inlineStr">
        <is>
          <t>BASE AMORTIGUADOR DELANTERA R-11</t>
        </is>
      </c>
      <c r="D171" s="2" t="inlineStr">
        <is>
          <t>TAKSIM GROUP</t>
        </is>
      </c>
      <c r="E171" s="3" t="n">
        <v>15</v>
      </c>
      <c r="F171" s="4" t="n">
        <v>0.3</v>
      </c>
      <c r="G171" s="5">
        <f>ROUND(E171*(1+F171),2)</f>
        <v>19.50</v>
      </c>
      <c r="H171" s="5">
        <f>ROUND(G171*NOTAS!$B$2,2)</f>
        <v>14066.24</v>
      </c>
      <c r="I171" s="6">
        <f>ROUND(G171*NOTAS!$B$3,0)</f>
        <v>63353</v>
      </c>
      <c r="J171" s="2" t="n">
        <v>3</v>
      </c>
    </row>
    <row r="172">
      <c r="A172" s="2" t="inlineStr">
        <is>
          <t>7700835254</t>
        </is>
      </c>
      <c r="B172" s="2" t="inlineStr"/>
      <c r="C172" s="2" t="inlineStr">
        <is>
          <t>BASE AMORTIGUADOR DELANTERA R-19</t>
        </is>
      </c>
      <c r="D172" s="2" t="inlineStr">
        <is>
          <t>RENAULT</t>
        </is>
      </c>
      <c r="E172" s="3" t="n">
        <v>20</v>
      </c>
      <c r="F172" s="4" t="n">
        <v>0.3</v>
      </c>
      <c r="G172" s="5">
        <f>ROUND(E172*(1+F172),2)</f>
        <v>26.00</v>
      </c>
      <c r="H172" s="5">
        <f>ROUND(G172*NOTAS!$B$2,2)</f>
        <v>18754.99</v>
      </c>
      <c r="I172" s="6">
        <f>ROUND(G172*NOTAS!$B$3,0)</f>
        <v>84471</v>
      </c>
      <c r="J172" s="2" t="n">
        <v>3</v>
      </c>
    </row>
    <row r="173">
      <c r="A173" s="2" t="inlineStr">
        <is>
          <t>R.19-503</t>
        </is>
      </c>
      <c r="B173" s="2" t="inlineStr"/>
      <c r="C173" s="2" t="inlineStr">
        <is>
          <t>BASE AMORTIGUADOR DELANTERA R-19</t>
        </is>
      </c>
      <c r="D173" s="2" t="inlineStr">
        <is>
          <t>TAKSIM GROUP</t>
        </is>
      </c>
      <c r="E173" s="3" t="n">
        <v>15</v>
      </c>
      <c r="F173" s="4" t="n">
        <v>0.3</v>
      </c>
      <c r="G173" s="5">
        <f>ROUND(E173*(1+F173),2)</f>
        <v>19.50</v>
      </c>
      <c r="H173" s="5">
        <f>ROUND(G173*NOTAS!$B$2,2)</f>
        <v>14066.24</v>
      </c>
      <c r="I173" s="6">
        <f>ROUND(G173*NOTAS!$B$3,0)</f>
        <v>63353</v>
      </c>
      <c r="J173" s="2" t="n">
        <v>7</v>
      </c>
    </row>
    <row r="174">
      <c r="A174" s="2" t="inlineStr">
        <is>
          <t>RE0140</t>
        </is>
      </c>
      <c r="B174" s="2" t="inlineStr"/>
      <c r="C174" s="2" t="inlineStr">
        <is>
          <t>BASE AMORTIGUADOR DELANTERA R-19 CON ROLINERA</t>
        </is>
      </c>
      <c r="D174" s="2" t="inlineStr">
        <is>
          <t>PROSHOCK</t>
        </is>
      </c>
      <c r="E174" s="3" t="n">
        <v>15</v>
      </c>
      <c r="F174" s="4" t="n">
        <v>0.3</v>
      </c>
      <c r="G174" s="5">
        <f>ROUND(E174*(1+F174),2)</f>
        <v>19.50</v>
      </c>
      <c r="H174" s="5">
        <f>ROUND(G174*NOTAS!$B$2,2)</f>
        <v>14066.24</v>
      </c>
      <c r="I174" s="6">
        <f>ROUND(G174*NOTAS!$B$3,0)</f>
        <v>63353</v>
      </c>
      <c r="J174" s="2" t="n">
        <v>3</v>
      </c>
    </row>
    <row r="175">
      <c r="A175" s="2" t="inlineStr">
        <is>
          <t>7700757691</t>
        </is>
      </c>
      <c r="B175" s="2" t="inlineStr"/>
      <c r="C175" s="2" t="inlineStr">
        <is>
          <t>BASE AMORTIGUADOR DELANTERA R-21 CARBURADO</t>
        </is>
      </c>
      <c r="D175" s="2" t="inlineStr">
        <is>
          <t>RENAULT</t>
        </is>
      </c>
      <c r="E175" s="3" t="n">
        <v>15</v>
      </c>
      <c r="F175" s="4" t="n">
        <v>0.3</v>
      </c>
      <c r="G175" s="5">
        <f>ROUND(E175*(1+F175),2)</f>
        <v>19.50</v>
      </c>
      <c r="H175" s="5">
        <f>ROUND(G175*NOTAS!$B$2,2)</f>
        <v>14066.24</v>
      </c>
      <c r="I175" s="6">
        <f>ROUND(G175*NOTAS!$B$3,0)</f>
        <v>63353</v>
      </c>
      <c r="J175" s="2" t="n">
        <v>3</v>
      </c>
    </row>
    <row r="176">
      <c r="A176" s="2" t="inlineStr">
        <is>
          <t>R.21-029</t>
        </is>
      </c>
      <c r="B176" s="2" t="inlineStr"/>
      <c r="C176" s="2" t="inlineStr">
        <is>
          <t>BASE AMORTIGUADOR DELANTERA R-21 CARBURADO</t>
        </is>
      </c>
      <c r="D176" s="2" t="inlineStr">
        <is>
          <t>TAKSIM GROUP</t>
        </is>
      </c>
      <c r="E176" s="3" t="n">
        <v>15</v>
      </c>
      <c r="F176" s="4" t="n">
        <v>0.3</v>
      </c>
      <c r="G176" s="5">
        <f>ROUND(E176*(1+F176),2)</f>
        <v>19.50</v>
      </c>
      <c r="H176" s="5">
        <f>ROUND(G176*NOTAS!$B$2,2)</f>
        <v>14066.24</v>
      </c>
      <c r="I176" s="6">
        <f>ROUND(G176*NOTAS!$B$3,0)</f>
        <v>63353</v>
      </c>
      <c r="J176" s="2" t="n">
        <v>1</v>
      </c>
    </row>
    <row r="177">
      <c r="A177" s="2" t="inlineStr">
        <is>
          <t>7700773881</t>
        </is>
      </c>
      <c r="B177" s="2" t="inlineStr"/>
      <c r="C177" s="2" t="inlineStr">
        <is>
          <t>BASE AMORTIGUADOR DELANTERA R-21 CARBURADO</t>
        </is>
      </c>
      <c r="D177" s="2" t="inlineStr">
        <is>
          <t>SBB</t>
        </is>
      </c>
      <c r="E177" s="3" t="n">
        <v>15</v>
      </c>
      <c r="F177" s="4" t="n">
        <v>0.3</v>
      </c>
      <c r="G177" s="5">
        <f>ROUND(E177*(1+F177),2)</f>
        <v>19.50</v>
      </c>
      <c r="H177" s="5">
        <f>ROUND(G177*NOTAS!$B$2,2)</f>
        <v>14066.24</v>
      </c>
      <c r="I177" s="6">
        <f>ROUND(G177*NOTAS!$B$3,0)</f>
        <v>63353</v>
      </c>
      <c r="J177" s="2" t="n">
        <v>2</v>
      </c>
    </row>
    <row r="178">
      <c r="A178" s="2" t="inlineStr">
        <is>
          <t>7700795187</t>
        </is>
      </c>
      <c r="B178" s="2" t="inlineStr"/>
      <c r="C178" s="2" t="inlineStr">
        <is>
          <t>BASE AMORTIGUADOR DELANTERA R-21 INY</t>
        </is>
      </c>
      <c r="D178" s="2" t="inlineStr">
        <is>
          <t>RENAULT</t>
        </is>
      </c>
      <c r="E178" s="3" t="n">
        <v>15</v>
      </c>
      <c r="F178" s="4" t="n">
        <v>0.3</v>
      </c>
      <c r="G178" s="5">
        <f>ROUND(E178*(1+F178),2)</f>
        <v>19.50</v>
      </c>
      <c r="H178" s="5">
        <f>ROUND(G178*NOTAS!$B$2,2)</f>
        <v>14066.24</v>
      </c>
      <c r="I178" s="6">
        <f>ROUND(G178*NOTAS!$B$3,0)</f>
        <v>63353</v>
      </c>
      <c r="J178" s="2" t="n">
        <v>2</v>
      </c>
    </row>
    <row r="179">
      <c r="A179" s="2" t="inlineStr">
        <is>
          <t>18102</t>
        </is>
      </c>
      <c r="B179" s="2" t="inlineStr"/>
      <c r="C179" s="2" t="inlineStr">
        <is>
          <t>BASE AMORTIGUADOR DELANTERA R-LOGAN</t>
        </is>
      </c>
      <c r="D179" s="2" t="inlineStr">
        <is>
          <t>SANFOR</t>
        </is>
      </c>
      <c r="E179" s="3" t="n">
        <v>6</v>
      </c>
      <c r="F179" s="4" t="n">
        <v>0.3</v>
      </c>
      <c r="G179" s="5">
        <f>ROUND(E179*(1+F179),2)</f>
        <v>7.80</v>
      </c>
      <c r="H179" s="5">
        <f>ROUND(G179*NOTAS!$B$2,2)</f>
        <v>5626.50</v>
      </c>
      <c r="I179" s="6">
        <f>ROUND(G179*NOTAS!$B$3,0)</f>
        <v>25341</v>
      </c>
      <c r="J179" s="2" t="n">
        <v>2</v>
      </c>
    </row>
    <row r="180">
      <c r="A180" s="2" t="inlineStr">
        <is>
          <t>RE0182</t>
        </is>
      </c>
      <c r="B180" s="2" t="inlineStr"/>
      <c r="C180" s="2" t="inlineStr">
        <is>
          <t>BASE AMORTIGUADOR DELANTERA R-LOGAN</t>
        </is>
      </c>
      <c r="D180" s="2" t="inlineStr">
        <is>
          <t>PROSHOCK</t>
        </is>
      </c>
      <c r="E180" s="3" t="n">
        <v>6</v>
      </c>
      <c r="F180" s="4" t="n">
        <v>0.3</v>
      </c>
      <c r="G180" s="5">
        <f>ROUND(E180*(1+F180),2)</f>
        <v>7.80</v>
      </c>
      <c r="H180" s="5">
        <f>ROUND(G180*NOTAS!$B$2,2)</f>
        <v>5626.50</v>
      </c>
      <c r="I180" s="6">
        <f>ROUND(G180*NOTAS!$B$3,0)</f>
        <v>25341</v>
      </c>
      <c r="J180" s="2" t="n">
        <v>1</v>
      </c>
    </row>
    <row r="181">
      <c r="A181" s="2" t="inlineStr">
        <is>
          <t>RB6001547499</t>
        </is>
      </c>
      <c r="B181" s="2" t="inlineStr"/>
      <c r="C181" s="2" t="inlineStr">
        <is>
          <t>BASE AMORTIGUADOR DELANTERA R-LOGAN</t>
        </is>
      </c>
      <c r="D181" s="2" t="inlineStr">
        <is>
          <t>KAPARS</t>
        </is>
      </c>
      <c r="E181" s="3" t="n">
        <v>8</v>
      </c>
      <c r="F181" s="4" t="n">
        <v>0.3</v>
      </c>
      <c r="G181" s="5">
        <f>ROUND(E181*(1+F181),2)</f>
        <v>10.40</v>
      </c>
      <c r="H181" s="5">
        <f>ROUND(G181*NOTAS!$B$2,2)</f>
        <v>7501.99</v>
      </c>
      <c r="I181" s="6">
        <f>ROUND(G181*NOTAS!$B$3,0)</f>
        <v>33788</v>
      </c>
      <c r="J181" s="2" t="n">
        <v>1</v>
      </c>
    </row>
    <row r="182">
      <c r="A182" s="2" t="inlineStr">
        <is>
          <t>7700829529</t>
        </is>
      </c>
      <c r="B182" s="2" t="inlineStr"/>
      <c r="C182" s="2" t="inlineStr">
        <is>
          <t>BASE AMORTIGUADOR DELANTERA R-SYMBOL/CLIO</t>
        </is>
      </c>
      <c r="D182" s="2" t="inlineStr">
        <is>
          <t>RENAULT</t>
        </is>
      </c>
      <c r="E182" s="3" t="n">
        <v>8</v>
      </c>
      <c r="F182" s="4" t="n">
        <v>0.3</v>
      </c>
      <c r="G182" s="5">
        <f>ROUND(E182*(1+F182),2)</f>
        <v>10.40</v>
      </c>
      <c r="H182" s="5">
        <f>ROUND(G182*NOTAS!$B$2,2)</f>
        <v>7501.99</v>
      </c>
      <c r="I182" s="6">
        <f>ROUND(G182*NOTAS!$B$3,0)</f>
        <v>33788</v>
      </c>
      <c r="J182" s="2" t="n">
        <v>5</v>
      </c>
    </row>
    <row r="183">
      <c r="A183" s="2" t="inlineStr">
        <is>
          <t>96456713</t>
        </is>
      </c>
      <c r="B183" s="2" t="inlineStr"/>
      <c r="C183" s="2" t="inlineStr">
        <is>
          <t xml:space="preserve">BASE AMORTIGUADOR TRASERA AVEO </t>
        </is>
      </c>
      <c r="D183" s="2" t="inlineStr">
        <is>
          <t>GM</t>
        </is>
      </c>
      <c r="E183" s="3" t="n">
        <v>8</v>
      </c>
      <c r="F183" s="4" t="n">
        <v>0.3</v>
      </c>
      <c r="G183" s="5">
        <f>ROUND(E183*(1+F183),2)</f>
        <v>10.40</v>
      </c>
      <c r="H183" s="5">
        <f>ROUND(G183*NOTAS!$B$2,2)</f>
        <v>7501.99</v>
      </c>
      <c r="I183" s="6">
        <f>ROUND(G183*NOTAS!$B$3,0)</f>
        <v>33788</v>
      </c>
      <c r="J183" s="2" t="n">
        <v>4</v>
      </c>
    </row>
    <row r="184">
      <c r="A184" s="2" t="inlineStr">
        <is>
          <t>901863</t>
        </is>
      </c>
      <c r="B184" s="2" t="inlineStr"/>
      <c r="C184" s="2" t="inlineStr">
        <is>
          <t>BASE AMORTIGUADOR TRASERA FIESTA 04/13-ECOSPORT</t>
        </is>
      </c>
      <c r="D184" s="2" t="inlineStr">
        <is>
          <t>FORD</t>
        </is>
      </c>
      <c r="E184" s="3" t="n">
        <v>20</v>
      </c>
      <c r="F184" s="4" t="n">
        <v>0.3</v>
      </c>
      <c r="G184" s="5">
        <f>ROUND(E184*(1+F184),2)</f>
        <v>26.00</v>
      </c>
      <c r="H184" s="5">
        <f>ROUND(G184*NOTAS!$B$2,2)</f>
        <v>18754.99</v>
      </c>
      <c r="I184" s="6">
        <f>ROUND(G184*NOTAS!$B$3,0)</f>
        <v>84471</v>
      </c>
      <c r="J184" s="2" t="n">
        <v>4</v>
      </c>
    </row>
    <row r="185">
      <c r="A185" s="2" t="inlineStr">
        <is>
          <t>1313</t>
        </is>
      </c>
      <c r="B185" s="2" t="inlineStr"/>
      <c r="C185" s="2" t="inlineStr">
        <is>
          <t>BASE AMORTIGUADOR TRASERA F-PAL/SIE</t>
        </is>
      </c>
      <c r="D185" s="2" t="inlineStr">
        <is>
          <t>SAMPEL</t>
        </is>
      </c>
      <c r="E185" s="3" t="n">
        <v>5</v>
      </c>
      <c r="F185" s="4" t="n">
        <v>0.3</v>
      </c>
      <c r="G185" s="5">
        <f>ROUND(E185*(1+F185),2)</f>
        <v>6.50</v>
      </c>
      <c r="H185" s="5">
        <f>ROUND(G185*NOTAS!$B$2,2)</f>
        <v>4688.75</v>
      </c>
      <c r="I185" s="6">
        <f>ROUND(G185*NOTAS!$B$3,0)</f>
        <v>21118</v>
      </c>
      <c r="J185" s="2" t="n">
        <v>10</v>
      </c>
    </row>
    <row r="186">
      <c r="A186" s="2" t="inlineStr">
        <is>
          <t>1013</t>
        </is>
      </c>
      <c r="B186" s="2" t="inlineStr"/>
      <c r="C186" s="2" t="inlineStr">
        <is>
          <t>BASE AMORTIGUADOR TRASERA F-UNO/PREMIO</t>
        </is>
      </c>
      <c r="D186" s="2" t="inlineStr">
        <is>
          <t>SAMPEL</t>
        </is>
      </c>
      <c r="E186" s="3" t="n">
        <v>5</v>
      </c>
      <c r="F186" s="4" t="n">
        <v>0.3</v>
      </c>
      <c r="G186" s="5">
        <f>ROUND(E186*(1+F186),2)</f>
        <v>6.50</v>
      </c>
      <c r="H186" s="5">
        <f>ROUND(G186*NOTAS!$B$2,2)</f>
        <v>4688.75</v>
      </c>
      <c r="I186" s="6">
        <f>ROUND(G186*NOTAS!$B$3,0)</f>
        <v>21118</v>
      </c>
      <c r="J186" s="2" t="n">
        <v>12</v>
      </c>
    </row>
    <row r="187">
      <c r="A187" s="2" t="inlineStr">
        <is>
          <t>1015</t>
        </is>
      </c>
      <c r="B187" s="2" t="inlineStr"/>
      <c r="C187" s="2" t="inlineStr">
        <is>
          <t>BASE AMORTIGUADOR TRASERA F-UNO/PREMIO ALTA</t>
        </is>
      </c>
      <c r="D187" s="2" t="inlineStr">
        <is>
          <t>SAMPEL</t>
        </is>
      </c>
      <c r="E187" s="3" t="n">
        <v>5</v>
      </c>
      <c r="F187" s="4" t="n">
        <v>0.3</v>
      </c>
      <c r="G187" s="5">
        <f>ROUND(E187*(1+F187),2)</f>
        <v>6.50</v>
      </c>
      <c r="H187" s="5">
        <f>ROUND(G187*NOTAS!$B$2,2)</f>
        <v>4688.75</v>
      </c>
      <c r="I187" s="6">
        <f>ROUND(G187*NOTAS!$B$3,0)</f>
        <v>21118</v>
      </c>
      <c r="J187" s="2" t="n">
        <v>4</v>
      </c>
    </row>
    <row r="188">
      <c r="A188" s="2" t="inlineStr">
        <is>
          <t>4198</t>
        </is>
      </c>
      <c r="B188" s="2" t="inlineStr"/>
      <c r="C188" s="2" t="inlineStr">
        <is>
          <t>BASE AMORTIGUADOR TRASERO R-TWINGO/CL</t>
        </is>
      </c>
      <c r="D188" s="2" t="inlineStr">
        <is>
          <t>METALCAUCHO</t>
        </is>
      </c>
      <c r="E188" s="3" t="n">
        <v>8</v>
      </c>
      <c r="F188" s="4" t="n">
        <v>0.3</v>
      </c>
      <c r="G188" s="5">
        <f>ROUND(E188*(1+F188),2)</f>
        <v>10.40</v>
      </c>
      <c r="H188" s="5">
        <f>ROUND(G188*NOTAS!$B$2,2)</f>
        <v>7501.99</v>
      </c>
      <c r="I188" s="6">
        <f>ROUND(G188*NOTAS!$B$3,0)</f>
        <v>33788</v>
      </c>
      <c r="J188" s="2" t="n">
        <v>4</v>
      </c>
    </row>
    <row r="189">
      <c r="A189" s="2" t="inlineStr">
        <is>
          <t>8977805</t>
        </is>
      </c>
      <c r="B189" s="2" t="inlineStr"/>
      <c r="C189" s="2" t="inlineStr">
        <is>
          <t>BASE CAJA CHEVETTE</t>
        </is>
      </c>
      <c r="D189" s="2" t="inlineStr">
        <is>
          <t>SANFOR</t>
        </is>
      </c>
      <c r="E189" s="3" t="n">
        <v>4.27</v>
      </c>
      <c r="F189" s="4" t="n">
        <v>0.3</v>
      </c>
      <c r="G189" s="5">
        <f>ROUND(E189*(1+F189),2)</f>
        <v>5.55</v>
      </c>
      <c r="H189" s="5">
        <f>ROUND(G189*NOTAS!$B$2,2)</f>
        <v>4003.47</v>
      </c>
      <c r="I189" s="6">
        <f>ROUND(G189*NOTAS!$B$3,0)</f>
        <v>18031</v>
      </c>
      <c r="J189" s="2" t="n">
        <v>2</v>
      </c>
    </row>
    <row r="190">
      <c r="A190" s="2" t="inlineStr">
        <is>
          <t>3711</t>
        </is>
      </c>
      <c r="B190" s="2" t="inlineStr"/>
      <c r="C190" s="2" t="inlineStr">
        <is>
          <t>BASE CAJA CHEVETTE</t>
        </is>
      </c>
      <c r="D190" s="2" t="inlineStr">
        <is>
          <t>SAMPEL</t>
        </is>
      </c>
      <c r="E190" s="3" t="n">
        <v>5</v>
      </c>
      <c r="F190" s="4" t="n">
        <v>0.3</v>
      </c>
      <c r="G190" s="5">
        <f>ROUND(E190*(1+F190),2)</f>
        <v>6.50</v>
      </c>
      <c r="H190" s="5">
        <f>ROUND(G190*NOTAS!$B$2,2)</f>
        <v>4688.75</v>
      </c>
      <c r="I190" s="6">
        <f>ROUND(G190*NOTAS!$B$3,0)</f>
        <v>21118</v>
      </c>
      <c r="J190" s="2" t="n">
        <v>10</v>
      </c>
    </row>
    <row r="191">
      <c r="A191" s="2" t="inlineStr">
        <is>
          <t>2528</t>
        </is>
      </c>
      <c r="B191" s="2" t="inlineStr"/>
      <c r="C191" s="2" t="inlineStr">
        <is>
          <t>BASE CAJA CORCEL</t>
        </is>
      </c>
      <c r="D191" s="2" t="inlineStr">
        <is>
          <t>SAMPEL</t>
        </is>
      </c>
      <c r="E191" s="3" t="n">
        <v>7</v>
      </c>
      <c r="F191" s="4" t="n">
        <v>0.3</v>
      </c>
      <c r="G191" s="5">
        <f>ROUND(E191*(1+F191),2)</f>
        <v>9.10</v>
      </c>
      <c r="H191" s="5">
        <f>ROUND(G191*NOTAS!$B$2,2)</f>
        <v>6564.24</v>
      </c>
      <c r="I191" s="6">
        <f>ROUND(G191*NOTAS!$B$3,0)</f>
        <v>29565</v>
      </c>
      <c r="J191" s="2" t="n">
        <v>11</v>
      </c>
    </row>
    <row r="192">
      <c r="A192" s="2" t="inlineStr">
        <is>
          <t>51101</t>
        </is>
      </c>
      <c r="B192" s="2" t="inlineStr"/>
      <c r="C192" s="2" t="inlineStr">
        <is>
          <t>BASE CAJA CORCEL</t>
        </is>
      </c>
      <c r="D192" s="2" t="inlineStr">
        <is>
          <t>SANFOR</t>
        </is>
      </c>
      <c r="E192" s="3" t="n">
        <v>5</v>
      </c>
      <c r="F192" s="4" t="n">
        <v>0.3</v>
      </c>
      <c r="G192" s="5">
        <f>ROUND(E192*(1+F192),2)</f>
        <v>6.50</v>
      </c>
      <c r="H192" s="5">
        <f>ROUND(G192*NOTAS!$B$2,2)</f>
        <v>4688.75</v>
      </c>
      <c r="I192" s="6">
        <f>ROUND(G192*NOTAS!$B$3,0)</f>
        <v>21118</v>
      </c>
      <c r="J192" s="2" t="n">
        <v>6</v>
      </c>
    </row>
    <row r="193">
      <c r="A193" s="2" t="inlineStr">
        <is>
          <t>96535499</t>
        </is>
      </c>
      <c r="B193" s="2" t="inlineStr"/>
      <c r="C193" s="2" t="inlineStr">
        <is>
          <t>BASE CAJA IZQUIERDA AVEO</t>
        </is>
      </c>
      <c r="D193" s="2" t="inlineStr">
        <is>
          <t>GM ORIG</t>
        </is>
      </c>
      <c r="E193" s="3" t="n">
        <v>30</v>
      </c>
      <c r="F193" s="4" t="n">
        <v>0.3</v>
      </c>
      <c r="G193" s="5">
        <f>ROUND(E193*(1+F193),2)</f>
        <v>39.00</v>
      </c>
      <c r="H193" s="5">
        <f>ROUND(G193*NOTAS!$B$2,2)</f>
        <v>28132.48</v>
      </c>
      <c r="I193" s="6">
        <f>ROUND(G193*NOTAS!$B$3,0)</f>
        <v>126706</v>
      </c>
      <c r="J193" s="2" t="n">
        <v>1</v>
      </c>
    </row>
    <row r="194">
      <c r="A194" s="2" t="inlineStr">
        <is>
          <t>96535499</t>
        </is>
      </c>
      <c r="B194" s="2" t="inlineStr"/>
      <c r="C194" s="2" t="inlineStr">
        <is>
          <t>BASE CAJA IZQUIERDA AVEO</t>
        </is>
      </c>
      <c r="D194" s="2" t="inlineStr">
        <is>
          <t>KAPARS</t>
        </is>
      </c>
      <c r="E194" s="3" t="n">
        <v>20</v>
      </c>
      <c r="F194" s="4" t="n">
        <v>0.3</v>
      </c>
      <c r="G194" s="5">
        <f>ROUND(E194*(1+F194),2)</f>
        <v>26.00</v>
      </c>
      <c r="H194" s="5">
        <f>ROUND(G194*NOTAS!$B$2,2)</f>
        <v>18754.99</v>
      </c>
      <c r="I194" s="6">
        <f>ROUND(G194*NOTAS!$B$3,0)</f>
        <v>84471</v>
      </c>
      <c r="J194" s="2" t="n">
        <v>1</v>
      </c>
    </row>
    <row r="195">
      <c r="A195" s="2" t="inlineStr">
        <is>
          <t>DA0008</t>
        </is>
      </c>
      <c r="B195" s="2" t="inlineStr"/>
      <c r="C195" s="2" t="inlineStr">
        <is>
          <t>BASE CAJA IZQUIERDA CIELO/LANOS</t>
        </is>
      </c>
      <c r="D195" s="2" t="inlineStr">
        <is>
          <t>PROSHOCK</t>
        </is>
      </c>
      <c r="E195" s="3" t="n">
        <v>5</v>
      </c>
      <c r="F195" s="4" t="n">
        <v>0.3</v>
      </c>
      <c r="G195" s="5">
        <f>ROUND(E195*(1+F195),2)</f>
        <v>6.50</v>
      </c>
      <c r="H195" s="5">
        <f>ROUND(G195*NOTAS!$B$2,2)</f>
        <v>4688.75</v>
      </c>
      <c r="I195" s="6">
        <f>ROUND(G195*NOTAS!$B$3,0)</f>
        <v>21118</v>
      </c>
      <c r="J195" s="2" t="n">
        <v>20</v>
      </c>
    </row>
    <row r="196">
      <c r="A196" s="2" t="inlineStr">
        <is>
          <t>90250437</t>
        </is>
      </c>
      <c r="B196" s="2" t="inlineStr"/>
      <c r="C196" s="2" t="inlineStr">
        <is>
          <t>BASE CAJA IZQUIERDA CIELO/LANOS</t>
        </is>
      </c>
      <c r="D196" s="2" t="inlineStr">
        <is>
          <t>CARDEX</t>
        </is>
      </c>
      <c r="E196" s="3" t="n">
        <v>6</v>
      </c>
      <c r="F196" s="4" t="n">
        <v>0.3</v>
      </c>
      <c r="G196" s="5">
        <f>ROUND(E196*(1+F196),2)</f>
        <v>7.80</v>
      </c>
      <c r="H196" s="5">
        <f>ROUND(G196*NOTAS!$B$2,2)</f>
        <v>5626.50</v>
      </c>
      <c r="I196" s="6">
        <f>ROUND(G196*NOTAS!$B$3,0)</f>
        <v>25341</v>
      </c>
      <c r="J196" s="2" t="n">
        <v>3</v>
      </c>
    </row>
    <row r="197">
      <c r="A197" s="2" t="inlineStr">
        <is>
          <t>3027</t>
        </is>
      </c>
      <c r="B197" s="2" t="inlineStr"/>
      <c r="C197" s="2" t="inlineStr">
        <is>
          <t xml:space="preserve">BASE CAJA IZQUIERDA CORSA </t>
        </is>
      </c>
      <c r="D197" s="2" t="inlineStr">
        <is>
          <t>SAMPEL</t>
        </is>
      </c>
      <c r="E197" s="3" t="n">
        <v>15</v>
      </c>
      <c r="F197" s="4" t="n">
        <v>0.3</v>
      </c>
      <c r="G197" s="5">
        <f>ROUND(E197*(1+F197),2)</f>
        <v>19.50</v>
      </c>
      <c r="H197" s="5">
        <f>ROUND(G197*NOTAS!$B$2,2)</f>
        <v>14066.24</v>
      </c>
      <c r="I197" s="6">
        <f>ROUND(G197*NOTAS!$B$3,0)</f>
        <v>63353</v>
      </c>
      <c r="J197" s="2" t="n">
        <v>12</v>
      </c>
    </row>
    <row r="198">
      <c r="A198" s="2" t="inlineStr">
        <is>
          <t>90495170</t>
        </is>
      </c>
      <c r="B198" s="2" t="inlineStr"/>
      <c r="C198" s="2" t="inlineStr">
        <is>
          <t xml:space="preserve">BASE CAJA IZQUIERDA CORSA </t>
        </is>
      </c>
      <c r="D198" s="2" t="inlineStr">
        <is>
          <t>GKP</t>
        </is>
      </c>
      <c r="E198" s="3" t="n">
        <v>10</v>
      </c>
      <c r="F198" s="4" t="n">
        <v>0.3</v>
      </c>
      <c r="G198" s="5">
        <f>ROUND(E198*(1+F198),2)</f>
        <v>13.00</v>
      </c>
      <c r="H198" s="5">
        <f>ROUND(G198*NOTAS!$B$2,2)</f>
        <v>9377.49</v>
      </c>
      <c r="I198" s="6">
        <f>ROUND(G198*NOTAS!$B$3,0)</f>
        <v>42235</v>
      </c>
      <c r="J198" s="2" t="n">
        <v>5</v>
      </c>
    </row>
    <row r="199">
      <c r="A199" s="2" t="inlineStr">
        <is>
          <t>90495170</t>
        </is>
      </c>
      <c r="B199" s="2" t="inlineStr"/>
      <c r="C199" s="2" t="inlineStr">
        <is>
          <t xml:space="preserve">BASE CAJA IZQUIERDA CORSA </t>
        </is>
      </c>
      <c r="D199" s="2" t="inlineStr">
        <is>
          <t>KOREA</t>
        </is>
      </c>
      <c r="E199" s="3" t="n">
        <v>8</v>
      </c>
      <c r="F199" s="4" t="n">
        <v>0.3</v>
      </c>
      <c r="G199" s="5">
        <f>ROUND(E199*(1+F199),2)</f>
        <v>10.40</v>
      </c>
      <c r="H199" s="5">
        <f>ROUND(G199*NOTAS!$B$2,2)</f>
        <v>7501.99</v>
      </c>
      <c r="I199" s="6">
        <f>ROUND(G199*NOTAS!$B$3,0)</f>
        <v>33788</v>
      </c>
      <c r="J199" s="2" t="n">
        <v>10</v>
      </c>
    </row>
    <row r="200">
      <c r="A200" s="2" t="inlineStr">
        <is>
          <t>3007</t>
        </is>
      </c>
      <c r="B200" s="2" t="inlineStr"/>
      <c r="C200" s="2" t="inlineStr">
        <is>
          <t>BASE CAJA IZQUIERDA CORSA SIN AIRE</t>
        </is>
      </c>
      <c r="D200" s="2" t="inlineStr">
        <is>
          <t>SAMPEL</t>
        </is>
      </c>
      <c r="E200" s="3" t="n">
        <v>10</v>
      </c>
      <c r="F200" s="4" t="n">
        <v>0.3</v>
      </c>
      <c r="G200" s="5">
        <f>ROUND(E200*(1+F200),2)</f>
        <v>13.00</v>
      </c>
      <c r="H200" s="5">
        <f>ROUND(G200*NOTAS!$B$2,2)</f>
        <v>9377.49</v>
      </c>
      <c r="I200" s="6">
        <f>ROUND(G200*NOTAS!$B$3,0)</f>
        <v>42235</v>
      </c>
      <c r="J200" s="2" t="n">
        <v>1</v>
      </c>
    </row>
    <row r="201">
      <c r="A201" s="2" t="inlineStr">
        <is>
          <t>90495169</t>
        </is>
      </c>
      <c r="B201" s="2" t="inlineStr"/>
      <c r="C201" s="2" t="inlineStr">
        <is>
          <t>BASE CAJA IZQUIERDA CORSA SIN AIRE</t>
        </is>
      </c>
      <c r="D201" s="2" t="inlineStr">
        <is>
          <t>SBB</t>
        </is>
      </c>
      <c r="E201" s="3" t="n">
        <v>10</v>
      </c>
      <c r="F201" s="4" t="n">
        <v>0.3</v>
      </c>
      <c r="G201" s="5">
        <f>ROUND(E201*(1+F201),2)</f>
        <v>13.00</v>
      </c>
      <c r="H201" s="5">
        <f>ROUND(G201*NOTAS!$B$2,2)</f>
        <v>9377.49</v>
      </c>
      <c r="I201" s="6">
        <f>ROUND(G201*NOTAS!$B$3,0)</f>
        <v>42235</v>
      </c>
      <c r="J201" s="2" t="n">
        <v>2</v>
      </c>
    </row>
    <row r="202">
      <c r="A202" s="2" t="inlineStr">
        <is>
          <t>906124</t>
        </is>
      </c>
      <c r="B202" s="2" t="inlineStr"/>
      <c r="C202" s="2" t="inlineStr">
        <is>
          <t>BASE CAJA IZQUIERDA ECOSPORT</t>
        </is>
      </c>
      <c r="D202" s="2" t="inlineStr">
        <is>
          <t>FORD</t>
        </is>
      </c>
      <c r="E202" s="3" t="n">
        <v>40</v>
      </c>
      <c r="F202" s="4" t="n">
        <v>0.3</v>
      </c>
      <c r="G202" s="5">
        <f>ROUND(E202*(1+F202),2)</f>
        <v>52.00</v>
      </c>
      <c r="H202" s="5">
        <f>ROUND(G202*NOTAS!$B$2,2)</f>
        <v>37509.97</v>
      </c>
      <c r="I202" s="6">
        <f>ROUND(G202*NOTAS!$B$3,0)</f>
        <v>168941</v>
      </c>
      <c r="J202" s="2" t="n">
        <v>1</v>
      </c>
    </row>
    <row r="203">
      <c r="A203" s="2" t="inlineStr">
        <is>
          <t>1000</t>
        </is>
      </c>
      <c r="B203" s="2" t="inlineStr"/>
      <c r="C203" s="2" t="inlineStr">
        <is>
          <t>BASE CAJA IZQUIERDA F-147/SPAZIO</t>
        </is>
      </c>
      <c r="D203" s="2" t="inlineStr">
        <is>
          <t>SAMPEL</t>
        </is>
      </c>
      <c r="E203" s="3" t="n">
        <v>15</v>
      </c>
      <c r="F203" s="4" t="n">
        <v>0.3</v>
      </c>
      <c r="G203" s="5">
        <f>ROUND(E203*(1+F203),2)</f>
        <v>19.50</v>
      </c>
      <c r="H203" s="5">
        <f>ROUND(G203*NOTAS!$B$2,2)</f>
        <v>14066.24</v>
      </c>
      <c r="I203" s="6">
        <f>ROUND(G203*NOTAS!$B$3,0)</f>
        <v>63353</v>
      </c>
      <c r="J203" s="2" t="n">
        <v>1</v>
      </c>
    </row>
    <row r="204">
      <c r="A204" s="2" t="inlineStr">
        <is>
          <t>2725</t>
        </is>
      </c>
      <c r="B204" s="2" t="inlineStr">
        <is>
          <t>96FB7M121A</t>
        </is>
      </c>
      <c r="C204" s="2" t="inlineStr">
        <is>
          <t>BASE CAJA IZQUIERDA FIESTA …/03</t>
        </is>
      </c>
      <c r="D204" s="2" t="inlineStr">
        <is>
          <t>SAMPEL</t>
        </is>
      </c>
      <c r="E204" s="3" t="n">
        <v>20</v>
      </c>
      <c r="F204" s="4" t="n">
        <v>0.3</v>
      </c>
      <c r="G204" s="5">
        <f>ROUND(E204*(1+F204),2)</f>
        <v>26.00</v>
      </c>
      <c r="H204" s="5">
        <f>ROUND(G204*NOTAS!$B$2,2)</f>
        <v>18754.99</v>
      </c>
      <c r="I204" s="6">
        <f>ROUND(G204*NOTAS!$B$3,0)</f>
        <v>84471</v>
      </c>
      <c r="J204" s="2" t="n">
        <v>2</v>
      </c>
    </row>
    <row r="205">
      <c r="A205" s="2" t="inlineStr">
        <is>
          <t>96FB7M121A</t>
        </is>
      </c>
      <c r="B205" s="2" t="inlineStr"/>
      <c r="C205" s="2" t="inlineStr">
        <is>
          <t>BASE CAJA IZQUIERDA FIESTA …/03</t>
        </is>
      </c>
      <c r="D205" s="2" t="inlineStr">
        <is>
          <t>BBR</t>
        </is>
      </c>
      <c r="E205" s="3" t="n">
        <v>20</v>
      </c>
      <c r="F205" s="4" t="n">
        <v>0.3</v>
      </c>
      <c r="G205" s="5">
        <f>ROUND(E205*(1+F205),2)</f>
        <v>26.00</v>
      </c>
      <c r="H205" s="5">
        <f>ROUND(G205*NOTAS!$B$2,2)</f>
        <v>18754.99</v>
      </c>
      <c r="I205" s="6">
        <f>ROUND(G205*NOTAS!$B$3,0)</f>
        <v>84471</v>
      </c>
      <c r="J205" s="2" t="n">
        <v>6</v>
      </c>
    </row>
    <row r="206">
      <c r="A206" s="2" t="inlineStr">
        <is>
          <t>941127</t>
        </is>
      </c>
      <c r="B206" s="2" t="inlineStr">
        <is>
          <t>2S657M121AB</t>
        </is>
      </c>
      <c r="C206" s="2" t="inlineStr">
        <is>
          <t>BASE CAJA IZQUIERDA FIESTA 04/13</t>
        </is>
      </c>
      <c r="D206" s="2" t="inlineStr">
        <is>
          <t>FORD</t>
        </is>
      </c>
      <c r="E206" s="3" t="n">
        <v>40</v>
      </c>
      <c r="F206" s="4" t="n">
        <v>0.3</v>
      </c>
      <c r="G206" s="5">
        <f>ROUND(E206*(1+F206),2)</f>
        <v>52.00</v>
      </c>
      <c r="H206" s="5">
        <f>ROUND(G206*NOTAS!$B$2,2)</f>
        <v>37509.97</v>
      </c>
      <c r="I206" s="6">
        <f>ROUND(G206*NOTAS!$B$3,0)</f>
        <v>168941</v>
      </c>
      <c r="J206" s="2" t="n">
        <v>4</v>
      </c>
    </row>
    <row r="207">
      <c r="A207" s="2" t="inlineStr">
        <is>
          <t>788</t>
        </is>
      </c>
      <c r="B207" s="2" t="inlineStr"/>
      <c r="C207" s="2" t="inlineStr">
        <is>
          <t>BASE CAJA IZQUIERDA F-PALIO/SIENA …/99</t>
        </is>
      </c>
      <c r="D207" s="2" t="inlineStr">
        <is>
          <t>BFX</t>
        </is>
      </c>
      <c r="E207" s="3" t="n">
        <v>10</v>
      </c>
      <c r="F207" s="4" t="n">
        <v>0.3</v>
      </c>
      <c r="G207" s="5">
        <f>ROUND(E207*(1+F207),2)</f>
        <v>13.00</v>
      </c>
      <c r="H207" s="5">
        <f>ROUND(G207*NOTAS!$B$2,2)</f>
        <v>9377.49</v>
      </c>
      <c r="I207" s="6">
        <f>ROUND(G207*NOTAS!$B$3,0)</f>
        <v>42235</v>
      </c>
      <c r="J207" s="2" t="n">
        <v>3</v>
      </c>
    </row>
    <row r="208">
      <c r="A208" s="2" t="inlineStr">
        <is>
          <t>46444759</t>
        </is>
      </c>
      <c r="B208" s="2" t="inlineStr"/>
      <c r="C208" s="2" t="inlineStr">
        <is>
          <t>BASE CAJA IZQUIERDA F-PALIO/SIENA …/99</t>
        </is>
      </c>
      <c r="D208" s="2" t="inlineStr">
        <is>
          <t>FIAT</t>
        </is>
      </c>
      <c r="E208" s="3" t="n">
        <v>10</v>
      </c>
      <c r="F208" s="4" t="n">
        <v>0.3</v>
      </c>
      <c r="G208" s="5">
        <f>ROUND(E208*(1+F208),2)</f>
        <v>13.00</v>
      </c>
      <c r="H208" s="5">
        <f>ROUND(G208*NOTAS!$B$2,2)</f>
        <v>9377.49</v>
      </c>
      <c r="I208" s="6">
        <f>ROUND(G208*NOTAS!$B$3,0)</f>
        <v>42235</v>
      </c>
      <c r="J208" s="2" t="n">
        <v>4</v>
      </c>
    </row>
    <row r="209">
      <c r="A209" s="2" t="inlineStr">
        <is>
          <t>1305</t>
        </is>
      </c>
      <c r="B209" s="2" t="inlineStr"/>
      <c r="C209" s="2" t="inlineStr">
        <is>
          <t>BASE CAJA IZQUIERDA F-PALIO/SIENA …/99</t>
        </is>
      </c>
      <c r="D209" s="2" t="inlineStr">
        <is>
          <t>SAMPEL</t>
        </is>
      </c>
      <c r="E209" s="3" t="n">
        <v>10</v>
      </c>
      <c r="F209" s="4" t="n">
        <v>0.3</v>
      </c>
      <c r="G209" s="5">
        <f>ROUND(E209*(1+F209),2)</f>
        <v>13.00</v>
      </c>
      <c r="H209" s="5">
        <f>ROUND(G209*NOTAS!$B$2,2)</f>
        <v>9377.49</v>
      </c>
      <c r="I209" s="6">
        <f>ROUND(G209*NOTAS!$B$3,0)</f>
        <v>42235</v>
      </c>
      <c r="J209" s="2" t="n">
        <v>8</v>
      </c>
    </row>
    <row r="210">
      <c r="A210" s="2" t="inlineStr">
        <is>
          <t>1070</t>
        </is>
      </c>
      <c r="B210" s="2" t="inlineStr"/>
      <c r="C210" s="2" t="inlineStr">
        <is>
          <t>BASE CAJA IZQUIERDA F-PALIO/SIENA 1.3 16V FIRE</t>
        </is>
      </c>
      <c r="D210" s="2" t="inlineStr">
        <is>
          <t>SAMPEL</t>
        </is>
      </c>
      <c r="E210" s="3" t="n">
        <v>20</v>
      </c>
      <c r="F210" s="4" t="n">
        <v>0.3</v>
      </c>
      <c r="G210" s="5">
        <f>ROUND(E210*(1+F210),2)</f>
        <v>26.00</v>
      </c>
      <c r="H210" s="5">
        <f>ROUND(G210*NOTAS!$B$2,2)</f>
        <v>18754.99</v>
      </c>
      <c r="I210" s="6">
        <f>ROUND(G210*NOTAS!$B$3,0)</f>
        <v>84471</v>
      </c>
      <c r="J210" s="2" t="n">
        <v>8</v>
      </c>
    </row>
    <row r="211">
      <c r="A211" s="2" t="inlineStr">
        <is>
          <t>21830-22000</t>
        </is>
      </c>
      <c r="B211" s="2" t="inlineStr"/>
      <c r="C211" s="2" t="inlineStr">
        <is>
          <t>BASE CAJA IZQUIERDA HYUNDAI ACCENT</t>
        </is>
      </c>
      <c r="D211" s="2" t="inlineStr">
        <is>
          <t>KOREA</t>
        </is>
      </c>
      <c r="E211" s="3" t="n">
        <v>15</v>
      </c>
      <c r="F211" s="4" t="n">
        <v>0.3</v>
      </c>
      <c r="G211" s="5">
        <f>ROUND(E211*(1+F211),2)</f>
        <v>19.50</v>
      </c>
      <c r="H211" s="5">
        <f>ROUND(G211*NOTAS!$B$2,2)</f>
        <v>14066.24</v>
      </c>
      <c r="I211" s="6">
        <f>ROUND(G211*NOTAS!$B$3,0)</f>
        <v>63353</v>
      </c>
      <c r="J211" s="2" t="n">
        <v>1</v>
      </c>
    </row>
    <row r="212">
      <c r="A212" s="2" t="inlineStr">
        <is>
          <t>2717</t>
        </is>
      </c>
      <c r="B212" s="2" t="inlineStr">
        <is>
          <t>XS516B032AC</t>
        </is>
      </c>
      <c r="C212" s="2" t="inlineStr">
        <is>
          <t>BASE CAJA IZQUIERDA KA</t>
        </is>
      </c>
      <c r="D212" s="2" t="inlineStr">
        <is>
          <t>SAMPEL</t>
        </is>
      </c>
      <c r="E212" s="3" t="n">
        <v>20</v>
      </c>
      <c r="F212" s="4" t="n">
        <v>0.3</v>
      </c>
      <c r="G212" s="5">
        <f>ROUND(E212*(1+F212),2)</f>
        <v>26.00</v>
      </c>
      <c r="H212" s="5">
        <f>ROUND(G212*NOTAS!$B$2,2)</f>
        <v>18754.99</v>
      </c>
      <c r="I212" s="6">
        <f>ROUND(G212*NOTAS!$B$3,0)</f>
        <v>84471</v>
      </c>
      <c r="J212" s="2" t="n">
        <v>4</v>
      </c>
    </row>
    <row r="213">
      <c r="A213" s="2" t="inlineStr">
        <is>
          <t>96314472</t>
        </is>
      </c>
      <c r="B213" s="2" t="inlineStr"/>
      <c r="C213" s="2" t="inlineStr">
        <is>
          <t>BASE CAJA IZQUIERDA MATIZ</t>
        </is>
      </c>
      <c r="D213" s="2" t="inlineStr">
        <is>
          <t>WOORI CHEMICAL</t>
        </is>
      </c>
      <c r="E213" s="3" t="n">
        <v>10</v>
      </c>
      <c r="F213" s="4" t="n">
        <v>0.3</v>
      </c>
      <c r="G213" s="5">
        <f>ROUND(E213*(1+F213),2)</f>
        <v>13.00</v>
      </c>
      <c r="H213" s="5">
        <f>ROUND(G213*NOTAS!$B$2,2)</f>
        <v>9377.49</v>
      </c>
      <c r="I213" s="6">
        <f>ROUND(G213*NOTAS!$B$3,0)</f>
        <v>42235</v>
      </c>
      <c r="J213" s="2" t="n">
        <v>1</v>
      </c>
    </row>
    <row r="214">
      <c r="A214" s="2" t="inlineStr">
        <is>
          <t>GM0280</t>
        </is>
      </c>
      <c r="B214" s="2" t="inlineStr"/>
      <c r="C214" s="2" t="inlineStr">
        <is>
          <t>BASE CAJA IZQUIERDA MONTANA MERIVA</t>
        </is>
      </c>
      <c r="D214" s="2" t="inlineStr">
        <is>
          <t>PROSHOCK</t>
        </is>
      </c>
      <c r="E214" s="3" t="n">
        <v>14</v>
      </c>
      <c r="F214" s="4" t="n">
        <v>0.3</v>
      </c>
      <c r="G214" s="5">
        <f>ROUND(E214*(1+F214),2)</f>
        <v>18.20</v>
      </c>
      <c r="H214" s="5">
        <f>ROUND(G214*NOTAS!$B$2,2)</f>
        <v>13128.49</v>
      </c>
      <c r="I214" s="6">
        <f>ROUND(G214*NOTAS!$B$3,0)</f>
        <v>59129</v>
      </c>
      <c r="J214" s="2" t="n">
        <v>1</v>
      </c>
    </row>
    <row r="215">
      <c r="A215" s="2" t="inlineStr">
        <is>
          <t>96550234</t>
        </is>
      </c>
      <c r="B215" s="2" t="inlineStr"/>
      <c r="C215" s="2" t="inlineStr">
        <is>
          <t>BASE CAJA IZQUIERDA OPTRA</t>
        </is>
      </c>
      <c r="D215" s="2" t="inlineStr">
        <is>
          <t>KAPARS</t>
        </is>
      </c>
      <c r="E215" s="3" t="n">
        <v>25</v>
      </c>
      <c r="F215" s="4" t="n">
        <v>0.3</v>
      </c>
      <c r="G215" s="5">
        <f>ROUND(E215*(1+F215),2)</f>
        <v>32.50</v>
      </c>
      <c r="H215" s="5">
        <f>ROUND(G215*NOTAS!$B$2,2)</f>
        <v>23443.73</v>
      </c>
      <c r="I215" s="6">
        <f>ROUND(G215*NOTAS!$B$3,0)</f>
        <v>105588</v>
      </c>
      <c r="J215" s="2" t="n">
        <v>2</v>
      </c>
    </row>
    <row r="216">
      <c r="A216" s="2" t="inlineStr">
        <is>
          <t>RE0139</t>
        </is>
      </c>
      <c r="B216" s="2" t="inlineStr"/>
      <c r="C216" s="2" t="inlineStr">
        <is>
          <t>BASE CAJA IZQUIERDA R-11</t>
        </is>
      </c>
      <c r="D216" s="2" t="inlineStr">
        <is>
          <t>PROSHOCK</t>
        </is>
      </c>
      <c r="E216" s="3" t="n">
        <v>5</v>
      </c>
      <c r="F216" s="4" t="n">
        <v>0.3</v>
      </c>
      <c r="G216" s="5">
        <f>ROUND(E216*(1+F216),2)</f>
        <v>6.50</v>
      </c>
      <c r="H216" s="5">
        <f>ROUND(G216*NOTAS!$B$2,2)</f>
        <v>4688.75</v>
      </c>
      <c r="I216" s="6">
        <f>ROUND(G216*NOTAS!$B$3,0)</f>
        <v>21118</v>
      </c>
      <c r="J216" s="2" t="n">
        <v>10</v>
      </c>
    </row>
    <row r="217">
      <c r="A217" s="2" t="inlineStr">
        <is>
          <t>30272</t>
        </is>
      </c>
      <c r="B217" s="2" t="inlineStr"/>
      <c r="C217" s="2" t="inlineStr">
        <is>
          <t>BASE CAJA IZQUIERDA R-11</t>
        </is>
      </c>
      <c r="D217" s="2" t="inlineStr">
        <is>
          <t>IMPERGOM</t>
        </is>
      </c>
      <c r="E217" s="3" t="n">
        <v>6</v>
      </c>
      <c r="F217" s="4" t="n">
        <v>0.3</v>
      </c>
      <c r="G217" s="5">
        <f>ROUND(E217*(1+F217),2)</f>
        <v>7.80</v>
      </c>
      <c r="H217" s="5">
        <f>ROUND(G217*NOTAS!$B$2,2)</f>
        <v>5626.50</v>
      </c>
      <c r="I217" s="6">
        <f>ROUND(G217*NOTAS!$B$3,0)</f>
        <v>25341</v>
      </c>
      <c r="J217" s="2" t="n">
        <v>1</v>
      </c>
    </row>
    <row r="218">
      <c r="A218" s="2" t="inlineStr">
        <is>
          <t>WC70030</t>
        </is>
      </c>
      <c r="B218" s="2" t="inlineStr"/>
      <c r="C218" s="2" t="inlineStr">
        <is>
          <t>BASE CAJA IZQUIERDA R-19</t>
        </is>
      </c>
      <c r="D218" s="2" t="inlineStr">
        <is>
          <t>QCD</t>
        </is>
      </c>
      <c r="E218" s="3" t="n">
        <v>8</v>
      </c>
      <c r="F218" s="4" t="n">
        <v>0.3</v>
      </c>
      <c r="G218" s="5">
        <f>ROUND(E218*(1+F218),2)</f>
        <v>10.40</v>
      </c>
      <c r="H218" s="5">
        <f>ROUND(G218*NOTAS!$B$2,2)</f>
        <v>7501.99</v>
      </c>
      <c r="I218" s="6">
        <f>ROUND(G218*NOTAS!$B$3,0)</f>
        <v>33788</v>
      </c>
      <c r="J218" s="2" t="n">
        <v>5</v>
      </c>
    </row>
    <row r="219">
      <c r="A219" s="2" t="inlineStr">
        <is>
          <t>7700801543</t>
        </is>
      </c>
      <c r="B219" s="2" t="inlineStr"/>
      <c r="C219" s="2" t="inlineStr">
        <is>
          <t>BASE CAJA IZQUIERDA R-19</t>
        </is>
      </c>
      <c r="D219" s="2" t="inlineStr">
        <is>
          <t>RENAULT</t>
        </is>
      </c>
      <c r="E219" s="3" t="n">
        <v>10</v>
      </c>
      <c r="F219" s="4" t="n">
        <v>0.3</v>
      </c>
      <c r="G219" s="5">
        <f>ROUND(E219*(1+F219),2)</f>
        <v>13.00</v>
      </c>
      <c r="H219" s="5">
        <f>ROUND(G219*NOTAS!$B$2,2)</f>
        <v>9377.49</v>
      </c>
      <c r="I219" s="6">
        <f>ROUND(G219*NOTAS!$B$3,0)</f>
        <v>42235</v>
      </c>
      <c r="J219" s="2" t="n">
        <v>12</v>
      </c>
    </row>
    <row r="220">
      <c r="A220" s="2" t="inlineStr"/>
      <c r="B220" s="2" t="inlineStr"/>
      <c r="C220" s="2" t="inlineStr">
        <is>
          <t>BASE CAJA IZQUIERDA R-19</t>
        </is>
      </c>
      <c r="D220" s="2" t="inlineStr">
        <is>
          <t>PROSHOCK</t>
        </is>
      </c>
      <c r="E220" s="3" t="n">
        <v>7</v>
      </c>
      <c r="F220" s="4" t="n">
        <v>0.3</v>
      </c>
      <c r="G220" s="5">
        <f>ROUND(E220*(1+F220),2)</f>
        <v>9.10</v>
      </c>
      <c r="H220" s="5">
        <f>ROUND(G220*NOTAS!$B$2,2)</f>
        <v>6564.24</v>
      </c>
      <c r="I220" s="6">
        <f>ROUND(G220*NOTAS!$B$3,0)</f>
        <v>29565</v>
      </c>
      <c r="J220" s="2" t="n">
        <v>4</v>
      </c>
    </row>
    <row r="221">
      <c r="A221" s="2" t="inlineStr">
        <is>
          <t>7700801543</t>
        </is>
      </c>
      <c r="B221" s="2" t="inlineStr"/>
      <c r="C221" s="2" t="inlineStr">
        <is>
          <t>BASE CAJA IZQUIERDA R-19</t>
        </is>
      </c>
      <c r="D221" s="2" t="inlineStr">
        <is>
          <t>SBB</t>
        </is>
      </c>
      <c r="E221" s="3" t="n">
        <v>9</v>
      </c>
      <c r="F221" s="4" t="n">
        <v>0.3</v>
      </c>
      <c r="G221" s="5">
        <f>ROUND(E221*(1+F221),2)</f>
        <v>11.70</v>
      </c>
      <c r="H221" s="5">
        <f>ROUND(G221*NOTAS!$B$2,2)</f>
        <v>8439.74</v>
      </c>
      <c r="I221" s="6">
        <f>ROUND(G221*NOTAS!$B$3,0)</f>
        <v>38012</v>
      </c>
      <c r="J221" s="2" t="n">
        <v>2</v>
      </c>
    </row>
    <row r="222">
      <c r="A222" s="2" t="inlineStr">
        <is>
          <t>7700801543-2</t>
        </is>
      </c>
      <c r="B222" s="2" t="inlineStr"/>
      <c r="C222" s="2" t="inlineStr">
        <is>
          <t>BASE CAJA IZQUIERDA R-19</t>
        </is>
      </c>
      <c r="D222" s="2" t="inlineStr">
        <is>
          <t>SKP</t>
        </is>
      </c>
      <c r="E222" s="3" t="n">
        <v>9</v>
      </c>
      <c r="F222" s="4" t="n">
        <v>0.3</v>
      </c>
      <c r="G222" s="5">
        <f>ROUND(E222*(1+F222),2)</f>
        <v>11.70</v>
      </c>
      <c r="H222" s="5">
        <f>ROUND(G222*NOTAS!$B$2,2)</f>
        <v>8439.74</v>
      </c>
      <c r="I222" s="6">
        <f>ROUND(G222*NOTAS!$B$3,0)</f>
        <v>38012</v>
      </c>
      <c r="J222" s="2" t="n">
        <v>3</v>
      </c>
    </row>
    <row r="223">
      <c r="A223" s="2" t="inlineStr">
        <is>
          <t>R.CLI-009</t>
        </is>
      </c>
      <c r="B223" s="2" t="inlineStr"/>
      <c r="C223" s="2" t="inlineStr">
        <is>
          <t>BASE CAJA IZQUIERDA R-CLIO AUT</t>
        </is>
      </c>
      <c r="D223" s="2" t="inlineStr">
        <is>
          <t>TAKSIM GROUP</t>
        </is>
      </c>
      <c r="E223" s="3" t="n">
        <v>12</v>
      </c>
      <c r="F223" s="4" t="n">
        <v>0.3</v>
      </c>
      <c r="G223" s="5">
        <f>ROUND(E223*(1+F223),2)</f>
        <v>15.60</v>
      </c>
      <c r="H223" s="5">
        <f>ROUND(G223*NOTAS!$B$2,2)</f>
        <v>11252.99</v>
      </c>
      <c r="I223" s="6">
        <f>ROUND(G223*NOTAS!$B$3,0)</f>
        <v>50682</v>
      </c>
      <c r="J223" s="2" t="n">
        <v>4</v>
      </c>
    </row>
    <row r="224">
      <c r="A224" s="2" t="inlineStr">
        <is>
          <t>8200358147</t>
        </is>
      </c>
      <c r="B224" s="2" t="inlineStr"/>
      <c r="C224" s="2" t="inlineStr">
        <is>
          <t>BASE CAJA IZQUIERDA R-LOGAN</t>
        </is>
      </c>
      <c r="D224" s="2" t="inlineStr">
        <is>
          <t>SBB</t>
        </is>
      </c>
      <c r="E224" s="3" t="n">
        <v>10</v>
      </c>
      <c r="F224" s="4" t="n">
        <v>0.3</v>
      </c>
      <c r="G224" s="5">
        <f>ROUND(E224*(1+F224),2)</f>
        <v>13.00</v>
      </c>
      <c r="H224" s="5">
        <f>ROUND(G224*NOTAS!$B$2,2)</f>
        <v>9377.49</v>
      </c>
      <c r="I224" s="6">
        <f>ROUND(G224*NOTAS!$B$3,0)</f>
        <v>42235</v>
      </c>
      <c r="J224" s="2" t="n">
        <v>2</v>
      </c>
    </row>
    <row r="225">
      <c r="A225" s="2" t="inlineStr"/>
      <c r="B225" s="2" t="inlineStr"/>
      <c r="C225" s="2" t="inlineStr">
        <is>
          <t>BASE CAJA IZQUIERDA R-LOGAN</t>
        </is>
      </c>
      <c r="D225" s="2" t="inlineStr">
        <is>
          <t>PROSHOCK</t>
        </is>
      </c>
      <c r="E225" s="3" t="n">
        <v>8</v>
      </c>
      <c r="F225" s="4" t="n">
        <v>0.3</v>
      </c>
      <c r="G225" s="5">
        <f>ROUND(E225*(1+F225),2)</f>
        <v>10.40</v>
      </c>
      <c r="H225" s="5">
        <f>ROUND(G225*NOTAS!$B$2,2)</f>
        <v>7501.99</v>
      </c>
      <c r="I225" s="6">
        <f>ROUND(G225*NOTAS!$B$3,0)</f>
        <v>33788</v>
      </c>
      <c r="J225" s="2" t="n">
        <v>3</v>
      </c>
    </row>
    <row r="226">
      <c r="A226" s="2" t="inlineStr">
        <is>
          <t>RB8200352861</t>
        </is>
      </c>
      <c r="B226" s="2" t="inlineStr"/>
      <c r="C226" s="2" t="inlineStr">
        <is>
          <t>BASE CAJA IZQUIERDA R-LOGAN</t>
        </is>
      </c>
      <c r="D226" s="2" t="inlineStr">
        <is>
          <t>KAPARS</t>
        </is>
      </c>
      <c r="E226" s="3" t="n">
        <v>10</v>
      </c>
      <c r="F226" s="4" t="n">
        <v>0.3</v>
      </c>
      <c r="G226" s="5">
        <f>ROUND(E226*(1+F226),2)</f>
        <v>13.00</v>
      </c>
      <c r="H226" s="5">
        <f>ROUND(G226*NOTAS!$B$2,2)</f>
        <v>9377.49</v>
      </c>
      <c r="I226" s="6">
        <f>ROUND(G226*NOTAS!$B$3,0)</f>
        <v>42235</v>
      </c>
      <c r="J226" s="2" t="n">
        <v>3</v>
      </c>
    </row>
    <row r="227">
      <c r="A227" s="2" t="inlineStr">
        <is>
          <t>71433</t>
        </is>
      </c>
      <c r="B227" s="2" t="inlineStr"/>
      <c r="C227" s="2" t="inlineStr">
        <is>
          <t>BASE CAJA IZQUIERDA R-LOGAN</t>
        </is>
      </c>
      <c r="D227" s="2" t="inlineStr">
        <is>
          <t>IMPERGOM</t>
        </is>
      </c>
      <c r="E227" s="3" t="n">
        <v>10</v>
      </c>
      <c r="F227" s="4" t="n">
        <v>0.3</v>
      </c>
      <c r="G227" s="5">
        <f>ROUND(E227*(1+F227),2)</f>
        <v>13.00</v>
      </c>
      <c r="H227" s="5">
        <f>ROUND(G227*NOTAS!$B$2,2)</f>
        <v>9377.49</v>
      </c>
      <c r="I227" s="6">
        <f>ROUND(G227*NOTAS!$B$3,0)</f>
        <v>42235</v>
      </c>
      <c r="J227" s="2" t="n">
        <v>4</v>
      </c>
    </row>
    <row r="228">
      <c r="A228" s="2" t="inlineStr">
        <is>
          <t>RB7700427286</t>
        </is>
      </c>
      <c r="B228" s="2" t="inlineStr"/>
      <c r="C228" s="2" t="inlineStr">
        <is>
          <t>BASE CAJA IZQUIERDA R-MEGANE/KANG</t>
        </is>
      </c>
      <c r="D228" s="2" t="inlineStr">
        <is>
          <t>KAPARS</t>
        </is>
      </c>
      <c r="E228" s="3" t="n">
        <v>12</v>
      </c>
      <c r="F228" s="4" t="n">
        <v>0.3</v>
      </c>
      <c r="G228" s="5">
        <f>ROUND(E228*(1+F228),2)</f>
        <v>15.60</v>
      </c>
      <c r="H228" s="5">
        <f>ROUND(G228*NOTAS!$B$2,2)</f>
        <v>11252.99</v>
      </c>
      <c r="I228" s="6">
        <f>ROUND(G228*NOTAS!$B$3,0)</f>
        <v>50682</v>
      </c>
      <c r="J228" s="2" t="n">
        <v>2</v>
      </c>
    </row>
    <row r="229">
      <c r="A229" s="2" t="inlineStr">
        <is>
          <t>R.MGN-004</t>
        </is>
      </c>
      <c r="B229" s="2" t="inlineStr"/>
      <c r="C229" s="2" t="inlineStr">
        <is>
          <t>BASE CAJA IZQUIERDA R-MEGANE/KANG</t>
        </is>
      </c>
      <c r="D229" s="2" t="inlineStr">
        <is>
          <t>TAKSIM GROUP</t>
        </is>
      </c>
      <c r="E229" s="3" t="n">
        <v>12</v>
      </c>
      <c r="F229" s="4" t="n">
        <v>0.3</v>
      </c>
      <c r="G229" s="5">
        <f>ROUND(E229*(1+F229),2)</f>
        <v>15.60</v>
      </c>
      <c r="H229" s="5">
        <f>ROUND(G229*NOTAS!$B$2,2)</f>
        <v>11252.99</v>
      </c>
      <c r="I229" s="6">
        <f>ROUND(G229*NOTAS!$B$3,0)</f>
        <v>50682</v>
      </c>
      <c r="J229" s="2" t="n">
        <v>7</v>
      </c>
    </row>
    <row r="230">
      <c r="A230" s="2" t="inlineStr">
        <is>
          <t>7700788319</t>
        </is>
      </c>
      <c r="B230" s="2" t="inlineStr"/>
      <c r="C230" s="2" t="inlineStr">
        <is>
          <t>BASE CAJA IZQUIERDA R-SYMBOL</t>
        </is>
      </c>
      <c r="D230" s="2" t="inlineStr">
        <is>
          <t>RENAULT</t>
        </is>
      </c>
      <c r="E230" s="3" t="n">
        <v>10</v>
      </c>
      <c r="F230" s="4" t="n">
        <v>0.3</v>
      </c>
      <c r="G230" s="5">
        <f>ROUND(E230*(1+F230),2)</f>
        <v>13.00</v>
      </c>
      <c r="H230" s="5">
        <f>ROUND(G230*NOTAS!$B$2,2)</f>
        <v>9377.49</v>
      </c>
      <c r="I230" s="6">
        <f>ROUND(G230*NOTAS!$B$3,0)</f>
        <v>42235</v>
      </c>
      <c r="J230" s="2" t="n">
        <v>2</v>
      </c>
    </row>
    <row r="231">
      <c r="A231" s="2" t="inlineStr">
        <is>
          <t>7700821670</t>
        </is>
      </c>
      <c r="B231" s="2" t="inlineStr"/>
      <c r="C231" s="2" t="inlineStr">
        <is>
          <t>BASE CAJA IZQUIERDA R-TWINGO</t>
        </is>
      </c>
      <c r="D231" s="2" t="inlineStr">
        <is>
          <t>SBB</t>
        </is>
      </c>
      <c r="E231" s="3" t="n">
        <v>18</v>
      </c>
      <c r="F231" s="4" t="n">
        <v>0.3</v>
      </c>
      <c r="G231" s="5">
        <f>ROUND(E231*(1+F231),2)</f>
        <v>23.40</v>
      </c>
      <c r="H231" s="5">
        <f>ROUND(G231*NOTAS!$B$2,2)</f>
        <v>16879.49</v>
      </c>
      <c r="I231" s="6">
        <f>ROUND(G231*NOTAS!$B$3,0)</f>
        <v>76024</v>
      </c>
      <c r="J231" s="2" t="n">
        <v>2</v>
      </c>
    </row>
    <row r="232">
      <c r="A232" s="2" t="inlineStr"/>
      <c r="B232" s="2" t="inlineStr"/>
      <c r="C232" s="2" t="inlineStr">
        <is>
          <t>BASE CAJA IZQUIERDA SPARK</t>
        </is>
      </c>
      <c r="D232" s="2" t="inlineStr">
        <is>
          <t>KOREA</t>
        </is>
      </c>
      <c r="E232" s="3" t="n">
        <v>15</v>
      </c>
      <c r="F232" s="4" t="n">
        <v>0.3</v>
      </c>
      <c r="G232" s="5">
        <f>ROUND(E232*(1+F232),2)</f>
        <v>19.50</v>
      </c>
      <c r="H232" s="5">
        <f>ROUND(G232*NOTAS!$B$2,2)</f>
        <v>14066.24</v>
      </c>
      <c r="I232" s="6">
        <f>ROUND(G232*NOTAS!$B$3,0)</f>
        <v>63353</v>
      </c>
      <c r="J232" s="2" t="n">
        <v>1</v>
      </c>
    </row>
    <row r="233">
      <c r="A233" s="2" t="inlineStr">
        <is>
          <t>29477</t>
        </is>
      </c>
      <c r="B233" s="2" t="inlineStr"/>
      <c r="C233" s="2" t="inlineStr">
        <is>
          <t>BASE CAJA R-12</t>
        </is>
      </c>
      <c r="D233" s="2" t="inlineStr">
        <is>
          <t>IMPERGOM</t>
        </is>
      </c>
      <c r="E233" s="3" t="n">
        <v>5</v>
      </c>
      <c r="F233" s="4" t="n">
        <v>0.3</v>
      </c>
      <c r="G233" s="5">
        <f>ROUND(E233*(1+F233),2)</f>
        <v>6.50</v>
      </c>
      <c r="H233" s="5">
        <f>ROUND(G233*NOTAS!$B$2,2)</f>
        <v>4688.75</v>
      </c>
      <c r="I233" s="6">
        <f>ROUND(G233*NOTAS!$B$3,0)</f>
        <v>21118</v>
      </c>
      <c r="J233" s="2" t="n">
        <v>4</v>
      </c>
    </row>
    <row r="234">
      <c r="A234" s="2" t="inlineStr">
        <is>
          <t>30347</t>
        </is>
      </c>
      <c r="B234" s="2" t="inlineStr"/>
      <c r="C234" s="2" t="inlineStr">
        <is>
          <t>BASE CAJA R-18/FUEGO</t>
        </is>
      </c>
      <c r="D234" s="2" t="inlineStr">
        <is>
          <t>IMPERGOM</t>
        </is>
      </c>
      <c r="E234" s="3" t="n">
        <v>10</v>
      </c>
      <c r="F234" s="4" t="n">
        <v>0.3</v>
      </c>
      <c r="G234" s="5">
        <f>ROUND(E234*(1+F234),2)</f>
        <v>13.00</v>
      </c>
      <c r="H234" s="5">
        <f>ROUND(G234*NOTAS!$B$2,2)</f>
        <v>9377.49</v>
      </c>
      <c r="I234" s="6">
        <f>ROUND(G234*NOTAS!$B$3,0)</f>
        <v>42235</v>
      </c>
      <c r="J234" s="2" t="n">
        <v>2</v>
      </c>
    </row>
    <row r="235">
      <c r="A235" s="2" t="inlineStr">
        <is>
          <t>5266</t>
        </is>
      </c>
      <c r="B235" s="2" t="inlineStr"/>
      <c r="C235" s="2" t="inlineStr">
        <is>
          <t>BASE CAJA R-18/FUEGO</t>
        </is>
      </c>
      <c r="D235" s="2" t="inlineStr">
        <is>
          <t>ORIGINAL BIRTH</t>
        </is>
      </c>
      <c r="E235" s="3" t="n">
        <v>10</v>
      </c>
      <c r="F235" s="4" t="n">
        <v>0.3</v>
      </c>
      <c r="G235" s="5">
        <f>ROUND(E235*(1+F235),2)</f>
        <v>13.00</v>
      </c>
      <c r="H235" s="5">
        <f>ROUND(G235*NOTAS!$B$2,2)</f>
        <v>9377.49</v>
      </c>
      <c r="I235" s="6">
        <f>ROUND(G235*NOTAS!$B$3,0)</f>
        <v>42235</v>
      </c>
      <c r="J235" s="2" t="n">
        <v>3</v>
      </c>
    </row>
    <row r="236">
      <c r="A236" s="2" t="inlineStr">
        <is>
          <t>7714124</t>
        </is>
      </c>
      <c r="B236" s="2" t="inlineStr"/>
      <c r="C236" s="2" t="inlineStr">
        <is>
          <t>BASE CAJA R-18/FUEGO</t>
        </is>
      </c>
      <c r="D236" s="2" t="inlineStr">
        <is>
          <t>SANFOR</t>
        </is>
      </c>
      <c r="E236" s="3" t="n">
        <v>7</v>
      </c>
      <c r="F236" s="4" t="n">
        <v>0.3</v>
      </c>
      <c r="G236" s="5">
        <f>ROUND(E236*(1+F236),2)</f>
        <v>9.10</v>
      </c>
      <c r="H236" s="5">
        <f>ROUND(G236*NOTAS!$B$2,2)</f>
        <v>6564.24</v>
      </c>
      <c r="I236" s="6">
        <f>ROUND(G236*NOTAS!$B$3,0)</f>
        <v>29565</v>
      </c>
      <c r="J236" s="2" t="n">
        <v>6</v>
      </c>
    </row>
    <row r="237">
      <c r="A237" s="2" t="inlineStr">
        <is>
          <t>31537</t>
        </is>
      </c>
      <c r="B237" s="2" t="inlineStr"/>
      <c r="C237" s="2" t="inlineStr">
        <is>
          <t>BASE CAJA R-21</t>
        </is>
      </c>
      <c r="D237" s="2" t="inlineStr">
        <is>
          <t>IMPERGOM</t>
        </is>
      </c>
      <c r="E237" s="3" t="n">
        <v>10</v>
      </c>
      <c r="F237" s="4" t="n">
        <v>0.3</v>
      </c>
      <c r="G237" s="5">
        <f>ROUND(E237*(1+F237),2)</f>
        <v>13.00</v>
      </c>
      <c r="H237" s="5">
        <f>ROUND(G237*NOTAS!$B$2,2)</f>
        <v>9377.49</v>
      </c>
      <c r="I237" s="6">
        <f>ROUND(G237*NOTAS!$B$3,0)</f>
        <v>42235</v>
      </c>
      <c r="J237" s="2" t="n">
        <v>1</v>
      </c>
    </row>
    <row r="238">
      <c r="A238" s="2" t="inlineStr">
        <is>
          <t>7700533443</t>
        </is>
      </c>
      <c r="B238" s="2" t="inlineStr"/>
      <c r="C238" s="2" t="inlineStr">
        <is>
          <t>BASE CAJA R-5</t>
        </is>
      </c>
      <c r="D238" s="2" t="inlineStr">
        <is>
          <t>IMPERGOM</t>
        </is>
      </c>
      <c r="E238" s="3" t="n">
        <v>7</v>
      </c>
      <c r="F238" s="4" t="n">
        <v>0.3</v>
      </c>
      <c r="G238" s="5">
        <f>ROUND(E238*(1+F238),2)</f>
        <v>9.10</v>
      </c>
      <c r="H238" s="5">
        <f>ROUND(G238*NOTAS!$B$2,2)</f>
        <v>6564.24</v>
      </c>
      <c r="I238" s="6">
        <f>ROUND(G238*NOTAS!$B$3,0)</f>
        <v>29565</v>
      </c>
      <c r="J238" s="2" t="n">
        <v>2</v>
      </c>
    </row>
    <row r="239">
      <c r="A239" s="2" t="inlineStr">
        <is>
          <t>96535410</t>
        </is>
      </c>
      <c r="B239" s="2" t="inlineStr"/>
      <c r="C239" s="2" t="inlineStr">
        <is>
          <t>BASE CAJA TRASERA AVEO HUESITO</t>
        </is>
      </c>
      <c r="D239" s="2" t="inlineStr">
        <is>
          <t>GM ORIG</t>
        </is>
      </c>
      <c r="E239" s="3" t="n">
        <v>25</v>
      </c>
      <c r="F239" s="4" t="n">
        <v>0.3</v>
      </c>
      <c r="G239" s="5">
        <f>ROUND(E239*(1+F239),2)</f>
        <v>32.50</v>
      </c>
      <c r="H239" s="5">
        <f>ROUND(G239*NOTAS!$B$2,2)</f>
        <v>23443.73</v>
      </c>
      <c r="I239" s="6">
        <f>ROUND(G239*NOTAS!$B$3,0)</f>
        <v>105588</v>
      </c>
      <c r="J239" s="2" t="n">
        <v>1</v>
      </c>
    </row>
    <row r="240">
      <c r="A240" s="2" t="inlineStr">
        <is>
          <t>AC807</t>
        </is>
      </c>
      <c r="B240" s="2" t="inlineStr"/>
      <c r="C240" s="2" t="inlineStr">
        <is>
          <t xml:space="preserve">BASE CAJA TRASERA CORSA </t>
        </is>
      </c>
      <c r="D240" s="2" t="inlineStr">
        <is>
          <t>SUSPEX</t>
        </is>
      </c>
      <c r="E240" s="3" t="n">
        <v>10</v>
      </c>
      <c r="F240" s="4" t="n">
        <v>0.3</v>
      </c>
      <c r="G240" s="5">
        <f>ROUND(E240*(1+F240),2)</f>
        <v>13.00</v>
      </c>
      <c r="H240" s="5">
        <f>ROUND(G240*NOTAS!$B$2,2)</f>
        <v>9377.49</v>
      </c>
      <c r="I240" s="6">
        <f>ROUND(G240*NOTAS!$B$3,0)</f>
        <v>42235</v>
      </c>
      <c r="J240" s="2" t="n">
        <v>1</v>
      </c>
    </row>
    <row r="241">
      <c r="A241" s="2" t="inlineStr">
        <is>
          <t>90372462</t>
        </is>
      </c>
      <c r="B241" s="2" t="inlineStr"/>
      <c r="C241" s="2" t="inlineStr">
        <is>
          <t xml:space="preserve">BASE CAJA TRASERA CORSA </t>
        </is>
      </c>
      <c r="D241" s="2" t="inlineStr">
        <is>
          <t>CARDEX</t>
        </is>
      </c>
      <c r="E241" s="3" t="n">
        <v>8</v>
      </c>
      <c r="F241" s="4" t="n">
        <v>0.3</v>
      </c>
      <c r="G241" s="5">
        <f>ROUND(E241*(1+F241),2)</f>
        <v>10.40</v>
      </c>
      <c r="H241" s="5">
        <f>ROUND(G241*NOTAS!$B$2,2)</f>
        <v>7501.99</v>
      </c>
      <c r="I241" s="6">
        <f>ROUND(G241*NOTAS!$B$3,0)</f>
        <v>33788</v>
      </c>
      <c r="J241" s="2" t="n">
        <v>2</v>
      </c>
    </row>
    <row r="242">
      <c r="A242" s="2" t="inlineStr">
        <is>
          <t>93230328</t>
        </is>
      </c>
      <c r="B242" s="2" t="inlineStr"/>
      <c r="C242" s="2" t="inlineStr">
        <is>
          <t xml:space="preserve">BASE CAJA TRASERA CORSA </t>
        </is>
      </c>
      <c r="D242" s="2" t="inlineStr">
        <is>
          <t>GM KOREA</t>
        </is>
      </c>
      <c r="E242" s="3" t="n">
        <v>8</v>
      </c>
      <c r="F242" s="4" t="n">
        <v>0.3</v>
      </c>
      <c r="G242" s="5">
        <f>ROUND(E242*(1+F242),2)</f>
        <v>10.40</v>
      </c>
      <c r="H242" s="5">
        <f>ROUND(G242*NOTAS!$B$2,2)</f>
        <v>7501.99</v>
      </c>
      <c r="I242" s="6">
        <f>ROUND(G242*NOTAS!$B$3,0)</f>
        <v>33788</v>
      </c>
      <c r="J242" s="2" t="n">
        <v>5</v>
      </c>
    </row>
    <row r="243">
      <c r="A243" s="2" t="inlineStr">
        <is>
          <t>93230328</t>
        </is>
      </c>
      <c r="B243" s="2" t="inlineStr"/>
      <c r="C243" s="2" t="inlineStr">
        <is>
          <t xml:space="preserve">BASE CAJA TRASERA CORSA </t>
        </is>
      </c>
      <c r="D243" s="2" t="inlineStr">
        <is>
          <t>GM ORIG</t>
        </is>
      </c>
      <c r="E243" s="3" t="n">
        <v>15</v>
      </c>
      <c r="F243" s="4" t="n">
        <v>0.3</v>
      </c>
      <c r="G243" s="5">
        <f>ROUND(E243*(1+F243),2)</f>
        <v>19.50</v>
      </c>
      <c r="H243" s="5">
        <f>ROUND(G243*NOTAS!$B$2,2)</f>
        <v>14066.24</v>
      </c>
      <c r="I243" s="6">
        <f>ROUND(G243*NOTAS!$B$3,0)</f>
        <v>63353</v>
      </c>
      <c r="J243" s="2" t="n">
        <v>1</v>
      </c>
    </row>
    <row r="244">
      <c r="A244" s="2" t="inlineStr">
        <is>
          <t>93230328</t>
        </is>
      </c>
      <c r="B244" s="2" t="inlineStr"/>
      <c r="C244" s="2" t="inlineStr">
        <is>
          <t xml:space="preserve">BASE CAJA TRASERA CORSA </t>
        </is>
      </c>
      <c r="D244" s="2" t="inlineStr">
        <is>
          <t>SBB</t>
        </is>
      </c>
      <c r="E244" s="3" t="n">
        <v>8</v>
      </c>
      <c r="F244" s="4" t="n">
        <v>0.3</v>
      </c>
      <c r="G244" s="5">
        <f>ROUND(E244*(1+F244),2)</f>
        <v>10.40</v>
      </c>
      <c r="H244" s="5">
        <f>ROUND(G244*NOTAS!$B$2,2)</f>
        <v>7501.99</v>
      </c>
      <c r="I244" s="6">
        <f>ROUND(G244*NOTAS!$B$3,0)</f>
        <v>33788</v>
      </c>
      <c r="J244" s="2" t="n">
        <v>1</v>
      </c>
    </row>
    <row r="245">
      <c r="A245" s="2" t="inlineStr">
        <is>
          <t>3772</t>
        </is>
      </c>
      <c r="B245" s="2" t="inlineStr"/>
      <c r="C245" s="2" t="inlineStr">
        <is>
          <t xml:space="preserve">BASE CAJA TRASERA CORSA </t>
        </is>
      </c>
      <c r="D245" s="2" t="inlineStr">
        <is>
          <t>SAMPEL</t>
        </is>
      </c>
      <c r="E245" s="3" t="n">
        <v>12</v>
      </c>
      <c r="F245" s="4" t="n">
        <v>0.3</v>
      </c>
      <c r="G245" s="5">
        <f>ROUND(E245*(1+F245),2)</f>
        <v>15.60</v>
      </c>
      <c r="H245" s="5">
        <f>ROUND(G245*NOTAS!$B$2,2)</f>
        <v>11252.99</v>
      </c>
      <c r="I245" s="6">
        <f>ROUND(G245*NOTAS!$B$3,0)</f>
        <v>50682</v>
      </c>
      <c r="J245" s="2" t="n">
        <v>19</v>
      </c>
    </row>
    <row r="246">
      <c r="A246" s="2" t="inlineStr">
        <is>
          <t>GM0054</t>
        </is>
      </c>
      <c r="B246" s="2" t="inlineStr"/>
      <c r="C246" s="2" t="inlineStr">
        <is>
          <t>BASE CAJA TRASERA CORSA AUTOMATICO</t>
        </is>
      </c>
      <c r="D246" s="2" t="inlineStr">
        <is>
          <t>PROSHOCK</t>
        </is>
      </c>
      <c r="E246" s="3" t="n">
        <v>8</v>
      </c>
      <c r="F246" s="4" t="n">
        <v>0.3</v>
      </c>
      <c r="G246" s="5">
        <f>ROUND(E246*(1+F246),2)</f>
        <v>10.40</v>
      </c>
      <c r="H246" s="5">
        <f>ROUND(G246*NOTAS!$B$2,2)</f>
        <v>7501.99</v>
      </c>
      <c r="I246" s="6">
        <f>ROUND(G246*NOTAS!$B$3,0)</f>
        <v>33788</v>
      </c>
      <c r="J246" s="2" t="n">
        <v>4</v>
      </c>
    </row>
    <row r="247">
      <c r="A247" s="2" t="inlineStr">
        <is>
          <t>1011</t>
        </is>
      </c>
      <c r="B247" s="2" t="inlineStr"/>
      <c r="C247" s="2" t="inlineStr">
        <is>
          <t>BASE CAJA TRASERA F-147/SPAZIO</t>
        </is>
      </c>
      <c r="D247" s="2" t="inlineStr">
        <is>
          <t>SAMPEL</t>
        </is>
      </c>
      <c r="E247" s="3" t="n">
        <v>12</v>
      </c>
      <c r="F247" s="4" t="n">
        <v>0.3</v>
      </c>
      <c r="G247" s="5">
        <f>ROUND(E247*(1+F247),2)</f>
        <v>15.60</v>
      </c>
      <c r="H247" s="5">
        <f>ROUND(G247*NOTAS!$B$2,2)</f>
        <v>11252.99</v>
      </c>
      <c r="I247" s="6">
        <f>ROUND(G247*NOTAS!$B$3,0)</f>
        <v>50682</v>
      </c>
      <c r="J247" s="2" t="n">
        <v>2</v>
      </c>
    </row>
    <row r="248">
      <c r="A248" s="2" t="inlineStr">
        <is>
          <t>FD0080</t>
        </is>
      </c>
      <c r="B248" s="2" t="inlineStr"/>
      <c r="C248" s="2" t="inlineStr">
        <is>
          <t>BASE CAJA TRASERA FIESTA 04/13</t>
        </is>
      </c>
      <c r="D248" s="2" t="inlineStr">
        <is>
          <t>PROSHOCK</t>
        </is>
      </c>
      <c r="E248" s="3" t="n">
        <v>13.24</v>
      </c>
      <c r="F248" s="4" t="n">
        <v>0.3</v>
      </c>
      <c r="G248" s="5">
        <f>ROUND(E248*(1+F248),2)</f>
        <v>17.21</v>
      </c>
      <c r="H248" s="5">
        <f>ROUND(G248*NOTAS!$B$2,2)</f>
        <v>12414.36</v>
      </c>
      <c r="I248" s="6">
        <f>ROUND(G248*NOTAS!$B$3,0)</f>
        <v>55913</v>
      </c>
      <c r="J248" s="2" t="n">
        <v>2</v>
      </c>
    </row>
    <row r="249">
      <c r="A249" s="2" t="inlineStr">
        <is>
          <t>1091542</t>
        </is>
      </c>
      <c r="B249" s="2" t="inlineStr">
        <is>
          <t>XS616P082CA</t>
        </is>
      </c>
      <c r="C249" s="2" t="inlineStr">
        <is>
          <t xml:space="preserve">BASE CAJA TRASERA FIESTA BALITA 00/03 HUESITO </t>
        </is>
      </c>
      <c r="D249" s="2" t="inlineStr">
        <is>
          <t>FORD</t>
        </is>
      </c>
      <c r="E249" s="3" t="n">
        <v>25</v>
      </c>
      <c r="F249" s="4" t="n">
        <v>0.3</v>
      </c>
      <c r="G249" s="5">
        <f>ROUND(E249*(1+F249),2)</f>
        <v>32.50</v>
      </c>
      <c r="H249" s="5">
        <f>ROUND(G249*NOTAS!$B$2,2)</f>
        <v>23443.73</v>
      </c>
      <c r="I249" s="6">
        <f>ROUND(G249*NOTAS!$B$3,0)</f>
        <v>105588</v>
      </c>
      <c r="J249" s="2" t="n">
        <v>6</v>
      </c>
    </row>
    <row r="250">
      <c r="A250" s="2" t="inlineStr">
        <is>
          <t>MB-486</t>
        </is>
      </c>
      <c r="B250" s="2" t="inlineStr"/>
      <c r="C250" s="2" t="inlineStr">
        <is>
          <t>BASE CAJA TRASERA F-PAL/SIE 1.8-1.4</t>
        </is>
      </c>
      <c r="D250" s="2" t="inlineStr">
        <is>
          <t>MOBENSANI</t>
        </is>
      </c>
      <c r="E250" s="3" t="n">
        <v>18</v>
      </c>
      <c r="F250" s="4" t="n">
        <v>0.3</v>
      </c>
      <c r="G250" s="5">
        <f>ROUND(E250*(1+F250),2)</f>
        <v>23.40</v>
      </c>
      <c r="H250" s="5">
        <f>ROUND(G250*NOTAS!$B$2,2)</f>
        <v>16879.49</v>
      </c>
      <c r="I250" s="6">
        <f>ROUND(G250*NOTAS!$B$3,0)</f>
        <v>76024</v>
      </c>
      <c r="J250" s="2" t="n">
        <v>3</v>
      </c>
    </row>
    <row r="251">
      <c r="A251" s="2" t="inlineStr">
        <is>
          <t>51753203</t>
        </is>
      </c>
      <c r="B251" s="2" t="inlineStr"/>
      <c r="C251" s="2" t="inlineStr">
        <is>
          <t>BASE CAJA TRASERA F-PAL/SIE 1.8-1.4</t>
        </is>
      </c>
      <c r="D251" s="2" t="inlineStr">
        <is>
          <t>FIAT</t>
        </is>
      </c>
      <c r="E251" s="3" t="n">
        <v>20</v>
      </c>
      <c r="F251" s="4" t="n">
        <v>0.3</v>
      </c>
      <c r="G251" s="5">
        <f>ROUND(E251*(1+F251),2)</f>
        <v>26.00</v>
      </c>
      <c r="H251" s="5">
        <f>ROUND(G251*NOTAS!$B$2,2)</f>
        <v>18754.99</v>
      </c>
      <c r="I251" s="6">
        <f>ROUND(G251*NOTAS!$B$3,0)</f>
        <v>84471</v>
      </c>
      <c r="J251" s="2" t="n">
        <v>1</v>
      </c>
    </row>
    <row r="252">
      <c r="A252" s="2" t="inlineStr">
        <is>
          <t>50017753</t>
        </is>
      </c>
      <c r="B252" s="2" t="inlineStr"/>
      <c r="C252" s="2" t="inlineStr">
        <is>
          <t>BASE CAJA TRASERA GRANDE F-UNO FIRE</t>
        </is>
      </c>
      <c r="D252" s="2" t="inlineStr">
        <is>
          <t>INROLCA</t>
        </is>
      </c>
      <c r="E252" s="3" t="n">
        <v>12</v>
      </c>
      <c r="F252" s="4" t="n">
        <v>0.3</v>
      </c>
      <c r="G252" s="5">
        <f>ROUND(E252*(1+F252),2)</f>
        <v>15.60</v>
      </c>
      <c r="H252" s="5">
        <f>ROUND(G252*NOTAS!$B$2,2)</f>
        <v>11252.99</v>
      </c>
      <c r="I252" s="6">
        <f>ROUND(G252*NOTAS!$B$3,0)</f>
        <v>50682</v>
      </c>
      <c r="J252" s="2" t="n">
        <v>2</v>
      </c>
    </row>
    <row r="253">
      <c r="A253" s="2" t="inlineStr">
        <is>
          <t>MB-4400</t>
        </is>
      </c>
      <c r="B253" s="2" t="inlineStr"/>
      <c r="C253" s="2" t="inlineStr">
        <is>
          <t>BASE CAJA TRASERA GRANDE F-UNO/PREMIO</t>
        </is>
      </c>
      <c r="D253" s="2" t="inlineStr">
        <is>
          <t>MOBENSANI</t>
        </is>
      </c>
      <c r="E253" s="3" t="n">
        <v>11</v>
      </c>
      <c r="F253" s="4" t="n">
        <v>0.3</v>
      </c>
      <c r="G253" s="5">
        <f>ROUND(E253*(1+F253),2)</f>
        <v>14.30</v>
      </c>
      <c r="H253" s="5">
        <f>ROUND(G253*NOTAS!$B$2,2)</f>
        <v>10315.24</v>
      </c>
      <c r="I253" s="6">
        <f>ROUND(G253*NOTAS!$B$3,0)</f>
        <v>46459</v>
      </c>
      <c r="J253" s="2" t="n">
        <v>1</v>
      </c>
    </row>
    <row r="254">
      <c r="A254" s="2" t="inlineStr">
        <is>
          <t>1031</t>
        </is>
      </c>
      <c r="B254" s="2" t="inlineStr"/>
      <c r="C254" s="2" t="inlineStr">
        <is>
          <t>BASE CAJA TRASERA GRANDE F-UNO/PREMIO</t>
        </is>
      </c>
      <c r="D254" s="2" t="inlineStr">
        <is>
          <t>SAMPEL</t>
        </is>
      </c>
      <c r="E254" s="3" t="n">
        <v>11</v>
      </c>
      <c r="F254" s="4" t="n">
        <v>0.3</v>
      </c>
      <c r="G254" s="5">
        <f>ROUND(E254*(1+F254),2)</f>
        <v>14.30</v>
      </c>
      <c r="H254" s="5">
        <f>ROUND(G254*NOTAS!$B$2,2)</f>
        <v>10315.24</v>
      </c>
      <c r="I254" s="6">
        <f>ROUND(G254*NOTAS!$B$3,0)</f>
        <v>46459</v>
      </c>
      <c r="J254" s="2" t="n">
        <v>1</v>
      </c>
    </row>
    <row r="255">
      <c r="A255" s="2" t="inlineStr">
        <is>
          <t>7718991-1</t>
        </is>
      </c>
      <c r="B255" s="2" t="inlineStr"/>
      <c r="C255" s="2" t="inlineStr">
        <is>
          <t>BASE CAJA TRASERA GRANDE F-UNO/PREMIO</t>
        </is>
      </c>
      <c r="D255" s="2" t="inlineStr">
        <is>
          <t>INROLCA</t>
        </is>
      </c>
      <c r="E255" s="3" t="n">
        <v>10</v>
      </c>
      <c r="F255" s="4" t="n">
        <v>0.3</v>
      </c>
      <c r="G255" s="5">
        <f>ROUND(E255*(1+F255),2)</f>
        <v>13.00</v>
      </c>
      <c r="H255" s="5">
        <f>ROUND(G255*NOTAS!$B$2,2)</f>
        <v>9377.49</v>
      </c>
      <c r="I255" s="6">
        <f>ROUND(G255*NOTAS!$B$3,0)</f>
        <v>42235</v>
      </c>
      <c r="J255" s="2" t="n">
        <v>13</v>
      </c>
    </row>
    <row r="256">
      <c r="A256" s="2" t="inlineStr"/>
      <c r="B256" s="2" t="inlineStr"/>
      <c r="C256" s="2" t="inlineStr">
        <is>
          <t>BASE CAJA TRASERA HUESITO R-19</t>
        </is>
      </c>
      <c r="D256" s="2" t="inlineStr">
        <is>
          <t>KAPARS</t>
        </is>
      </c>
      <c r="E256" s="3" t="n">
        <v>10</v>
      </c>
      <c r="F256" s="4" t="n">
        <v>0.3</v>
      </c>
      <c r="G256" s="5">
        <f>ROUND(E256*(1+F256),2)</f>
        <v>13.00</v>
      </c>
      <c r="H256" s="5">
        <f>ROUND(G256*NOTAS!$B$2,2)</f>
        <v>9377.49</v>
      </c>
      <c r="I256" s="6">
        <f>ROUND(G256*NOTAS!$B$3,0)</f>
        <v>42235</v>
      </c>
      <c r="J256" s="2" t="n">
        <v>1</v>
      </c>
    </row>
    <row r="257">
      <c r="A257" s="2" t="inlineStr">
        <is>
          <t>36576</t>
        </is>
      </c>
      <c r="B257" s="2" t="inlineStr"/>
      <c r="C257" s="2" t="inlineStr">
        <is>
          <t>BASE CAJA TRASERA HUESITO R-19</t>
        </is>
      </c>
      <c r="D257" s="2" t="inlineStr">
        <is>
          <t>IMPERGOM</t>
        </is>
      </c>
      <c r="E257" s="3" t="n">
        <v>10</v>
      </c>
      <c r="F257" s="4" t="n">
        <v>0.3</v>
      </c>
      <c r="G257" s="5">
        <f>ROUND(E257*(1+F257),2)</f>
        <v>13.00</v>
      </c>
      <c r="H257" s="5">
        <f>ROUND(G257*NOTAS!$B$2,2)</f>
        <v>9377.49</v>
      </c>
      <c r="I257" s="6">
        <f>ROUND(G257*NOTAS!$B$3,0)</f>
        <v>42235</v>
      </c>
      <c r="J257" s="2" t="n">
        <v>2</v>
      </c>
    </row>
    <row r="258">
      <c r="A258" s="2" t="inlineStr">
        <is>
          <t>8200155207</t>
        </is>
      </c>
      <c r="B258" s="2" t="inlineStr"/>
      <c r="C258" s="2" t="inlineStr">
        <is>
          <t>BASE CAJA TRASERA HUESITO REFORZADO R-SYMBOL/CL</t>
        </is>
      </c>
      <c r="D258" s="2" t="inlineStr">
        <is>
          <t>GKP</t>
        </is>
      </c>
      <c r="E258" s="3" t="n">
        <v>12</v>
      </c>
      <c r="F258" s="4" t="n">
        <v>0.3</v>
      </c>
      <c r="G258" s="5">
        <f>ROUND(E258*(1+F258),2)</f>
        <v>15.60</v>
      </c>
      <c r="H258" s="5">
        <f>ROUND(G258*NOTAS!$B$2,2)</f>
        <v>11252.99</v>
      </c>
      <c r="I258" s="6">
        <f>ROUND(G258*NOTAS!$B$3,0)</f>
        <v>50682</v>
      </c>
      <c r="J258" s="2" t="n">
        <v>2</v>
      </c>
    </row>
    <row r="259">
      <c r="A259" s="2" t="inlineStr">
        <is>
          <t>28202</t>
        </is>
      </c>
      <c r="B259" s="2" t="inlineStr"/>
      <c r="C259" s="2" t="inlineStr">
        <is>
          <t>BASE CAJA TRASERA HUESITO R-LOGAN</t>
        </is>
      </c>
      <c r="D259" s="2" t="inlineStr">
        <is>
          <t>FEBI</t>
        </is>
      </c>
      <c r="E259" s="3" t="n">
        <v>14</v>
      </c>
      <c r="F259" s="4" t="n">
        <v>0.3</v>
      </c>
      <c r="G259" s="5">
        <f>ROUND(E259*(1+F259),2)</f>
        <v>18.20</v>
      </c>
      <c r="H259" s="5">
        <f>ROUND(G259*NOTAS!$B$2,2)</f>
        <v>13128.49</v>
      </c>
      <c r="I259" s="6">
        <f>ROUND(G259*NOTAS!$B$3,0)</f>
        <v>59129</v>
      </c>
      <c r="J259" s="2" t="n">
        <v>1</v>
      </c>
    </row>
    <row r="260">
      <c r="A260" s="2" t="inlineStr">
        <is>
          <t>8200014933</t>
        </is>
      </c>
      <c r="B260" s="2" t="inlineStr"/>
      <c r="C260" s="2" t="inlineStr">
        <is>
          <t>BASE CAJA TRASERA HUESITO R-LOGAN</t>
        </is>
      </c>
      <c r="D260" s="2" t="inlineStr">
        <is>
          <t>RENAULT</t>
        </is>
      </c>
      <c r="E260" s="3" t="n">
        <v>18</v>
      </c>
      <c r="F260" s="4" t="n">
        <v>0.3</v>
      </c>
      <c r="G260" s="5">
        <f>ROUND(E260*(1+F260),2)</f>
        <v>23.40</v>
      </c>
      <c r="H260" s="5">
        <f>ROUND(G260*NOTAS!$B$2,2)</f>
        <v>16879.49</v>
      </c>
      <c r="I260" s="6">
        <f>ROUND(G260*NOTAS!$B$3,0)</f>
        <v>76024</v>
      </c>
      <c r="J260" s="2" t="n">
        <v>7</v>
      </c>
    </row>
    <row r="261">
      <c r="A261" s="2" t="inlineStr">
        <is>
          <t>8200143388</t>
        </is>
      </c>
      <c r="B261" s="2" t="inlineStr"/>
      <c r="C261" s="2" t="inlineStr">
        <is>
          <t>BASE CAJA TRASERA HUESITO R-MEGANE/SCENIC</t>
        </is>
      </c>
      <c r="D261" s="2" t="inlineStr">
        <is>
          <t>RENAULT</t>
        </is>
      </c>
      <c r="E261" s="3" t="n">
        <v>15</v>
      </c>
      <c r="F261" s="4" t="n">
        <v>0.3</v>
      </c>
      <c r="G261" s="5">
        <f>ROUND(E261*(1+F261),2)</f>
        <v>19.50</v>
      </c>
      <c r="H261" s="5">
        <f>ROUND(G261*NOTAS!$B$2,2)</f>
        <v>14066.24</v>
      </c>
      <c r="I261" s="6">
        <f>ROUND(G261*NOTAS!$B$3,0)</f>
        <v>63353</v>
      </c>
      <c r="J261" s="2" t="n">
        <v>2</v>
      </c>
    </row>
    <row r="262">
      <c r="A262" s="2" t="inlineStr">
        <is>
          <t>8200148388</t>
        </is>
      </c>
      <c r="B262" s="2" t="inlineStr"/>
      <c r="C262" s="2" t="inlineStr">
        <is>
          <t>BASE CAJA TRASERA HUESITO R-MEGANE/SCENIC</t>
        </is>
      </c>
      <c r="D262" s="2" t="inlineStr">
        <is>
          <t>KAPARS</t>
        </is>
      </c>
      <c r="E262" s="3" t="n">
        <v>11</v>
      </c>
      <c r="F262" s="4" t="n">
        <v>0.3</v>
      </c>
      <c r="G262" s="5">
        <f>ROUND(E262*(1+F262),2)</f>
        <v>14.30</v>
      </c>
      <c r="H262" s="5">
        <f>ROUND(G262*NOTAS!$B$2,2)</f>
        <v>10315.24</v>
      </c>
      <c r="I262" s="6">
        <f>ROUND(G262*NOTAS!$B$3,0)</f>
        <v>46459</v>
      </c>
      <c r="J262" s="2" t="n">
        <v>5</v>
      </c>
    </row>
    <row r="263">
      <c r="A263" s="2" t="inlineStr">
        <is>
          <t>RE0088</t>
        </is>
      </c>
      <c r="B263" s="2" t="inlineStr"/>
      <c r="C263" s="2" t="inlineStr">
        <is>
          <t>BASE CAJA TRASERA HUESITO R-SYMBOL/CL</t>
        </is>
      </c>
      <c r="D263" s="2" t="inlineStr">
        <is>
          <t>PROSHOCK</t>
        </is>
      </c>
      <c r="E263" s="3" t="n">
        <v>8.19</v>
      </c>
      <c r="F263" s="4" t="n">
        <v>0.3</v>
      </c>
      <c r="G263" s="5">
        <f>ROUND(E263*(1+F263),2)</f>
        <v>10.65</v>
      </c>
      <c r="H263" s="5">
        <f>ROUND(G263*NOTAS!$B$2,2)</f>
        <v>7682.33</v>
      </c>
      <c r="I263" s="6">
        <f>ROUND(G263*NOTAS!$B$3,0)</f>
        <v>34600</v>
      </c>
      <c r="J263" s="2" t="n">
        <v>2</v>
      </c>
    </row>
    <row r="264">
      <c r="A264" s="2" t="inlineStr">
        <is>
          <t>8200117837</t>
        </is>
      </c>
      <c r="B264" s="2" t="inlineStr"/>
      <c r="C264" s="2" t="inlineStr">
        <is>
          <t>BASE CAJA TRASERA HUESITO R-SYMBOL/CL</t>
        </is>
      </c>
      <c r="D264" s="2" t="inlineStr">
        <is>
          <t>RENAULT</t>
        </is>
      </c>
      <c r="E264" s="3" t="n">
        <v>10</v>
      </c>
      <c r="F264" s="4" t="n">
        <v>0.3</v>
      </c>
      <c r="G264" s="5">
        <f>ROUND(E264*(1+F264),2)</f>
        <v>13.00</v>
      </c>
      <c r="H264" s="5">
        <f>ROUND(G264*NOTAS!$B$2,2)</f>
        <v>9377.49</v>
      </c>
      <c r="I264" s="6">
        <f>ROUND(G264*NOTAS!$B$3,0)</f>
        <v>42235</v>
      </c>
      <c r="J264" s="2" t="n">
        <v>5</v>
      </c>
    </row>
    <row r="265">
      <c r="A265" s="2" t="inlineStr">
        <is>
          <t>WC70088</t>
        </is>
      </c>
      <c r="B265" s="2" t="inlineStr"/>
      <c r="C265" s="2" t="inlineStr">
        <is>
          <t>BASE CAJA TRASERA HUESITO R-SYMBOL/CL</t>
        </is>
      </c>
      <c r="D265" s="2" t="inlineStr"/>
      <c r="E265" s="3" t="n">
        <v>8</v>
      </c>
      <c r="F265" s="4" t="n">
        <v>0.3</v>
      </c>
      <c r="G265" s="5">
        <f>ROUND(E265*(1+F265),2)</f>
        <v>10.40</v>
      </c>
      <c r="H265" s="5">
        <f>ROUND(G265*NOTAS!$B$2,2)</f>
        <v>7501.99</v>
      </c>
      <c r="I265" s="6">
        <f>ROUND(G265*NOTAS!$B$3,0)</f>
        <v>33788</v>
      </c>
      <c r="J265" s="2" t="n">
        <v>4</v>
      </c>
    </row>
    <row r="266">
      <c r="A266" s="2" t="inlineStr">
        <is>
          <t>36659</t>
        </is>
      </c>
      <c r="B266" s="2" t="inlineStr"/>
      <c r="C266" s="2" t="inlineStr">
        <is>
          <t>BASE CAJA TRASERA HUESITO R-SYMBOL/CL</t>
        </is>
      </c>
      <c r="D266" s="2" t="inlineStr">
        <is>
          <t>IMPERGOM</t>
        </is>
      </c>
      <c r="E266" s="3" t="n">
        <v>10</v>
      </c>
      <c r="F266" s="4" t="n">
        <v>0.3</v>
      </c>
      <c r="G266" s="5">
        <f>ROUND(E266*(1+F266),2)</f>
        <v>13.00</v>
      </c>
      <c r="H266" s="5">
        <f>ROUND(G266*NOTAS!$B$2,2)</f>
        <v>9377.49</v>
      </c>
      <c r="I266" s="6">
        <f>ROUND(G266*NOTAS!$B$3,0)</f>
        <v>42235</v>
      </c>
      <c r="J266" s="2" t="n">
        <v>4</v>
      </c>
    </row>
    <row r="267">
      <c r="A267" s="2" t="inlineStr">
        <is>
          <t>R02072</t>
        </is>
      </c>
      <c r="B267" s="2" t="inlineStr"/>
      <c r="C267" s="2" t="inlineStr">
        <is>
          <t>BASE CAJA TRASERA HUESITO R-SYMBOL/CL</t>
        </is>
      </c>
      <c r="D267" s="2" t="inlineStr">
        <is>
          <t>TAKSIM GROUP</t>
        </is>
      </c>
      <c r="E267" s="3" t="n">
        <v>8</v>
      </c>
      <c r="F267" s="4" t="n">
        <v>0.3</v>
      </c>
      <c r="G267" s="5">
        <f>ROUND(E267*(1+F267),2)</f>
        <v>10.40</v>
      </c>
      <c r="H267" s="5">
        <f>ROUND(G267*NOTAS!$B$2,2)</f>
        <v>7501.99</v>
      </c>
      <c r="I267" s="6">
        <f>ROUND(G267*NOTAS!$B$3,0)</f>
        <v>33788</v>
      </c>
      <c r="J267" s="2" t="n">
        <v>2</v>
      </c>
    </row>
    <row r="268">
      <c r="A268" s="2" t="inlineStr">
        <is>
          <t>21850-22702</t>
        </is>
      </c>
      <c r="B268" s="2" t="inlineStr"/>
      <c r="C268" s="2" t="inlineStr">
        <is>
          <t>BASE CAJA TRASERA HYUNDAI ACCENT …/98</t>
        </is>
      </c>
      <c r="D268" s="2" t="inlineStr">
        <is>
          <t>CARDEX</t>
        </is>
      </c>
      <c r="E268" s="3" t="n">
        <v>10</v>
      </c>
      <c r="F268" s="4" t="n">
        <v>0.3</v>
      </c>
      <c r="G268" s="5">
        <f>ROUND(E268*(1+F268),2)</f>
        <v>13.00</v>
      </c>
      <c r="H268" s="5">
        <f>ROUND(G268*NOTAS!$B$2,2)</f>
        <v>9377.49</v>
      </c>
      <c r="I268" s="6">
        <f>ROUND(G268*NOTAS!$B$3,0)</f>
        <v>42235</v>
      </c>
      <c r="J268" s="2" t="n">
        <v>2</v>
      </c>
    </row>
    <row r="269">
      <c r="A269" s="2" t="inlineStr">
        <is>
          <t>GM0282</t>
        </is>
      </c>
      <c r="B269" s="2" t="inlineStr"/>
      <c r="C269" s="2" t="inlineStr">
        <is>
          <t>BASE CAJA TRASERA INFERIOR HORQUILLA MONTANA/MERIVA</t>
        </is>
      </c>
      <c r="D269" s="2" t="inlineStr">
        <is>
          <t>PROSHOCK</t>
        </is>
      </c>
      <c r="E269" s="3" t="n">
        <v>7</v>
      </c>
      <c r="F269" s="4" t="n">
        <v>0.3</v>
      </c>
      <c r="G269" s="5">
        <f>ROUND(E269*(1+F269),2)</f>
        <v>9.10</v>
      </c>
      <c r="H269" s="5">
        <f>ROUND(G269*NOTAS!$B$2,2)</f>
        <v>6564.24</v>
      </c>
      <c r="I269" s="6">
        <f>ROUND(G269*NOTAS!$B$3,0)</f>
        <v>29565</v>
      </c>
      <c r="J269" s="2" t="n">
        <v>1</v>
      </c>
    </row>
    <row r="270">
      <c r="A270" s="2" t="inlineStr">
        <is>
          <t>2740</t>
        </is>
      </c>
      <c r="B270" s="2" t="inlineStr">
        <is>
          <t>2S557M24AB</t>
        </is>
      </c>
      <c r="C270" s="2" t="inlineStr">
        <is>
          <t>BASE CAJA TRASERA KA</t>
        </is>
      </c>
      <c r="D270" s="2" t="inlineStr">
        <is>
          <t>SAMPEL</t>
        </is>
      </c>
      <c r="E270" s="3" t="n">
        <v>25</v>
      </c>
      <c r="F270" s="4" t="n">
        <v>0.3</v>
      </c>
      <c r="G270" s="5">
        <f>ROUND(E270*(1+F270),2)</f>
        <v>32.50</v>
      </c>
      <c r="H270" s="5">
        <f>ROUND(G270*NOTAS!$B$2,2)</f>
        <v>23443.73</v>
      </c>
      <c r="I270" s="6">
        <f>ROUND(G270*NOTAS!$B$3,0)</f>
        <v>105588</v>
      </c>
      <c r="J270" s="2" t="n">
        <v>2</v>
      </c>
    </row>
    <row r="271">
      <c r="A271" s="2" t="inlineStr">
        <is>
          <t>25557M124AB</t>
        </is>
      </c>
      <c r="B271" s="2" t="inlineStr"/>
      <c r="C271" s="2" t="inlineStr">
        <is>
          <t>BASE CAJA TRASERA KA</t>
        </is>
      </c>
      <c r="D271" s="2" t="inlineStr">
        <is>
          <t>KAPARS</t>
        </is>
      </c>
      <c r="E271" s="3" t="n">
        <v>20</v>
      </c>
      <c r="F271" s="4" t="n">
        <v>0.3</v>
      </c>
      <c r="G271" s="5">
        <f>ROUND(E271*(1+F271),2)</f>
        <v>26.00</v>
      </c>
      <c r="H271" s="5">
        <f>ROUND(G271*NOTAS!$B$2,2)</f>
        <v>18754.99</v>
      </c>
      <c r="I271" s="6">
        <f>ROUND(G271*NOTAS!$B$3,0)</f>
        <v>84471</v>
      </c>
      <c r="J271" s="2" t="n">
        <v>1</v>
      </c>
    </row>
    <row r="272">
      <c r="A272" s="2" t="inlineStr">
        <is>
          <t>925390</t>
        </is>
      </c>
      <c r="B272" s="2" t="inlineStr">
        <is>
          <t>2S557M124AB</t>
        </is>
      </c>
      <c r="C272" s="2" t="inlineStr">
        <is>
          <t>BASE CAJA TRASERA KA COMPLETA</t>
        </is>
      </c>
      <c r="D272" s="2" t="inlineStr">
        <is>
          <t>FORD</t>
        </is>
      </c>
      <c r="E272" s="3" t="n">
        <v>40</v>
      </c>
      <c r="F272" s="4" t="n">
        <v>0.3</v>
      </c>
      <c r="G272" s="5">
        <f>ROUND(E272*(1+F272),2)</f>
        <v>52.00</v>
      </c>
      <c r="H272" s="5">
        <f>ROUND(G272*NOTAS!$B$2,2)</f>
        <v>37509.97</v>
      </c>
      <c r="I272" s="6">
        <f>ROUND(G272*NOTAS!$B$3,0)</f>
        <v>168941</v>
      </c>
      <c r="J272" s="2" t="n">
        <v>1</v>
      </c>
    </row>
    <row r="273">
      <c r="A273" s="2" t="inlineStr">
        <is>
          <t>96852452</t>
        </is>
      </c>
      <c r="B273" s="2" t="inlineStr"/>
      <c r="C273" s="2" t="inlineStr">
        <is>
          <t xml:space="preserve">BASE CAJA TRASERA OPTRA </t>
        </is>
      </c>
      <c r="D273" s="2" t="inlineStr">
        <is>
          <t>GM</t>
        </is>
      </c>
      <c r="E273" s="3" t="n">
        <v>30</v>
      </c>
      <c r="F273" s="4" t="n">
        <v>0.3</v>
      </c>
      <c r="G273" s="5">
        <f>ROUND(E273*(1+F273),2)</f>
        <v>39.00</v>
      </c>
      <c r="H273" s="5">
        <f>ROUND(G273*NOTAS!$B$2,2)</f>
        <v>28132.48</v>
      </c>
      <c r="I273" s="6">
        <f>ROUND(G273*NOTAS!$B$3,0)</f>
        <v>126706</v>
      </c>
      <c r="J273" s="2" t="n">
        <v>1</v>
      </c>
    </row>
    <row r="274">
      <c r="A274" s="2" t="inlineStr">
        <is>
          <t>GM0204</t>
        </is>
      </c>
      <c r="B274" s="2" t="inlineStr"/>
      <c r="C274" s="2" t="inlineStr">
        <is>
          <t xml:space="preserve">BASE CAJA TRASERA OPTRA </t>
        </is>
      </c>
      <c r="D274" s="2" t="inlineStr">
        <is>
          <t>MAXICAR</t>
        </is>
      </c>
      <c r="E274" s="3" t="n">
        <v>15</v>
      </c>
      <c r="F274" s="4" t="n">
        <v>0.3</v>
      </c>
      <c r="G274" s="5">
        <f>ROUND(E274*(1+F274),2)</f>
        <v>19.50</v>
      </c>
      <c r="H274" s="5">
        <f>ROUND(G274*NOTAS!$B$2,2)</f>
        <v>14066.24</v>
      </c>
      <c r="I274" s="6">
        <f>ROUND(G274*NOTAS!$B$3,0)</f>
        <v>63353</v>
      </c>
      <c r="J274" s="2" t="n">
        <v>1</v>
      </c>
    </row>
    <row r="275">
      <c r="A275" s="2" t="inlineStr">
        <is>
          <t>7563957-1</t>
        </is>
      </c>
      <c r="B275" s="2" t="inlineStr"/>
      <c r="C275" s="2" t="inlineStr">
        <is>
          <t>BASE CAJA TRASERA PEQUENA F-UNO/PREMIO</t>
        </is>
      </c>
      <c r="D275" s="2" t="inlineStr">
        <is>
          <t>SANFOR</t>
        </is>
      </c>
      <c r="E275" s="3" t="n">
        <v>8</v>
      </c>
      <c r="F275" s="4" t="n">
        <v>0.3</v>
      </c>
      <c r="G275" s="5">
        <f>ROUND(E275*(1+F275),2)</f>
        <v>10.40</v>
      </c>
      <c r="H275" s="5">
        <f>ROUND(G275*NOTAS!$B$2,2)</f>
        <v>7501.99</v>
      </c>
      <c r="I275" s="6">
        <f>ROUND(G275*NOTAS!$B$3,0)</f>
        <v>33788</v>
      </c>
      <c r="J275" s="2" t="n">
        <v>0</v>
      </c>
    </row>
    <row r="276">
      <c r="A276" s="2" t="inlineStr">
        <is>
          <t>30273</t>
        </is>
      </c>
      <c r="B276" s="2" t="inlineStr"/>
      <c r="C276" s="2" t="inlineStr">
        <is>
          <t>BASE CAJA TRASERA R-11</t>
        </is>
      </c>
      <c r="D276" s="2" t="inlineStr">
        <is>
          <t>IMPERGOM</t>
        </is>
      </c>
      <c r="E276" s="3" t="n">
        <v>10</v>
      </c>
      <c r="F276" s="4" t="n">
        <v>0.3</v>
      </c>
      <c r="G276" s="5">
        <f>ROUND(E276*(1+F276),2)</f>
        <v>13.00</v>
      </c>
      <c r="H276" s="5">
        <f>ROUND(G276*NOTAS!$B$2,2)</f>
        <v>9377.49</v>
      </c>
      <c r="I276" s="6">
        <f>ROUND(G276*NOTAS!$B$3,0)</f>
        <v>42235</v>
      </c>
      <c r="J276" s="2" t="n">
        <v>2</v>
      </c>
    </row>
    <row r="277">
      <c r="A277" s="2" t="inlineStr">
        <is>
          <t>RE0158</t>
        </is>
      </c>
      <c r="B277" s="2" t="inlineStr"/>
      <c r="C277" s="2" t="inlineStr">
        <is>
          <t>BASE CAJA TRASERA R-11</t>
        </is>
      </c>
      <c r="D277" s="2" t="inlineStr">
        <is>
          <t>PROSHOCK</t>
        </is>
      </c>
      <c r="E277" s="3" t="n">
        <v>9</v>
      </c>
      <c r="F277" s="4" t="n">
        <v>0.3</v>
      </c>
      <c r="G277" s="5">
        <f>ROUND(E277*(1+F277),2)</f>
        <v>11.70</v>
      </c>
      <c r="H277" s="5">
        <f>ROUND(G277*NOTAS!$B$2,2)</f>
        <v>8439.74</v>
      </c>
      <c r="I277" s="6">
        <f>ROUND(G277*NOTAS!$B$3,0)</f>
        <v>38012</v>
      </c>
      <c r="J277" s="2" t="n">
        <v>5</v>
      </c>
    </row>
    <row r="278">
      <c r="A278" s="2" t="inlineStr">
        <is>
          <t>7700804163</t>
        </is>
      </c>
      <c r="B278" s="2" t="inlineStr"/>
      <c r="C278" s="2" t="inlineStr">
        <is>
          <t>BASE CAJA TRASERA R-19</t>
        </is>
      </c>
      <c r="D278" s="2" t="inlineStr">
        <is>
          <t>RENAULT</t>
        </is>
      </c>
      <c r="E278" s="3" t="n">
        <v>15</v>
      </c>
      <c r="F278" s="4" t="n">
        <v>0.3</v>
      </c>
      <c r="G278" s="5">
        <f>ROUND(E278*(1+F278),2)</f>
        <v>19.50</v>
      </c>
      <c r="H278" s="5">
        <f>ROUND(G278*NOTAS!$B$2,2)</f>
        <v>14066.24</v>
      </c>
      <c r="I278" s="6">
        <f>ROUND(G278*NOTAS!$B$3,0)</f>
        <v>63353</v>
      </c>
      <c r="J278" s="2" t="n">
        <v>4</v>
      </c>
    </row>
    <row r="279">
      <c r="A279" s="2" t="inlineStr">
        <is>
          <t>7700804163</t>
        </is>
      </c>
      <c r="B279" s="2" t="inlineStr"/>
      <c r="C279" s="2" t="inlineStr">
        <is>
          <t>BASE CAJA TRASERA R-19</t>
        </is>
      </c>
      <c r="D279" s="2" t="inlineStr">
        <is>
          <t>SBB</t>
        </is>
      </c>
      <c r="E279" s="3" t="n">
        <v>15</v>
      </c>
      <c r="F279" s="4" t="n">
        <v>0.3</v>
      </c>
      <c r="G279" s="5">
        <f>ROUND(E279*(1+F279),2)</f>
        <v>19.50</v>
      </c>
      <c r="H279" s="5">
        <f>ROUND(G279*NOTAS!$B$2,2)</f>
        <v>14066.24</v>
      </c>
      <c r="I279" s="6">
        <f>ROUND(G279*NOTAS!$B$3,0)</f>
        <v>63353</v>
      </c>
      <c r="J279" s="2" t="n">
        <v>1</v>
      </c>
    </row>
    <row r="280">
      <c r="A280" s="2" t="inlineStr"/>
      <c r="B280" s="2" t="inlineStr"/>
      <c r="C280" s="2" t="inlineStr">
        <is>
          <t>BASE CAJA TRASERA R-19</t>
        </is>
      </c>
      <c r="D280" s="2" t="inlineStr">
        <is>
          <t>PROSHOCK</t>
        </is>
      </c>
      <c r="E280" s="3" t="n">
        <v>15</v>
      </c>
      <c r="F280" s="4" t="n">
        <v>0.3</v>
      </c>
      <c r="G280" s="5">
        <f>ROUND(E280*(1+F280),2)</f>
        <v>19.50</v>
      </c>
      <c r="H280" s="5">
        <f>ROUND(G280*NOTAS!$B$2,2)</f>
        <v>14066.24</v>
      </c>
      <c r="I280" s="6">
        <f>ROUND(G280*NOTAS!$B$3,0)</f>
        <v>63353</v>
      </c>
      <c r="J280" s="2" t="n">
        <v>8</v>
      </c>
    </row>
    <row r="281">
      <c r="A281" s="2" t="inlineStr">
        <is>
          <t>36704</t>
        </is>
      </c>
      <c r="B281" s="2" t="inlineStr"/>
      <c r="C281" s="2" t="inlineStr">
        <is>
          <t>BASE CAJA TRASERA R-TWINGO</t>
        </is>
      </c>
      <c r="D281" s="2" t="inlineStr">
        <is>
          <t>IMPERGOM</t>
        </is>
      </c>
      <c r="E281" s="3" t="n">
        <v>20</v>
      </c>
      <c r="F281" s="4" t="n">
        <v>0.3</v>
      </c>
      <c r="G281" s="5">
        <f>ROUND(E281*(1+F281),2)</f>
        <v>26.00</v>
      </c>
      <c r="H281" s="5">
        <f>ROUND(G281*NOTAS!$B$2,2)</f>
        <v>18754.99</v>
      </c>
      <c r="I281" s="6">
        <f>ROUND(G281*NOTAS!$B$3,0)</f>
        <v>84471</v>
      </c>
      <c r="J281" s="2" t="n">
        <v>1</v>
      </c>
    </row>
    <row r="282">
      <c r="A282" s="2" t="inlineStr">
        <is>
          <t>7700425711</t>
        </is>
      </c>
      <c r="B282" s="2" t="inlineStr"/>
      <c r="C282" s="2" t="inlineStr">
        <is>
          <t>BASE CAJA TRASERA R-TWINGO</t>
        </is>
      </c>
      <c r="D282" s="2" t="inlineStr">
        <is>
          <t>RENAULT</t>
        </is>
      </c>
      <c r="E282" s="3" t="n">
        <v>20</v>
      </c>
      <c r="F282" s="4" t="n">
        <v>0.3</v>
      </c>
      <c r="G282" s="5">
        <f>ROUND(E282*(1+F282),2)</f>
        <v>26.00</v>
      </c>
      <c r="H282" s="5">
        <f>ROUND(G282*NOTAS!$B$2,2)</f>
        <v>18754.99</v>
      </c>
      <c r="I282" s="6">
        <f>ROUND(G282*NOTAS!$B$3,0)</f>
        <v>84471</v>
      </c>
      <c r="J282" s="2" t="n">
        <v>1</v>
      </c>
    </row>
    <row r="283">
      <c r="A283" s="2" t="inlineStr">
        <is>
          <t>7700425711</t>
        </is>
      </c>
      <c r="B283" s="2" t="inlineStr"/>
      <c r="C283" s="2" t="inlineStr">
        <is>
          <t>BASE CAJA TRASERA R-TWINGO</t>
        </is>
      </c>
      <c r="D283" s="2" t="inlineStr">
        <is>
          <t>SBB</t>
        </is>
      </c>
      <c r="E283" s="3" t="n">
        <v>16</v>
      </c>
      <c r="F283" s="4" t="n">
        <v>0.3</v>
      </c>
      <c r="G283" s="5">
        <f>ROUND(E283*(1+F283),2)</f>
        <v>20.80</v>
      </c>
      <c r="H283" s="5">
        <f>ROUND(G283*NOTAS!$B$2,2)</f>
        <v>15003.99</v>
      </c>
      <c r="I283" s="6">
        <f>ROUND(G283*NOTAS!$B$3,0)</f>
        <v>67576</v>
      </c>
      <c r="J283" s="2" t="n">
        <v>2</v>
      </c>
    </row>
    <row r="284">
      <c r="A284" s="2" t="inlineStr">
        <is>
          <t>GM0281</t>
        </is>
      </c>
      <c r="B284" s="2" t="inlineStr"/>
      <c r="C284" s="2" t="inlineStr">
        <is>
          <t>BASE CAJA TRASERA SUPERIOR OJAL MONTANA/MERIVA</t>
        </is>
      </c>
      <c r="D284" s="2" t="inlineStr">
        <is>
          <t>PROSHOCK</t>
        </is>
      </c>
      <c r="E284" s="3" t="n">
        <v>8</v>
      </c>
      <c r="F284" s="4" t="n">
        <v>0.3</v>
      </c>
      <c r="G284" s="5">
        <f>ROUND(E284*(1+F284),2)</f>
        <v>10.40</v>
      </c>
      <c r="H284" s="5">
        <f>ROUND(G284*NOTAS!$B$2,2)</f>
        <v>7501.99</v>
      </c>
      <c r="I284" s="6">
        <f>ROUND(G284*NOTAS!$B$3,0)</f>
        <v>33788</v>
      </c>
      <c r="J284" s="2" t="n">
        <v>1</v>
      </c>
    </row>
    <row r="285">
      <c r="A285" s="2" t="inlineStr"/>
      <c r="B285" s="2" t="inlineStr"/>
      <c r="C285" s="2" t="inlineStr">
        <is>
          <t>BASE CAJA TRASERA SWIFT AUTOMATICO</t>
        </is>
      </c>
      <c r="D285" s="2" t="inlineStr"/>
      <c r="E285" s="3" t="n">
        <v>10</v>
      </c>
      <c r="F285" s="4" t="n">
        <v>0.3</v>
      </c>
      <c r="G285" s="5">
        <f>ROUND(E285*(1+F285),2)</f>
        <v>13.00</v>
      </c>
      <c r="H285" s="5">
        <f>ROUND(G285*NOTAS!$B$2,2)</f>
        <v>9377.49</v>
      </c>
      <c r="I285" s="6">
        <f>ROUND(G285*NOTAS!$B$3,0)</f>
        <v>42235</v>
      </c>
      <c r="J285" s="2" t="n">
        <v>1</v>
      </c>
    </row>
    <row r="286">
      <c r="A286" s="2" t="inlineStr">
        <is>
          <t>5978393</t>
        </is>
      </c>
      <c r="B286" s="2" t="inlineStr"/>
      <c r="C286" s="2" t="inlineStr">
        <is>
          <t>BASE CAJA TRASERA TRIANGULAR F-UNO/PREMIO …/89</t>
        </is>
      </c>
      <c r="D286" s="2" t="inlineStr">
        <is>
          <t>INROLCA</t>
        </is>
      </c>
      <c r="E286" s="3" t="n">
        <v>11</v>
      </c>
      <c r="F286" s="4" t="n">
        <v>0.3</v>
      </c>
      <c r="G286" s="5">
        <f>ROUND(E286*(1+F286),2)</f>
        <v>14.30</v>
      </c>
      <c r="H286" s="5">
        <f>ROUND(G286*NOTAS!$B$2,2)</f>
        <v>10315.24</v>
      </c>
      <c r="I286" s="6">
        <f>ROUND(G286*NOTAS!$B$3,0)</f>
        <v>46459</v>
      </c>
      <c r="J286" s="2" t="n">
        <v>6</v>
      </c>
    </row>
    <row r="287">
      <c r="A287" s="2" t="inlineStr"/>
      <c r="B287" s="2" t="inlineStr"/>
      <c r="C287" s="2" t="inlineStr">
        <is>
          <t>BASE CARBURADOR F-147/UNO 1.3</t>
        </is>
      </c>
      <c r="D287" s="2" t="inlineStr">
        <is>
          <t>AUTOLEX</t>
        </is>
      </c>
      <c r="E287" s="3" t="n">
        <v>2</v>
      </c>
      <c r="F287" s="4" t="n">
        <v>0.3</v>
      </c>
      <c r="G287" s="5">
        <f>ROUND(E287*(1+F287),2)</f>
        <v>2.60</v>
      </c>
      <c r="H287" s="5">
        <f>ROUND(G287*NOTAS!$B$2,2)</f>
        <v>1875.50</v>
      </c>
      <c r="I287" s="6">
        <f>ROUND(G287*NOTAS!$B$3,0)</f>
        <v>8447</v>
      </c>
      <c r="J287" s="2" t="n">
        <v>3</v>
      </c>
    </row>
    <row r="288">
      <c r="A288" s="2" t="inlineStr">
        <is>
          <t>93371742</t>
        </is>
      </c>
      <c r="B288" s="2" t="inlineStr"/>
      <c r="C288" s="2" t="inlineStr">
        <is>
          <t>BASE CLICK SOPORTE FARO CORSA</t>
        </is>
      </c>
      <c r="D288" s="2" t="inlineStr">
        <is>
          <t>GM</t>
        </is>
      </c>
      <c r="E288" s="3" t="n">
        <v>4</v>
      </c>
      <c r="F288" s="4" t="n">
        <v>0.3</v>
      </c>
      <c r="G288" s="5">
        <f>ROUND(E288*(1+F288),2)</f>
        <v>5.20</v>
      </c>
      <c r="H288" s="5">
        <f>ROUND(G288*NOTAS!$B$2,2)</f>
        <v>3751.00</v>
      </c>
      <c r="I288" s="6">
        <f>ROUND(G288*NOTAS!$B$3,0)</f>
        <v>16894</v>
      </c>
      <c r="J288" s="2" t="n">
        <v>4</v>
      </c>
    </row>
    <row r="289">
      <c r="A289" s="2" t="inlineStr">
        <is>
          <t>RB96133096</t>
        </is>
      </c>
      <c r="B289" s="2" t="inlineStr"/>
      <c r="C289" s="2" t="inlineStr">
        <is>
          <t>BASE COPA AMORTIGUADOR DELANTERO CIELO LANOS</t>
        </is>
      </c>
      <c r="D289" s="2" t="inlineStr">
        <is>
          <t>KAPARS</t>
        </is>
      </c>
      <c r="E289" s="3" t="n">
        <v>5</v>
      </c>
      <c r="F289" s="4" t="n">
        <v>0.3</v>
      </c>
      <c r="G289" s="5">
        <f>ROUND(E289*(1+F289),2)</f>
        <v>6.50</v>
      </c>
      <c r="H289" s="5">
        <f>ROUND(G289*NOTAS!$B$2,2)</f>
        <v>4688.75</v>
      </c>
      <c r="I289" s="6">
        <f>ROUND(G289*NOTAS!$B$3,0)</f>
        <v>21118</v>
      </c>
      <c r="J289" s="2" t="n">
        <v>4</v>
      </c>
    </row>
    <row r="290">
      <c r="A290" s="2" t="inlineStr">
        <is>
          <t>3642</t>
        </is>
      </c>
      <c r="B290" s="2" t="inlineStr"/>
      <c r="C290" s="2" t="inlineStr">
        <is>
          <t xml:space="preserve">BASE MOTOR CHEVETTE </t>
        </is>
      </c>
      <c r="D290" s="2" t="inlineStr">
        <is>
          <t>SAMPEL</t>
        </is>
      </c>
      <c r="E290" s="3" t="n">
        <v>8</v>
      </c>
      <c r="F290" s="4" t="n">
        <v>0.3</v>
      </c>
      <c r="G290" s="5">
        <f>ROUND(E290*(1+F290),2)</f>
        <v>10.40</v>
      </c>
      <c r="H290" s="5">
        <f>ROUND(G290*NOTAS!$B$2,2)</f>
        <v>7501.99</v>
      </c>
      <c r="I290" s="6">
        <f>ROUND(G290*NOTAS!$B$3,0)</f>
        <v>33788</v>
      </c>
      <c r="J290" s="2" t="n">
        <v>7</v>
      </c>
    </row>
    <row r="291">
      <c r="A291" s="2" t="inlineStr">
        <is>
          <t>7334861</t>
        </is>
      </c>
      <c r="B291" s="2" t="inlineStr"/>
      <c r="C291" s="2" t="inlineStr">
        <is>
          <t xml:space="preserve">BASE MOTOR CHEVETTE </t>
        </is>
      </c>
      <c r="D291" s="2" t="inlineStr">
        <is>
          <t>INROLCA</t>
        </is>
      </c>
      <c r="E291" s="3" t="n">
        <v>4</v>
      </c>
      <c r="F291" s="4" t="n">
        <v>0.3</v>
      </c>
      <c r="G291" s="5">
        <f>ROUND(E291*(1+F291),2)</f>
        <v>5.20</v>
      </c>
      <c r="H291" s="5">
        <f>ROUND(G291*NOTAS!$B$2,2)</f>
        <v>3751.00</v>
      </c>
      <c r="I291" s="6">
        <f>ROUND(G291*NOTAS!$B$3,0)</f>
        <v>16894</v>
      </c>
      <c r="J291" s="2" t="n">
        <v>7</v>
      </c>
    </row>
    <row r="292">
      <c r="A292" s="2" t="inlineStr">
        <is>
          <t>823199381B</t>
        </is>
      </c>
      <c r="B292" s="2" t="inlineStr"/>
      <c r="C292" s="2" t="inlineStr">
        <is>
          <t>BASE MOTOR CORCEL</t>
        </is>
      </c>
      <c r="D292" s="2" t="inlineStr">
        <is>
          <t>SBB</t>
        </is>
      </c>
      <c r="E292" s="3" t="n">
        <v>8</v>
      </c>
      <c r="F292" s="4" t="n">
        <v>0.3</v>
      </c>
      <c r="G292" s="5">
        <f>ROUND(E292*(1+F292),2)</f>
        <v>10.40</v>
      </c>
      <c r="H292" s="5">
        <f>ROUND(G292*NOTAS!$B$2,2)</f>
        <v>7501.99</v>
      </c>
      <c r="I292" s="6">
        <f>ROUND(G292*NOTAS!$B$3,0)</f>
        <v>33788</v>
      </c>
      <c r="J292" s="2" t="n">
        <v>10</v>
      </c>
    </row>
    <row r="293">
      <c r="A293" s="2" t="inlineStr">
        <is>
          <t>2567</t>
        </is>
      </c>
      <c r="B293" s="2" t="inlineStr"/>
      <c r="C293" s="2" t="inlineStr">
        <is>
          <t>BASE MOTOR CORCEL</t>
        </is>
      </c>
      <c r="D293" s="2" t="inlineStr">
        <is>
          <t>SAMPEL</t>
        </is>
      </c>
      <c r="E293" s="3" t="n">
        <v>10</v>
      </c>
      <c r="F293" s="4" t="n">
        <v>0.3</v>
      </c>
      <c r="G293" s="5">
        <f>ROUND(E293*(1+F293),2)</f>
        <v>13.00</v>
      </c>
      <c r="H293" s="5">
        <f>ROUND(G293*NOTAS!$B$2,2)</f>
        <v>9377.49</v>
      </c>
      <c r="I293" s="6">
        <f>ROUND(G293*NOTAS!$B$3,0)</f>
        <v>42235</v>
      </c>
      <c r="J293" s="2" t="n">
        <v>6</v>
      </c>
    </row>
    <row r="294">
      <c r="A294" s="2" t="inlineStr">
        <is>
          <t>BM2421</t>
        </is>
      </c>
      <c r="B294" s="2" t="inlineStr"/>
      <c r="C294" s="2" t="inlineStr">
        <is>
          <t>BASE MOTOR CORCEL</t>
        </is>
      </c>
      <c r="D294" s="2" t="inlineStr">
        <is>
          <t>SANFOR</t>
        </is>
      </c>
      <c r="E294" s="3" t="n">
        <v>7</v>
      </c>
      <c r="F294" s="4" t="n">
        <v>0.3</v>
      </c>
      <c r="G294" s="5">
        <f>ROUND(E294*(1+F294),2)</f>
        <v>9.10</v>
      </c>
      <c r="H294" s="5">
        <f>ROUND(G294*NOTAS!$B$2,2)</f>
        <v>6564.24</v>
      </c>
      <c r="I294" s="6">
        <f>ROUND(G294*NOTAS!$B$3,0)</f>
        <v>29565</v>
      </c>
      <c r="J294" s="2" t="n">
        <v>9</v>
      </c>
    </row>
    <row r="295">
      <c r="A295" s="2" t="inlineStr">
        <is>
          <t>21840-22300</t>
        </is>
      </c>
      <c r="B295" s="2" t="inlineStr"/>
      <c r="C295" s="2" t="inlineStr">
        <is>
          <t>BASE MOTOR DELANTERA HYUNDAI ACCENT</t>
        </is>
      </c>
      <c r="D295" s="2" t="inlineStr">
        <is>
          <t>KOREA</t>
        </is>
      </c>
      <c r="E295" s="3" t="n">
        <v>12</v>
      </c>
      <c r="F295" s="4" t="n">
        <v>0.3</v>
      </c>
      <c r="G295" s="5">
        <f>ROUND(E295*(1+F295),2)</f>
        <v>15.60</v>
      </c>
      <c r="H295" s="5">
        <f>ROUND(G295*NOTAS!$B$2,2)</f>
        <v>11252.99</v>
      </c>
      <c r="I295" s="6">
        <f>ROUND(G295*NOTAS!$B$3,0)</f>
        <v>50682</v>
      </c>
      <c r="J295" s="2" t="n">
        <v>1</v>
      </c>
    </row>
    <row r="296">
      <c r="A296" s="2" t="inlineStr"/>
      <c r="B296" s="2" t="inlineStr"/>
      <c r="C296" s="2" t="inlineStr">
        <is>
          <t>BASE MOTOR DERECHA AVEO 1.6</t>
        </is>
      </c>
      <c r="D296" s="2" t="inlineStr">
        <is>
          <t>LUCAS VARITY</t>
        </is>
      </c>
      <c r="E296" s="3" t="n">
        <v>20</v>
      </c>
      <c r="F296" s="4" t="n">
        <v>0.3</v>
      </c>
      <c r="G296" s="5">
        <f>ROUND(E296*(1+F296),2)</f>
        <v>26.00</v>
      </c>
      <c r="H296" s="5">
        <f>ROUND(G296*NOTAS!$B$2,2)</f>
        <v>18754.99</v>
      </c>
      <c r="I296" s="6">
        <f>ROUND(G296*NOTAS!$B$3,0)</f>
        <v>84471</v>
      </c>
      <c r="J296" s="2" t="n">
        <v>1</v>
      </c>
    </row>
    <row r="297">
      <c r="A297" s="2" t="inlineStr">
        <is>
          <t>96535431</t>
        </is>
      </c>
      <c r="B297" s="2" t="inlineStr"/>
      <c r="C297" s="2" t="inlineStr">
        <is>
          <t>BASE MOTOR DERECHA AVEO 1.6</t>
        </is>
      </c>
      <c r="D297" s="2" t="inlineStr">
        <is>
          <t>KAPARS</t>
        </is>
      </c>
      <c r="E297" s="3" t="n">
        <v>25</v>
      </c>
      <c r="F297" s="4" t="n">
        <v>0.3</v>
      </c>
      <c r="G297" s="5">
        <f>ROUND(E297*(1+F297),2)</f>
        <v>32.50</v>
      </c>
      <c r="H297" s="5">
        <f>ROUND(G297*NOTAS!$B$2,2)</f>
        <v>23443.73</v>
      </c>
      <c r="I297" s="6">
        <f>ROUND(G297*NOTAS!$B$3,0)</f>
        <v>105588</v>
      </c>
      <c r="J297" s="2" t="n">
        <v>1</v>
      </c>
    </row>
    <row r="298">
      <c r="A298" s="2" t="inlineStr">
        <is>
          <t>96535431</t>
        </is>
      </c>
      <c r="B298" s="2" t="inlineStr"/>
      <c r="C298" s="2" t="inlineStr">
        <is>
          <t>BASE MOTOR DERECHA AVEO 1.6</t>
        </is>
      </c>
      <c r="D298" s="2" t="inlineStr">
        <is>
          <t>GM ORIG</t>
        </is>
      </c>
      <c r="E298" s="3" t="n">
        <v>40</v>
      </c>
      <c r="F298" s="4" t="n">
        <v>0.3</v>
      </c>
      <c r="G298" s="5">
        <f>ROUND(E298*(1+F298),2)</f>
        <v>52.00</v>
      </c>
      <c r="H298" s="5">
        <f>ROUND(G298*NOTAS!$B$2,2)</f>
        <v>37509.97</v>
      </c>
      <c r="I298" s="6">
        <f>ROUND(G298*NOTAS!$B$3,0)</f>
        <v>168941</v>
      </c>
      <c r="J298" s="2" t="n">
        <v>1</v>
      </c>
    </row>
    <row r="299">
      <c r="A299" s="2" t="inlineStr">
        <is>
          <t>96535429</t>
        </is>
      </c>
      <c r="B299" s="2" t="inlineStr"/>
      <c r="C299" s="2" t="inlineStr">
        <is>
          <t>BASE MOTOR DERECHA AVEO 1.6</t>
        </is>
      </c>
      <c r="D299" s="2" t="inlineStr">
        <is>
          <t>GM ORIG</t>
        </is>
      </c>
      <c r="E299" s="3" t="n">
        <v>40</v>
      </c>
      <c r="F299" s="4" t="n">
        <v>0.3</v>
      </c>
      <c r="G299" s="5">
        <f>ROUND(E299*(1+F299),2)</f>
        <v>52.00</v>
      </c>
      <c r="H299" s="5">
        <f>ROUND(G299*NOTAS!$B$2,2)</f>
        <v>37509.97</v>
      </c>
      <c r="I299" s="6">
        <f>ROUND(G299*NOTAS!$B$3,0)</f>
        <v>168941</v>
      </c>
      <c r="J299" s="2" t="n">
        <v>1</v>
      </c>
    </row>
    <row r="300">
      <c r="A300" s="2" t="inlineStr">
        <is>
          <t>P96535510</t>
        </is>
      </c>
      <c r="B300" s="2" t="inlineStr"/>
      <c r="C300" s="2" t="inlineStr">
        <is>
          <t>BASE MOTOR DERECHA AVEO 1.6</t>
        </is>
      </c>
      <c r="D300" s="2" t="inlineStr">
        <is>
          <t>CARDEX</t>
        </is>
      </c>
      <c r="E300" s="3" t="n">
        <v>30</v>
      </c>
      <c r="F300" s="4" t="n">
        <v>0.3</v>
      </c>
      <c r="G300" s="5">
        <f>ROUND(E300*(1+F300),2)</f>
        <v>39.00</v>
      </c>
      <c r="H300" s="5">
        <f>ROUND(G300*NOTAS!$B$2,2)</f>
        <v>28132.48</v>
      </c>
      <c r="I300" s="6">
        <f>ROUND(G300*NOTAS!$B$3,0)</f>
        <v>126706</v>
      </c>
      <c r="J300" s="2" t="n">
        <v>2</v>
      </c>
    </row>
    <row r="301">
      <c r="A301" s="2" t="inlineStr">
        <is>
          <t>P96535510</t>
        </is>
      </c>
      <c r="B301" s="2" t="inlineStr"/>
      <c r="C301" s="2" t="inlineStr">
        <is>
          <t>BASE MOTOR DERECHA AVEO 1.6</t>
        </is>
      </c>
      <c r="D301" s="2" t="inlineStr">
        <is>
          <t>KAPARS</t>
        </is>
      </c>
      <c r="E301" s="3" t="n">
        <v>25</v>
      </c>
      <c r="F301" s="4" t="n">
        <v>0.3</v>
      </c>
      <c r="G301" s="5">
        <f>ROUND(E301*(1+F301),2)</f>
        <v>32.50</v>
      </c>
      <c r="H301" s="5">
        <f>ROUND(G301*NOTAS!$B$2,2)</f>
        <v>23443.73</v>
      </c>
      <c r="I301" s="6">
        <f>ROUND(G301*NOTAS!$B$3,0)</f>
        <v>105588</v>
      </c>
      <c r="J301" s="2" t="n">
        <v>1</v>
      </c>
    </row>
    <row r="302">
      <c r="A302" s="2" t="inlineStr">
        <is>
          <t>DA0007</t>
        </is>
      </c>
      <c r="B302" s="2" t="inlineStr"/>
      <c r="C302" s="2" t="inlineStr">
        <is>
          <t>BASE MOTOR DERECHA CIELO/LANOS</t>
        </is>
      </c>
      <c r="D302" s="2" t="inlineStr">
        <is>
          <t>PROSHOCK</t>
        </is>
      </c>
      <c r="E302" s="3" t="n">
        <v>8</v>
      </c>
      <c r="F302" s="4" t="n">
        <v>0.3</v>
      </c>
      <c r="G302" s="5">
        <f>ROUND(E302*(1+F302),2)</f>
        <v>10.40</v>
      </c>
      <c r="H302" s="5">
        <f>ROUND(G302*NOTAS!$B$2,2)</f>
        <v>7501.99</v>
      </c>
      <c r="I302" s="6">
        <f>ROUND(G302*NOTAS!$B$3,0)</f>
        <v>33788</v>
      </c>
      <c r="J302" s="2" t="n">
        <v>53</v>
      </c>
    </row>
    <row r="303">
      <c r="A303" s="2" t="inlineStr">
        <is>
          <t>90250348</t>
        </is>
      </c>
      <c r="B303" s="2" t="inlineStr"/>
      <c r="C303" s="2" t="inlineStr">
        <is>
          <t>BASE MOTOR DERECHA CIELO/LANOS</t>
        </is>
      </c>
      <c r="D303" s="2" t="inlineStr">
        <is>
          <t>CARDEX</t>
        </is>
      </c>
      <c r="E303" s="3" t="n">
        <v>10</v>
      </c>
      <c r="F303" s="4" t="n">
        <v>0.3</v>
      </c>
      <c r="G303" s="5">
        <f>ROUND(E303*(1+F303),2)</f>
        <v>13.00</v>
      </c>
      <c r="H303" s="5">
        <f>ROUND(G303*NOTAS!$B$2,2)</f>
        <v>9377.49</v>
      </c>
      <c r="I303" s="6">
        <f>ROUND(G303*NOTAS!$B$3,0)</f>
        <v>42235</v>
      </c>
      <c r="J303" s="2" t="n">
        <v>8</v>
      </c>
    </row>
    <row r="304">
      <c r="A304" s="2" t="inlineStr">
        <is>
          <t>3135</t>
        </is>
      </c>
      <c r="B304" s="2" t="inlineStr"/>
      <c r="C304" s="2" t="inlineStr">
        <is>
          <t>BASE MOTOR DERECHA COMPLETA MONTANA/MERIVA</t>
        </is>
      </c>
      <c r="D304" s="2" t="inlineStr">
        <is>
          <t>SAMPEL</t>
        </is>
      </c>
      <c r="E304" s="3" t="n">
        <v>30</v>
      </c>
      <c r="F304" s="4" t="n">
        <v>0.3</v>
      </c>
      <c r="G304" s="5">
        <f>ROUND(E304*(1+F304),2)</f>
        <v>39.00</v>
      </c>
      <c r="H304" s="5">
        <f>ROUND(G304*NOTAS!$B$2,2)</f>
        <v>28132.48</v>
      </c>
      <c r="I304" s="6">
        <f>ROUND(G304*NOTAS!$B$3,0)</f>
        <v>126706</v>
      </c>
      <c r="J304" s="2" t="n">
        <v>1</v>
      </c>
    </row>
    <row r="305">
      <c r="A305" s="2" t="inlineStr">
        <is>
          <t>90445300</t>
        </is>
      </c>
      <c r="B305" s="2" t="inlineStr"/>
      <c r="C305" s="2" t="inlineStr">
        <is>
          <t xml:space="preserve">BASE MOTOR DERECHA CORSA  </t>
        </is>
      </c>
      <c r="D305" s="2" t="inlineStr">
        <is>
          <t>GKP</t>
        </is>
      </c>
      <c r="E305" s="3" t="n">
        <v>13</v>
      </c>
      <c r="F305" s="4" t="n">
        <v>0.3</v>
      </c>
      <c r="G305" s="5">
        <f>ROUND(E305*(1+F305),2)</f>
        <v>16.90</v>
      </c>
      <c r="H305" s="5">
        <f>ROUND(G305*NOTAS!$B$2,2)</f>
        <v>12190.74</v>
      </c>
      <c r="I305" s="6">
        <f>ROUND(G305*NOTAS!$B$3,0)</f>
        <v>54906</v>
      </c>
      <c r="J305" s="2" t="n">
        <v>1</v>
      </c>
    </row>
    <row r="306">
      <c r="A306" s="2" t="inlineStr">
        <is>
          <t>93305641</t>
        </is>
      </c>
      <c r="B306" s="2" t="inlineStr"/>
      <c r="C306" s="2" t="inlineStr">
        <is>
          <t xml:space="preserve">BASE MOTOR DERECHA CORSA  </t>
        </is>
      </c>
      <c r="D306" s="2" t="inlineStr">
        <is>
          <t>GM</t>
        </is>
      </c>
      <c r="E306" s="3" t="n">
        <v>20</v>
      </c>
      <c r="F306" s="4" t="n">
        <v>0.3</v>
      </c>
      <c r="G306" s="5">
        <f>ROUND(E306*(1+F306),2)</f>
        <v>26.00</v>
      </c>
      <c r="H306" s="5">
        <f>ROUND(G306*NOTAS!$B$2,2)</f>
        <v>18754.99</v>
      </c>
      <c r="I306" s="6">
        <f>ROUND(G306*NOTAS!$B$3,0)</f>
        <v>84471</v>
      </c>
      <c r="J306" s="2" t="n">
        <v>1</v>
      </c>
    </row>
    <row r="307">
      <c r="A307" s="2" t="inlineStr">
        <is>
          <t>GM0052</t>
        </is>
      </c>
      <c r="B307" s="2" t="inlineStr"/>
      <c r="C307" s="2" t="inlineStr">
        <is>
          <t xml:space="preserve">BASE MOTOR DERECHA CORSA  </t>
        </is>
      </c>
      <c r="D307" s="2" t="inlineStr">
        <is>
          <t>PROSHOCK</t>
        </is>
      </c>
      <c r="E307" s="3" t="n">
        <v>10</v>
      </c>
      <c r="F307" s="4" t="n">
        <v>0.3</v>
      </c>
      <c r="G307" s="5">
        <f>ROUND(E307*(1+F307),2)</f>
        <v>13.00</v>
      </c>
      <c r="H307" s="5">
        <f>ROUND(G307*NOTAS!$B$2,2)</f>
        <v>9377.49</v>
      </c>
      <c r="I307" s="6">
        <f>ROUND(G307*NOTAS!$B$3,0)</f>
        <v>42235</v>
      </c>
      <c r="J307" s="2" t="n">
        <v>2</v>
      </c>
    </row>
    <row r="308">
      <c r="A308" s="2" t="inlineStr">
        <is>
          <t>3026</t>
        </is>
      </c>
      <c r="B308" s="2" t="inlineStr"/>
      <c r="C308" s="2" t="inlineStr">
        <is>
          <t xml:space="preserve">BASE MOTOR DERECHA CORSA  </t>
        </is>
      </c>
      <c r="D308" s="2" t="inlineStr">
        <is>
          <t>SAMPEL</t>
        </is>
      </c>
      <c r="E308" s="3" t="n">
        <v>17</v>
      </c>
      <c r="F308" s="4" t="n">
        <v>0.3</v>
      </c>
      <c r="G308" s="5">
        <f>ROUND(E308*(1+F308),2)</f>
        <v>22.10</v>
      </c>
      <c r="H308" s="5">
        <f>ROUND(G308*NOTAS!$B$2,2)</f>
        <v>15941.74</v>
      </c>
      <c r="I308" s="6">
        <f>ROUND(G308*NOTAS!$B$3,0)</f>
        <v>71800</v>
      </c>
      <c r="J308" s="2" t="n">
        <v>11</v>
      </c>
    </row>
    <row r="309">
      <c r="A309" s="2" t="inlineStr">
        <is>
          <t>3006</t>
        </is>
      </c>
      <c r="B309" s="2" t="inlineStr"/>
      <c r="C309" s="2" t="inlineStr">
        <is>
          <t>BASE MOTOR DERECHA CORSA SIN AIRE</t>
        </is>
      </c>
      <c r="D309" s="2" t="inlineStr">
        <is>
          <t>SAMPEL</t>
        </is>
      </c>
      <c r="E309" s="3" t="n">
        <v>10</v>
      </c>
      <c r="F309" s="4" t="n">
        <v>0.3</v>
      </c>
      <c r="G309" s="5">
        <f>ROUND(E309*(1+F309),2)</f>
        <v>13.00</v>
      </c>
      <c r="H309" s="5">
        <f>ROUND(G309*NOTAS!$B$2,2)</f>
        <v>9377.49</v>
      </c>
      <c r="I309" s="6">
        <f>ROUND(G309*NOTAS!$B$3,0)</f>
        <v>42235</v>
      </c>
      <c r="J309" s="2" t="n">
        <v>5</v>
      </c>
    </row>
    <row r="310">
      <c r="A310" s="2" t="inlineStr">
        <is>
          <t>AC809</t>
        </is>
      </c>
      <c r="B310" s="2" t="inlineStr"/>
      <c r="C310" s="2" t="inlineStr">
        <is>
          <t>BASE MOTOR DERECHA CORSA SIN AIRE</t>
        </is>
      </c>
      <c r="D310" s="2" t="inlineStr">
        <is>
          <t>SUSPEX</t>
        </is>
      </c>
      <c r="E310" s="3" t="n">
        <v>10</v>
      </c>
      <c r="F310" s="4" t="n">
        <v>0.3</v>
      </c>
      <c r="G310" s="5">
        <f>ROUND(E310*(1+F310),2)</f>
        <v>13.00</v>
      </c>
      <c r="H310" s="5">
        <f>ROUND(G310*NOTAS!$B$2,2)</f>
        <v>9377.49</v>
      </c>
      <c r="I310" s="6">
        <f>ROUND(G310*NOTAS!$B$3,0)</f>
        <v>42235</v>
      </c>
      <c r="J310" s="2" t="n">
        <v>1</v>
      </c>
    </row>
    <row r="311">
      <c r="A311" s="2" t="inlineStr">
        <is>
          <t>7N156F012AA</t>
        </is>
      </c>
      <c r="B311" s="2" t="inlineStr"/>
      <c r="C311" s="2" t="inlineStr">
        <is>
          <t>BASE MOTOR DERECHA ECOSPORT 2.0 COMPLETA</t>
        </is>
      </c>
      <c r="D311" s="2" t="inlineStr">
        <is>
          <t>FORD</t>
        </is>
      </c>
      <c r="E311" s="3" t="n">
        <v>100</v>
      </c>
      <c r="F311" s="4" t="n">
        <v>0.3</v>
      </c>
      <c r="G311" s="5">
        <f>ROUND(E311*(1+F311),2)</f>
        <v>130.00</v>
      </c>
      <c r="H311" s="5">
        <f>ROUND(G311*NOTAS!$B$2,2)</f>
        <v>93774.93</v>
      </c>
      <c r="I311" s="6">
        <f>ROUND(G311*NOTAS!$B$3,0)</f>
        <v>422353</v>
      </c>
      <c r="J311" s="2" t="n">
        <v>1</v>
      </c>
    </row>
    <row r="312">
      <c r="A312" s="2" t="inlineStr">
        <is>
          <t>1001</t>
        </is>
      </c>
      <c r="B312" s="2" t="inlineStr"/>
      <c r="C312" s="2" t="inlineStr">
        <is>
          <t>BASE MOTOR DERECHA F-147/SPAZIO</t>
        </is>
      </c>
      <c r="D312" s="2" t="inlineStr">
        <is>
          <t>SAMPEL</t>
        </is>
      </c>
      <c r="E312" s="3" t="n">
        <v>12</v>
      </c>
      <c r="F312" s="4" t="n">
        <v>0.3</v>
      </c>
      <c r="G312" s="5">
        <f>ROUND(E312*(1+F312),2)</f>
        <v>15.60</v>
      </c>
      <c r="H312" s="5">
        <f>ROUND(G312*NOTAS!$B$2,2)</f>
        <v>11252.99</v>
      </c>
      <c r="I312" s="6">
        <f>ROUND(G312*NOTAS!$B$3,0)</f>
        <v>50682</v>
      </c>
      <c r="J312" s="2" t="n">
        <v>4</v>
      </c>
    </row>
    <row r="313">
      <c r="A313" s="2" t="inlineStr">
        <is>
          <t>KKY01-39-060</t>
        </is>
      </c>
      <c r="B313" s="2" t="inlineStr"/>
      <c r="C313" s="2" t="inlineStr">
        <is>
          <t>BASE MOTOR DERECHA FESTIVA</t>
        </is>
      </c>
      <c r="D313" s="2" t="inlineStr">
        <is>
          <t>CARDEX</t>
        </is>
      </c>
      <c r="E313" s="3" t="n">
        <v>15</v>
      </c>
      <c r="F313" s="4" t="n">
        <v>0.3</v>
      </c>
      <c r="G313" s="5">
        <f>ROUND(E313*(1+F313),2)</f>
        <v>19.50</v>
      </c>
      <c r="H313" s="5">
        <f>ROUND(G313*NOTAS!$B$2,2)</f>
        <v>14066.24</v>
      </c>
      <c r="I313" s="6">
        <f>ROUND(G313*NOTAS!$B$3,0)</f>
        <v>63353</v>
      </c>
      <c r="J313" s="2" t="n">
        <v>3</v>
      </c>
    </row>
    <row r="314">
      <c r="A314" s="2" t="inlineStr">
        <is>
          <t>904568</t>
        </is>
      </c>
      <c r="B314" s="2" t="inlineStr">
        <is>
          <t>7S556038CA</t>
        </is>
      </c>
      <c r="C314" s="2" t="inlineStr">
        <is>
          <t>BASE MOTOR DERECHA FIESTA …/03</t>
        </is>
      </c>
      <c r="D314" s="2" t="inlineStr">
        <is>
          <t>FORD</t>
        </is>
      </c>
      <c r="E314" s="3" t="n">
        <v>25</v>
      </c>
      <c r="F314" s="4" t="n">
        <v>0.3</v>
      </c>
      <c r="G314" s="5">
        <f>ROUND(E314*(1+F314),2)</f>
        <v>32.50</v>
      </c>
      <c r="H314" s="5">
        <f>ROUND(G314*NOTAS!$B$2,2)</f>
        <v>23443.73</v>
      </c>
      <c r="I314" s="6">
        <f>ROUND(G314*NOTAS!$B$3,0)</f>
        <v>105588</v>
      </c>
      <c r="J314" s="2" t="n">
        <v>3</v>
      </c>
    </row>
    <row r="315">
      <c r="A315" s="2" t="inlineStr">
        <is>
          <t>2715</t>
        </is>
      </c>
      <c r="B315" s="2" t="inlineStr">
        <is>
          <t>XS616038AD</t>
        </is>
      </c>
      <c r="C315" s="2" t="inlineStr">
        <is>
          <t>BASE MOTOR DERECHA FIESTA …/03</t>
        </is>
      </c>
      <c r="D315" s="2" t="inlineStr">
        <is>
          <t>SAMPEL</t>
        </is>
      </c>
      <c r="E315" s="3" t="n">
        <v>20</v>
      </c>
      <c r="F315" s="4" t="n">
        <v>0.3</v>
      </c>
      <c r="G315" s="5">
        <f>ROUND(E315*(1+F315),2)</f>
        <v>26.00</v>
      </c>
      <c r="H315" s="5">
        <f>ROUND(G315*NOTAS!$B$2,2)</f>
        <v>18754.99</v>
      </c>
      <c r="I315" s="6">
        <f>ROUND(G315*NOTAS!$B$3,0)</f>
        <v>84471</v>
      </c>
      <c r="J315" s="2" t="n">
        <v>5</v>
      </c>
    </row>
    <row r="316">
      <c r="A316" s="2" t="inlineStr">
        <is>
          <t>2744</t>
        </is>
      </c>
      <c r="B316" s="2" t="inlineStr"/>
      <c r="C316" s="2" t="inlineStr">
        <is>
          <t>BASE MOTOR DERECHA FIESTA 04/13</t>
        </is>
      </c>
      <c r="D316" s="2" t="inlineStr">
        <is>
          <t>SAMPEL</t>
        </is>
      </c>
      <c r="E316" s="3" t="n">
        <v>30</v>
      </c>
      <c r="F316" s="4" t="n">
        <v>0.3</v>
      </c>
      <c r="G316" s="5">
        <f>ROUND(E316*(1+F316),2)</f>
        <v>39.00</v>
      </c>
      <c r="H316" s="5">
        <f>ROUND(G316*NOTAS!$B$2,2)</f>
        <v>28132.48</v>
      </c>
      <c r="I316" s="6">
        <f>ROUND(G316*NOTAS!$B$3,0)</f>
        <v>126706</v>
      </c>
      <c r="J316" s="2" t="n">
        <v>1</v>
      </c>
    </row>
    <row r="317">
      <c r="A317" s="2" t="inlineStr">
        <is>
          <t>RB2S656F012LB</t>
        </is>
      </c>
      <c r="B317" s="2" t="inlineStr"/>
      <c r="C317" s="2" t="inlineStr">
        <is>
          <t>BASE MOTOR DERECHA FIESTA 04/13</t>
        </is>
      </c>
      <c r="D317" s="2" t="inlineStr">
        <is>
          <t>KAPARS</t>
        </is>
      </c>
      <c r="E317" s="3" t="n">
        <v>25</v>
      </c>
      <c r="F317" s="4" t="n">
        <v>0.3</v>
      </c>
      <c r="G317" s="5">
        <f>ROUND(E317*(1+F317),2)</f>
        <v>32.50</v>
      </c>
      <c r="H317" s="5">
        <f>ROUND(G317*NOTAS!$B$2,2)</f>
        <v>23443.73</v>
      </c>
      <c r="I317" s="6">
        <f>ROUND(G317*NOTAS!$B$3,0)</f>
        <v>105588</v>
      </c>
      <c r="J317" s="2" t="n">
        <v>2</v>
      </c>
    </row>
    <row r="318">
      <c r="A318" s="2" t="inlineStr">
        <is>
          <t>901916</t>
        </is>
      </c>
      <c r="B318" s="2" t="inlineStr">
        <is>
          <t>6S6P6F012AB</t>
        </is>
      </c>
      <c r="C318" s="2" t="inlineStr">
        <is>
          <t>BASE MOTOR DERECHA FIESTA 04/13 COMPLETA</t>
        </is>
      </c>
      <c r="D318" s="2" t="inlineStr">
        <is>
          <t>FORD</t>
        </is>
      </c>
      <c r="E318" s="3" t="n">
        <v>80</v>
      </c>
      <c r="F318" s="4" t="n">
        <v>0.3</v>
      </c>
      <c r="G318" s="5">
        <f>ROUND(E318*(1+F318),2)</f>
        <v>104.00</v>
      </c>
      <c r="H318" s="5">
        <f>ROUND(G318*NOTAS!$B$2,2)</f>
        <v>75019.94</v>
      </c>
      <c r="I318" s="6">
        <f>ROUND(G318*NOTAS!$B$3,0)</f>
        <v>337882</v>
      </c>
      <c r="J318" s="2" t="n">
        <v>2</v>
      </c>
    </row>
    <row r="319">
      <c r="A319" s="2" t="inlineStr">
        <is>
          <t>930130</t>
        </is>
      </c>
      <c r="B319" s="2" t="inlineStr">
        <is>
          <t>2S656F012LB</t>
        </is>
      </c>
      <c r="C319" s="2" t="inlineStr">
        <is>
          <t>BASE MOTOR DERECHA FIESTA 04/13 COMPLETA</t>
        </is>
      </c>
      <c r="D319" s="2" t="inlineStr">
        <is>
          <t>FORD</t>
        </is>
      </c>
      <c r="E319" s="3" t="n">
        <v>80</v>
      </c>
      <c r="F319" s="4" t="n">
        <v>0.3</v>
      </c>
      <c r="G319" s="5">
        <f>ROUND(E319*(1+F319),2)</f>
        <v>104.00</v>
      </c>
      <c r="H319" s="5">
        <f>ROUND(G319*NOTAS!$B$2,2)</f>
        <v>75019.94</v>
      </c>
      <c r="I319" s="6">
        <f>ROUND(G319*NOTAS!$B$3,0)</f>
        <v>337882</v>
      </c>
      <c r="J319" s="2" t="n">
        <v>3</v>
      </c>
    </row>
    <row r="320">
      <c r="A320" s="2" t="inlineStr">
        <is>
          <t>2744</t>
        </is>
      </c>
      <c r="B320" s="2" t="inlineStr"/>
      <c r="C320" s="2" t="inlineStr">
        <is>
          <t>BASE MOTOR DERECHA FIESTA 04/13 USADA</t>
        </is>
      </c>
      <c r="D320" s="2" t="inlineStr">
        <is>
          <t>SAMPEL</t>
        </is>
      </c>
      <c r="E320" s="3" t="n">
        <v>15</v>
      </c>
      <c r="F320" s="4" t="n">
        <v>0.3</v>
      </c>
      <c r="G320" s="5">
        <f>ROUND(E320*(1+F320),2)</f>
        <v>19.50</v>
      </c>
      <c r="H320" s="5">
        <f>ROUND(G320*NOTAS!$B$2,2)</f>
        <v>14066.24</v>
      </c>
      <c r="I320" s="6">
        <f>ROUND(G320*NOTAS!$B$3,0)</f>
        <v>63353</v>
      </c>
      <c r="J320" s="2" t="n">
        <v>1</v>
      </c>
    </row>
    <row r="321">
      <c r="A321" s="2" t="inlineStr">
        <is>
          <t>FI0187</t>
        </is>
      </c>
      <c r="B321" s="2" t="inlineStr"/>
      <c r="C321" s="2" t="inlineStr">
        <is>
          <t>BASE MOTOR DERECHA F-PAL/SIE</t>
        </is>
      </c>
      <c r="D321" s="2" t="inlineStr">
        <is>
          <t>PROSHOCK</t>
        </is>
      </c>
      <c r="E321" s="3" t="n">
        <v>15</v>
      </c>
      <c r="F321" s="4" t="n">
        <v>0.3</v>
      </c>
      <c r="G321" s="5">
        <f>ROUND(E321*(1+F321),2)</f>
        <v>19.50</v>
      </c>
      <c r="H321" s="5">
        <f>ROUND(G321*NOTAS!$B$2,2)</f>
        <v>14066.24</v>
      </c>
      <c r="I321" s="6">
        <f>ROUND(G321*NOTAS!$B$3,0)</f>
        <v>63353</v>
      </c>
      <c r="J321" s="2" t="n">
        <v>5</v>
      </c>
    </row>
    <row r="322">
      <c r="A322" s="2" t="inlineStr">
        <is>
          <t>1303</t>
        </is>
      </c>
      <c r="B322" s="2" t="inlineStr"/>
      <c r="C322" s="2" t="inlineStr">
        <is>
          <t>BASE MOTOR DERECHA F-PAL/SIE</t>
        </is>
      </c>
      <c r="D322" s="2" t="inlineStr">
        <is>
          <t>SAMPEL</t>
        </is>
      </c>
      <c r="E322" s="3" t="n">
        <v>22</v>
      </c>
      <c r="F322" s="4" t="n">
        <v>0.3</v>
      </c>
      <c r="G322" s="5">
        <f>ROUND(E322*(1+F322),2)</f>
        <v>28.60</v>
      </c>
      <c r="H322" s="5">
        <f>ROUND(G322*NOTAS!$B$2,2)</f>
        <v>20630.48</v>
      </c>
      <c r="I322" s="6">
        <f>ROUND(G322*NOTAS!$B$3,0)</f>
        <v>92918</v>
      </c>
      <c r="J322" s="2" t="n">
        <v>4</v>
      </c>
    </row>
    <row r="323">
      <c r="A323" s="2" t="inlineStr">
        <is>
          <t>FI0190</t>
        </is>
      </c>
      <c r="B323" s="2" t="inlineStr"/>
      <c r="C323" s="2" t="inlineStr">
        <is>
          <t>BASE MOTOR DERECHA F-PAL/SIE 1.3 16V FIRE</t>
        </is>
      </c>
      <c r="D323" s="2" t="inlineStr">
        <is>
          <t>PROSHOCK</t>
        </is>
      </c>
      <c r="E323" s="3" t="n">
        <v>10</v>
      </c>
      <c r="F323" s="4" t="n">
        <v>0.3</v>
      </c>
      <c r="G323" s="5">
        <f>ROUND(E323*(1+F323),2)</f>
        <v>13.00</v>
      </c>
      <c r="H323" s="5">
        <f>ROUND(G323*NOTAS!$B$2,2)</f>
        <v>9377.49</v>
      </c>
      <c r="I323" s="6">
        <f>ROUND(G323*NOTAS!$B$3,0)</f>
        <v>42235</v>
      </c>
      <c r="J323" s="2" t="n">
        <v>1</v>
      </c>
    </row>
    <row r="324">
      <c r="A324" s="2" t="inlineStr">
        <is>
          <t>1075</t>
        </is>
      </c>
      <c r="B324" s="2" t="inlineStr"/>
      <c r="C324" s="2" t="inlineStr">
        <is>
          <t>BASE MOTOR DERECHA F-PAL/SIE 1.3 16V FIRE</t>
        </is>
      </c>
      <c r="D324" s="2" t="inlineStr">
        <is>
          <t>SAMPEL</t>
        </is>
      </c>
      <c r="E324" s="3" t="n">
        <v>15</v>
      </c>
      <c r="F324" s="4" t="n">
        <v>0.3</v>
      </c>
      <c r="G324" s="5">
        <f>ROUND(E324*(1+F324),2)</f>
        <v>19.50</v>
      </c>
      <c r="H324" s="5">
        <f>ROUND(G324*NOTAS!$B$2,2)</f>
        <v>14066.24</v>
      </c>
      <c r="I324" s="6">
        <f>ROUND(G324*NOTAS!$B$3,0)</f>
        <v>63353</v>
      </c>
      <c r="J324" s="2" t="n">
        <v>18</v>
      </c>
    </row>
    <row r="325">
      <c r="A325" s="2" t="inlineStr">
        <is>
          <t>51736529</t>
        </is>
      </c>
      <c r="B325" s="2" t="inlineStr"/>
      <c r="C325" s="2" t="inlineStr">
        <is>
          <t>BASE MOTOR DERECHA F-PAL/SIE 1.3 16V FIRE</t>
        </is>
      </c>
      <c r="D325" s="2" t="inlineStr">
        <is>
          <t>INROLCA</t>
        </is>
      </c>
      <c r="E325" s="3" t="n">
        <v>11</v>
      </c>
      <c r="F325" s="4" t="n">
        <v>0.3</v>
      </c>
      <c r="G325" s="5">
        <f>ROUND(E325*(1+F325),2)</f>
        <v>14.30</v>
      </c>
      <c r="H325" s="5">
        <f>ROUND(G325*NOTAS!$B$2,2)</f>
        <v>10315.24</v>
      </c>
      <c r="I325" s="6">
        <f>ROUND(G325*NOTAS!$B$3,0)</f>
        <v>46459</v>
      </c>
      <c r="J325" s="2" t="n">
        <v>8</v>
      </c>
    </row>
    <row r="326">
      <c r="A326" s="2" t="inlineStr">
        <is>
          <t>51753286</t>
        </is>
      </c>
      <c r="B326" s="2" t="inlineStr"/>
      <c r="C326" s="2" t="inlineStr">
        <is>
          <t>BASE MOTOR DERECHA F-PAL/SIE 1.8</t>
        </is>
      </c>
      <c r="D326" s="2" t="inlineStr">
        <is>
          <t>BRAZIL</t>
        </is>
      </c>
      <c r="E326" s="3" t="n">
        <v>28</v>
      </c>
      <c r="F326" s="4" t="n">
        <v>0.3</v>
      </c>
      <c r="G326" s="5">
        <f>ROUND(E326*(1+F326),2)</f>
        <v>36.40</v>
      </c>
      <c r="H326" s="5">
        <f>ROUND(G326*NOTAS!$B$2,2)</f>
        <v>26256.98</v>
      </c>
      <c r="I326" s="6">
        <f>ROUND(G326*NOTAS!$B$3,0)</f>
        <v>118259</v>
      </c>
      <c r="J326" s="2" t="n">
        <v>1</v>
      </c>
    </row>
    <row r="327">
      <c r="A327" s="2" t="inlineStr">
        <is>
          <t>XS516033AC</t>
        </is>
      </c>
      <c r="B327" s="2" t="inlineStr"/>
      <c r="C327" s="2" t="inlineStr">
        <is>
          <t>BASE MOTOR DERECHA KA</t>
        </is>
      </c>
      <c r="D327" s="2" t="inlineStr">
        <is>
          <t>FORD</t>
        </is>
      </c>
      <c r="E327" s="3" t="n">
        <v>25</v>
      </c>
      <c r="F327" s="4" t="n">
        <v>0.3</v>
      </c>
      <c r="G327" s="5">
        <f>ROUND(E327*(1+F327),2)</f>
        <v>32.50</v>
      </c>
      <c r="H327" s="5">
        <f>ROUND(G327*NOTAS!$B$2,2)</f>
        <v>23443.73</v>
      </c>
      <c r="I327" s="6">
        <f>ROUND(G327*NOTAS!$B$3,0)</f>
        <v>105588</v>
      </c>
      <c r="J327" s="2" t="n">
        <v>2</v>
      </c>
    </row>
    <row r="328">
      <c r="A328" s="2" t="inlineStr">
        <is>
          <t>XS516038AC</t>
        </is>
      </c>
      <c r="B328" s="2" t="inlineStr"/>
      <c r="C328" s="2" t="inlineStr">
        <is>
          <t>BASE MOTOR DERECHA KA</t>
        </is>
      </c>
      <c r="D328" s="2" t="inlineStr">
        <is>
          <t>KAPARS</t>
        </is>
      </c>
      <c r="E328" s="3" t="n">
        <v>20</v>
      </c>
      <c r="F328" s="4" t="n">
        <v>0.3</v>
      </c>
      <c r="G328" s="5">
        <f>ROUND(E328*(1+F328),2)</f>
        <v>26.00</v>
      </c>
      <c r="H328" s="5">
        <f>ROUND(G328*NOTAS!$B$2,2)</f>
        <v>18754.99</v>
      </c>
      <c r="I328" s="6">
        <f>ROUND(G328*NOTAS!$B$3,0)</f>
        <v>84471</v>
      </c>
      <c r="J328" s="2" t="n">
        <v>2</v>
      </c>
    </row>
    <row r="329">
      <c r="A329" s="2" t="inlineStr"/>
      <c r="B329" s="2" t="inlineStr"/>
      <c r="C329" s="2" t="inlineStr">
        <is>
          <t>BASE MOTOR DERECHA MATIZ</t>
        </is>
      </c>
      <c r="D329" s="2" t="inlineStr">
        <is>
          <t>KOREA</t>
        </is>
      </c>
      <c r="E329" s="3" t="n">
        <v>10</v>
      </c>
      <c r="F329" s="4" t="n">
        <v>0.3</v>
      </c>
      <c r="G329" s="5">
        <f>ROUND(E329*(1+F329),2)</f>
        <v>13.00</v>
      </c>
      <c r="H329" s="5">
        <f>ROUND(G329*NOTAS!$B$2,2)</f>
        <v>9377.49</v>
      </c>
      <c r="I329" s="6">
        <f>ROUND(G329*NOTAS!$B$3,0)</f>
        <v>42235</v>
      </c>
      <c r="J329" s="2" t="n">
        <v>1</v>
      </c>
    </row>
    <row r="330">
      <c r="A330" s="2" t="inlineStr">
        <is>
          <t>GM0279</t>
        </is>
      </c>
      <c r="B330" s="2" t="inlineStr"/>
      <c r="C330" s="2" t="inlineStr">
        <is>
          <t>BASE MOTOR DERECHA MONTANA/MERIVA</t>
        </is>
      </c>
      <c r="D330" s="2" t="inlineStr">
        <is>
          <t>PROSHOCK</t>
        </is>
      </c>
      <c r="E330" s="3" t="n">
        <v>15</v>
      </c>
      <c r="F330" s="4" t="n">
        <v>0.3</v>
      </c>
      <c r="G330" s="5">
        <f>ROUND(E330*(1+F330),2)</f>
        <v>19.50</v>
      </c>
      <c r="H330" s="5">
        <f>ROUND(G330*NOTAS!$B$2,2)</f>
        <v>14066.24</v>
      </c>
      <c r="I330" s="6">
        <f>ROUND(G330*NOTAS!$B$3,0)</f>
        <v>63353</v>
      </c>
      <c r="J330" s="2" t="n">
        <v>1</v>
      </c>
    </row>
    <row r="331">
      <c r="A331" s="2" t="inlineStr"/>
      <c r="B331" s="2" t="inlineStr"/>
      <c r="C331" s="2" t="inlineStr">
        <is>
          <t>BASE MOTOR DERECHA OPTRA</t>
        </is>
      </c>
      <c r="D331" s="2" t="inlineStr">
        <is>
          <t>KAPARS</t>
        </is>
      </c>
      <c r="E331" s="3" t="n">
        <v>20</v>
      </c>
      <c r="F331" s="4" t="n">
        <v>0.3</v>
      </c>
      <c r="G331" s="5">
        <f>ROUND(E331*(1+F331),2)</f>
        <v>26.00</v>
      </c>
      <c r="H331" s="5">
        <f>ROUND(G331*NOTAS!$B$2,2)</f>
        <v>18754.99</v>
      </c>
      <c r="I331" s="6">
        <f>ROUND(G331*NOTAS!$B$3,0)</f>
        <v>84471</v>
      </c>
      <c r="J331" s="2" t="n">
        <v>1</v>
      </c>
    </row>
    <row r="332">
      <c r="A332" s="2" t="inlineStr">
        <is>
          <t>5224</t>
        </is>
      </c>
      <c r="B332" s="2" t="inlineStr"/>
      <c r="C332" s="2" t="inlineStr">
        <is>
          <t>BASE MOTOR DERECHA R-11</t>
        </is>
      </c>
      <c r="D332" s="2" t="inlineStr">
        <is>
          <t>ORIGINAL BIRTH</t>
        </is>
      </c>
      <c r="E332" s="3" t="n">
        <v>6</v>
      </c>
      <c r="F332" s="4" t="n">
        <v>0.3</v>
      </c>
      <c r="G332" s="5">
        <f>ROUND(E332*(1+F332),2)</f>
        <v>7.80</v>
      </c>
      <c r="H332" s="5">
        <f>ROUND(G332*NOTAS!$B$2,2)</f>
        <v>5626.50</v>
      </c>
      <c r="I332" s="6">
        <f>ROUND(G332*NOTAS!$B$3,0)</f>
        <v>25341</v>
      </c>
      <c r="J332" s="2" t="n">
        <v>2</v>
      </c>
    </row>
    <row r="333">
      <c r="A333" s="2" t="inlineStr">
        <is>
          <t>RE0138</t>
        </is>
      </c>
      <c r="B333" s="2" t="inlineStr"/>
      <c r="C333" s="2" t="inlineStr">
        <is>
          <t>BASE MOTOR DERECHA R-11</t>
        </is>
      </c>
      <c r="D333" s="2" t="inlineStr">
        <is>
          <t>PROSHOCK</t>
        </is>
      </c>
      <c r="E333" s="3" t="n">
        <v>5</v>
      </c>
      <c r="F333" s="4" t="n">
        <v>0.3</v>
      </c>
      <c r="G333" s="5">
        <f>ROUND(E333*(1+F333),2)</f>
        <v>6.50</v>
      </c>
      <c r="H333" s="5">
        <f>ROUND(G333*NOTAS!$B$2,2)</f>
        <v>4688.75</v>
      </c>
      <c r="I333" s="6">
        <f>ROUND(G333*NOTAS!$B$3,0)</f>
        <v>21118</v>
      </c>
      <c r="J333" s="2" t="n">
        <v>7</v>
      </c>
    </row>
    <row r="334">
      <c r="A334" s="2" t="inlineStr">
        <is>
          <t>7714126</t>
        </is>
      </c>
      <c r="B334" s="2" t="inlineStr"/>
      <c r="C334" s="2" t="inlineStr">
        <is>
          <t>BASE MOTOR DERECHA R-18/FUEGO</t>
        </is>
      </c>
      <c r="D334" s="2" t="inlineStr">
        <is>
          <t>SANFOR</t>
        </is>
      </c>
      <c r="E334" s="3" t="n">
        <v>4.2</v>
      </c>
      <c r="F334" s="4" t="n">
        <v>0.3</v>
      </c>
      <c r="G334" s="5">
        <f>ROUND(E334*(1+F334),2)</f>
        <v>5.46</v>
      </c>
      <c r="H334" s="5">
        <f>ROUND(G334*NOTAS!$B$2,2)</f>
        <v>3938.55</v>
      </c>
      <c r="I334" s="6">
        <f>ROUND(G334*NOTAS!$B$3,0)</f>
        <v>17739</v>
      </c>
      <c r="J334" s="2" t="n">
        <v>3</v>
      </c>
    </row>
    <row r="335">
      <c r="A335" s="2" t="inlineStr"/>
      <c r="B335" s="2" t="inlineStr"/>
      <c r="C335" s="2" t="inlineStr">
        <is>
          <t>BASE MOTOR DERECHA R-19</t>
        </is>
      </c>
      <c r="D335" s="2" t="inlineStr"/>
      <c r="E335" s="3" t="n">
        <v>10</v>
      </c>
      <c r="F335" s="4" t="n">
        <v>0.3</v>
      </c>
      <c r="G335" s="5">
        <f>ROUND(E335*(1+F335),2)</f>
        <v>13.00</v>
      </c>
      <c r="H335" s="5">
        <f>ROUND(G335*NOTAS!$B$2,2)</f>
        <v>9377.49</v>
      </c>
      <c r="I335" s="6">
        <f>ROUND(G335*NOTAS!$B$3,0)</f>
        <v>42235</v>
      </c>
      <c r="J335" s="2" t="n">
        <v>1</v>
      </c>
    </row>
    <row r="336">
      <c r="A336" s="2" t="inlineStr">
        <is>
          <t>7700769720</t>
        </is>
      </c>
      <c r="B336" s="2" t="inlineStr"/>
      <c r="C336" s="2" t="inlineStr">
        <is>
          <t>BASE MOTOR DERECHA R-21</t>
        </is>
      </c>
      <c r="D336" s="2" t="inlineStr">
        <is>
          <t>SBB</t>
        </is>
      </c>
      <c r="E336" s="3" t="n">
        <v>15</v>
      </c>
      <c r="F336" s="4" t="n">
        <v>0.3</v>
      </c>
      <c r="G336" s="5">
        <f>ROUND(E336*(1+F336),2)</f>
        <v>19.50</v>
      </c>
      <c r="H336" s="5">
        <f>ROUND(G336*NOTAS!$B$2,2)</f>
        <v>14066.24</v>
      </c>
      <c r="I336" s="6">
        <f>ROUND(G336*NOTAS!$B$3,0)</f>
        <v>63353</v>
      </c>
      <c r="J336" s="2" t="n">
        <v>2</v>
      </c>
    </row>
    <row r="337">
      <c r="A337" s="2" t="inlineStr">
        <is>
          <t>7700556353</t>
        </is>
      </c>
      <c r="B337" s="2" t="inlineStr"/>
      <c r="C337" s="2" t="inlineStr">
        <is>
          <t>BASE MOTOR DERECHA R-5</t>
        </is>
      </c>
      <c r="D337" s="2" t="inlineStr">
        <is>
          <t>TVA</t>
        </is>
      </c>
      <c r="E337" s="3" t="n">
        <v>4</v>
      </c>
      <c r="F337" s="4" t="n">
        <v>0.3</v>
      </c>
      <c r="G337" s="5">
        <f>ROUND(E337*(1+F337),2)</f>
        <v>5.20</v>
      </c>
      <c r="H337" s="5">
        <f>ROUND(G337*NOTAS!$B$2,2)</f>
        <v>3751.00</v>
      </c>
      <c r="I337" s="6">
        <f>ROUND(G337*NOTAS!$B$3,0)</f>
        <v>16894</v>
      </c>
      <c r="J337" s="2" t="n">
        <v>3</v>
      </c>
    </row>
    <row r="338">
      <c r="A338" s="2" t="inlineStr">
        <is>
          <t>50753</t>
        </is>
      </c>
      <c r="B338" s="2" t="inlineStr"/>
      <c r="C338" s="2" t="inlineStr">
        <is>
          <t>BASE MOTOR DERECHA R-LAGUNA …/98</t>
        </is>
      </c>
      <c r="D338" s="2" t="inlineStr">
        <is>
          <t>ORIGINAL BIRTH</t>
        </is>
      </c>
      <c r="E338" s="3" t="n">
        <v>10</v>
      </c>
      <c r="F338" s="4" t="n">
        <v>0.3</v>
      </c>
      <c r="G338" s="5">
        <f>ROUND(E338*(1+F338),2)</f>
        <v>13.00</v>
      </c>
      <c r="H338" s="5">
        <f>ROUND(G338*NOTAS!$B$2,2)</f>
        <v>9377.49</v>
      </c>
      <c r="I338" s="6">
        <f>ROUND(G338*NOTAS!$B$3,0)</f>
        <v>42235</v>
      </c>
      <c r="J338" s="2" t="n">
        <v>2</v>
      </c>
    </row>
    <row r="339">
      <c r="A339" s="2" t="inlineStr">
        <is>
          <t>RB6001547893</t>
        </is>
      </c>
      <c r="B339" s="2" t="inlineStr"/>
      <c r="C339" s="2" t="inlineStr">
        <is>
          <t>BASE MOTOR DERECHA R-LOGAN</t>
        </is>
      </c>
      <c r="D339" s="2" t="inlineStr">
        <is>
          <t>KAPARS</t>
        </is>
      </c>
      <c r="E339" s="3" t="n">
        <v>20</v>
      </c>
      <c r="F339" s="4" t="n">
        <v>0.3</v>
      </c>
      <c r="G339" s="5">
        <f>ROUND(E339*(1+F339),2)</f>
        <v>26.00</v>
      </c>
      <c r="H339" s="5">
        <f>ROUND(G339*NOTAS!$B$2,2)</f>
        <v>18754.99</v>
      </c>
      <c r="I339" s="6">
        <f>ROUND(G339*NOTAS!$B$3,0)</f>
        <v>84471</v>
      </c>
      <c r="J339" s="2" t="n">
        <v>1</v>
      </c>
    </row>
    <row r="340">
      <c r="A340" s="2" t="inlineStr">
        <is>
          <t>112136930</t>
        </is>
      </c>
      <c r="B340" s="2" t="inlineStr"/>
      <c r="C340" s="2" t="inlineStr">
        <is>
          <t>BASE MOTOR DERECHA R-LOGAN</t>
        </is>
      </c>
      <c r="D340" s="2" t="inlineStr">
        <is>
          <t>DTC</t>
        </is>
      </c>
      <c r="E340" s="3" t="n">
        <v>21.25</v>
      </c>
      <c r="F340" s="4" t="n">
        <v>0.3</v>
      </c>
      <c r="G340" s="5">
        <f>ROUND(E340*(1+F340),2)</f>
        <v>27.63</v>
      </c>
      <c r="H340" s="5">
        <f>ROUND(G340*NOTAS!$B$2,2)</f>
        <v>19930.78</v>
      </c>
      <c r="I340" s="6">
        <f>ROUND(G340*NOTAS!$B$3,0)</f>
        <v>89766</v>
      </c>
      <c r="J340" s="2" t="n">
        <v>1</v>
      </c>
    </row>
    <row r="341">
      <c r="A341" s="2" t="inlineStr">
        <is>
          <t>RB8200549046</t>
        </is>
      </c>
      <c r="B341" s="2" t="inlineStr"/>
      <c r="C341" s="2" t="inlineStr">
        <is>
          <t>BASE MOTOR DERECHA R-MEGANE II</t>
        </is>
      </c>
      <c r="D341" s="2" t="inlineStr">
        <is>
          <t>KAPARS</t>
        </is>
      </c>
      <c r="E341" s="3" t="n">
        <v>25</v>
      </c>
      <c r="F341" s="4" t="n">
        <v>0.3</v>
      </c>
      <c r="G341" s="5">
        <f>ROUND(E341*(1+F341),2)</f>
        <v>32.50</v>
      </c>
      <c r="H341" s="5">
        <f>ROUND(G341*NOTAS!$B$2,2)</f>
        <v>23443.73</v>
      </c>
      <c r="I341" s="6">
        <f>ROUND(G341*NOTAS!$B$3,0)</f>
        <v>105588</v>
      </c>
      <c r="J341" s="2" t="n">
        <v>1</v>
      </c>
    </row>
    <row r="342">
      <c r="A342" s="2" t="inlineStr">
        <is>
          <t>RE0171</t>
        </is>
      </c>
      <c r="B342" s="2" t="inlineStr"/>
      <c r="C342" s="2" t="inlineStr">
        <is>
          <t>BASE MOTOR DERECHA R-SCENIC 2.0</t>
        </is>
      </c>
      <c r="D342" s="2" t="inlineStr">
        <is>
          <t>PROSHOCK</t>
        </is>
      </c>
      <c r="E342" s="3" t="n">
        <v>20</v>
      </c>
      <c r="F342" s="4" t="n">
        <v>0.3</v>
      </c>
      <c r="G342" s="5">
        <f>ROUND(E342*(1+F342),2)</f>
        <v>26.00</v>
      </c>
      <c r="H342" s="5">
        <f>ROUND(G342*NOTAS!$B$2,2)</f>
        <v>18754.99</v>
      </c>
      <c r="I342" s="6">
        <f>ROUND(G342*NOTAS!$B$3,0)</f>
        <v>84471</v>
      </c>
      <c r="J342" s="2" t="n">
        <v>8</v>
      </c>
    </row>
    <row r="343">
      <c r="A343" s="2" t="inlineStr">
        <is>
          <t>7700434370</t>
        </is>
      </c>
      <c r="B343" s="2" t="inlineStr"/>
      <c r="C343" s="2" t="inlineStr">
        <is>
          <t>BASE MOTOR DERECHA R-SYMBOL 4TORNILLO</t>
        </is>
      </c>
      <c r="D343" s="2" t="inlineStr">
        <is>
          <t>RENAULT</t>
        </is>
      </c>
      <c r="E343" s="3" t="n">
        <v>25</v>
      </c>
      <c r="F343" s="4" t="n">
        <v>0.3</v>
      </c>
      <c r="G343" s="5">
        <f>ROUND(E343*(1+F343),2)</f>
        <v>32.50</v>
      </c>
      <c r="H343" s="5">
        <f>ROUND(G343*NOTAS!$B$2,2)</f>
        <v>23443.73</v>
      </c>
      <c r="I343" s="6">
        <f>ROUND(G343*NOTAS!$B$3,0)</f>
        <v>105588</v>
      </c>
      <c r="J343" s="2" t="n">
        <v>4</v>
      </c>
    </row>
    <row r="344">
      <c r="A344" s="2" t="inlineStr">
        <is>
          <t>RB7700434370</t>
        </is>
      </c>
      <c r="B344" s="2" t="inlineStr"/>
      <c r="C344" s="2" t="inlineStr">
        <is>
          <t>BASE MOTOR DERECHA R-SYMBOL 4TORNILLO</t>
        </is>
      </c>
      <c r="D344" s="2" t="inlineStr">
        <is>
          <t>KAPARS</t>
        </is>
      </c>
      <c r="E344" s="3" t="n">
        <v>20</v>
      </c>
      <c r="F344" s="4" t="n">
        <v>0.3</v>
      </c>
      <c r="G344" s="5">
        <f>ROUND(E344*(1+F344),2)</f>
        <v>26.00</v>
      </c>
      <c r="H344" s="5">
        <f>ROUND(G344*NOTAS!$B$2,2)</f>
        <v>18754.99</v>
      </c>
      <c r="I344" s="6">
        <f>ROUND(G344*NOTAS!$B$3,0)</f>
        <v>84471</v>
      </c>
      <c r="J344" s="2" t="n">
        <v>3</v>
      </c>
    </row>
    <row r="345">
      <c r="A345" s="2" t="inlineStr">
        <is>
          <t>7700437391</t>
        </is>
      </c>
      <c r="B345" s="2" t="inlineStr"/>
      <c r="C345" s="2" t="inlineStr">
        <is>
          <t>BASE MOTOR DERECHA R-SYMBOL/MEGANE 3TORNILLOS</t>
        </is>
      </c>
      <c r="D345" s="2" t="inlineStr">
        <is>
          <t>RENAULT</t>
        </is>
      </c>
      <c r="E345" s="3" t="n">
        <v>25</v>
      </c>
      <c r="F345" s="4" t="n">
        <v>0.3</v>
      </c>
      <c r="G345" s="5">
        <f>ROUND(E345*(1+F345),2)</f>
        <v>32.50</v>
      </c>
      <c r="H345" s="5">
        <f>ROUND(G345*NOTAS!$B$2,2)</f>
        <v>23443.73</v>
      </c>
      <c r="I345" s="6">
        <f>ROUND(G345*NOTAS!$B$3,0)</f>
        <v>105588</v>
      </c>
      <c r="J345" s="2" t="n">
        <v>1</v>
      </c>
    </row>
    <row r="346">
      <c r="A346" s="2" t="inlineStr">
        <is>
          <t>7700425757</t>
        </is>
      </c>
      <c r="B346" s="2" t="inlineStr"/>
      <c r="C346" s="2" t="inlineStr">
        <is>
          <t>BASE MOTOR DERECHA R-SYMBOL/MEGANE 3TORNILLOS</t>
        </is>
      </c>
      <c r="D346" s="2" t="inlineStr">
        <is>
          <t>KAPARS</t>
        </is>
      </c>
      <c r="E346" s="3" t="n">
        <v>20</v>
      </c>
      <c r="F346" s="4" t="n">
        <v>0.3</v>
      </c>
      <c r="G346" s="5">
        <f>ROUND(E346*(1+F346),2)</f>
        <v>26.00</v>
      </c>
      <c r="H346" s="5">
        <f>ROUND(G346*NOTAS!$B$2,2)</f>
        <v>18754.99</v>
      </c>
      <c r="I346" s="6">
        <f>ROUND(G346*NOTAS!$B$3,0)</f>
        <v>84471</v>
      </c>
      <c r="J346" s="2" t="n">
        <v>1</v>
      </c>
    </row>
    <row r="347">
      <c r="A347" s="2" t="inlineStr">
        <is>
          <t>RB8200025319</t>
        </is>
      </c>
      <c r="B347" s="2" t="inlineStr"/>
      <c r="C347" s="2" t="inlineStr">
        <is>
          <t>BASE MOTOR DERECHA R-TWINGO 16V</t>
        </is>
      </c>
      <c r="D347" s="2" t="inlineStr">
        <is>
          <t>KAPARS</t>
        </is>
      </c>
      <c r="E347" s="3" t="n">
        <v>20</v>
      </c>
      <c r="F347" s="4" t="n">
        <v>0.3</v>
      </c>
      <c r="G347" s="5">
        <f>ROUND(E347*(1+F347),2)</f>
        <v>26.00</v>
      </c>
      <c r="H347" s="5">
        <f>ROUND(G347*NOTAS!$B$2,2)</f>
        <v>18754.99</v>
      </c>
      <c r="I347" s="6">
        <f>ROUND(G347*NOTAS!$B$3,0)</f>
        <v>84471</v>
      </c>
      <c r="J347" s="2" t="n">
        <v>2</v>
      </c>
    </row>
    <row r="348">
      <c r="A348" s="2" t="inlineStr">
        <is>
          <t>7700412094</t>
        </is>
      </c>
      <c r="B348" s="2" t="inlineStr"/>
      <c r="C348" s="2" t="inlineStr">
        <is>
          <t>BASE MOTOR DERECHA R-TWINGO 8V</t>
        </is>
      </c>
      <c r="D348" s="2" t="inlineStr">
        <is>
          <t>SBB</t>
        </is>
      </c>
      <c r="E348" s="3" t="n">
        <v>20</v>
      </c>
      <c r="F348" s="4" t="n">
        <v>0.3</v>
      </c>
      <c r="G348" s="5">
        <f>ROUND(E348*(1+F348),2)</f>
        <v>26.00</v>
      </c>
      <c r="H348" s="5">
        <f>ROUND(G348*NOTAS!$B$2,2)</f>
        <v>18754.99</v>
      </c>
      <c r="I348" s="6">
        <f>ROUND(G348*NOTAS!$B$3,0)</f>
        <v>84471</v>
      </c>
      <c r="J348" s="2" t="n">
        <v>2</v>
      </c>
    </row>
    <row r="349">
      <c r="A349" s="2" t="inlineStr">
        <is>
          <t>7700412094</t>
        </is>
      </c>
      <c r="B349" s="2" t="inlineStr"/>
      <c r="C349" s="2" t="inlineStr">
        <is>
          <t>BASE MOTOR DERECHA R-TWINGO 8V</t>
        </is>
      </c>
      <c r="D349" s="2" t="inlineStr">
        <is>
          <t>RENAULT</t>
        </is>
      </c>
      <c r="E349" s="3" t="n">
        <v>25</v>
      </c>
      <c r="F349" s="4" t="n">
        <v>0.3</v>
      </c>
      <c r="G349" s="5">
        <f>ROUND(E349*(1+F349),2)</f>
        <v>32.50</v>
      </c>
      <c r="H349" s="5">
        <f>ROUND(G349*NOTAS!$B$2,2)</f>
        <v>23443.73</v>
      </c>
      <c r="I349" s="6">
        <f>ROUND(G349*NOTAS!$B$3,0)</f>
        <v>105588</v>
      </c>
      <c r="J349" s="2" t="n">
        <v>1</v>
      </c>
    </row>
    <row r="350">
      <c r="A350" s="2" t="inlineStr">
        <is>
          <t>7700412094</t>
        </is>
      </c>
      <c r="B350" s="2" t="inlineStr"/>
      <c r="C350" s="2" t="inlineStr">
        <is>
          <t>BASE MOTOR DERECHA R-TWINGO 8V</t>
        </is>
      </c>
      <c r="D350" s="2" t="inlineStr"/>
      <c r="E350" s="3" t="n">
        <v>20</v>
      </c>
      <c r="F350" s="4" t="n">
        <v>0.3</v>
      </c>
      <c r="G350" s="5">
        <f>ROUND(E350*(1+F350),2)</f>
        <v>26.00</v>
      </c>
      <c r="H350" s="5">
        <f>ROUND(G350*NOTAS!$B$2,2)</f>
        <v>18754.99</v>
      </c>
      <c r="I350" s="6">
        <f>ROUND(G350*NOTAS!$B$3,0)</f>
        <v>84471</v>
      </c>
      <c r="J350" s="2" t="n">
        <v>1</v>
      </c>
    </row>
    <row r="351">
      <c r="A351" s="2" t="inlineStr">
        <is>
          <t>R02064</t>
        </is>
      </c>
      <c r="B351" s="2" t="inlineStr"/>
      <c r="C351" s="2" t="inlineStr">
        <is>
          <t>BASE MOTOR DERECHA R-TWINGO 8V</t>
        </is>
      </c>
      <c r="D351" s="2" t="inlineStr">
        <is>
          <t>KAPARS</t>
        </is>
      </c>
      <c r="E351" s="3" t="n">
        <v>20</v>
      </c>
      <c r="F351" s="4" t="n">
        <v>0.3</v>
      </c>
      <c r="G351" s="5">
        <f>ROUND(E351*(1+F351),2)</f>
        <v>26.00</v>
      </c>
      <c r="H351" s="5">
        <f>ROUND(G351*NOTAS!$B$2,2)</f>
        <v>18754.99</v>
      </c>
      <c r="I351" s="6">
        <f>ROUND(G351*NOTAS!$B$3,0)</f>
        <v>84471</v>
      </c>
      <c r="J351" s="2" t="n">
        <v>1</v>
      </c>
    </row>
    <row r="352">
      <c r="A352" s="2" t="inlineStr">
        <is>
          <t>WC70831</t>
        </is>
      </c>
      <c r="B352" s="2" t="inlineStr"/>
      <c r="C352" s="2" t="inlineStr">
        <is>
          <t>BASE MOTOR DERECHA SPARK</t>
        </is>
      </c>
      <c r="D352" s="2" t="inlineStr">
        <is>
          <t>REALDUN</t>
        </is>
      </c>
      <c r="E352" s="3" t="n">
        <v>15</v>
      </c>
      <c r="F352" s="4" t="n">
        <v>0.3</v>
      </c>
      <c r="G352" s="5">
        <f>ROUND(E352*(1+F352),2)</f>
        <v>19.50</v>
      </c>
      <c r="H352" s="5">
        <f>ROUND(G352*NOTAS!$B$2,2)</f>
        <v>14066.24</v>
      </c>
      <c r="I352" s="6">
        <f>ROUND(G352*NOTAS!$B$3,0)</f>
        <v>63353</v>
      </c>
      <c r="J352" s="2" t="n">
        <v>1</v>
      </c>
    </row>
    <row r="353">
      <c r="A353" s="2" t="inlineStr">
        <is>
          <t>1043</t>
        </is>
      </c>
      <c r="B353" s="2" t="inlineStr"/>
      <c r="C353" s="2" t="inlineStr">
        <is>
          <t>BASE MOTOR F-REGATA 2.0</t>
        </is>
      </c>
      <c r="D353" s="2" t="inlineStr">
        <is>
          <t>SAMPEL</t>
        </is>
      </c>
      <c r="E353" s="3" t="n">
        <v>15</v>
      </c>
      <c r="F353" s="4" t="n">
        <v>0.3</v>
      </c>
      <c r="G353" s="5">
        <f>ROUND(E353*(1+F353),2)</f>
        <v>19.50</v>
      </c>
      <c r="H353" s="5">
        <f>ROUND(G353*NOTAS!$B$2,2)</f>
        <v>14066.24</v>
      </c>
      <c r="I353" s="6">
        <f>ROUND(G353*NOTAS!$B$3,0)</f>
        <v>63353</v>
      </c>
      <c r="J353" s="2" t="n">
        <v>3</v>
      </c>
    </row>
    <row r="354">
      <c r="A354" s="2" t="inlineStr">
        <is>
          <t>3133</t>
        </is>
      </c>
      <c r="B354" s="2" t="inlineStr"/>
      <c r="C354" s="2" t="inlineStr">
        <is>
          <t>BASE MOTOR FRONTAL MONTANA/MERIVA</t>
        </is>
      </c>
      <c r="D354" s="2" t="inlineStr">
        <is>
          <t>SAMPEL</t>
        </is>
      </c>
      <c r="E354" s="3" t="n">
        <v>20</v>
      </c>
      <c r="F354" s="4" t="n">
        <v>0.3</v>
      </c>
      <c r="G354" s="5">
        <f>ROUND(E354*(1+F354),2)</f>
        <v>26.00</v>
      </c>
      <c r="H354" s="5">
        <f>ROUND(G354*NOTAS!$B$2,2)</f>
        <v>18754.99</v>
      </c>
      <c r="I354" s="6">
        <f>ROUND(G354*NOTAS!$B$3,0)</f>
        <v>84471</v>
      </c>
      <c r="J354" s="2" t="n">
        <v>1</v>
      </c>
    </row>
    <row r="355">
      <c r="A355" s="2" t="inlineStr">
        <is>
          <t>1028</t>
        </is>
      </c>
      <c r="B355" s="2" t="inlineStr"/>
      <c r="C355" s="2" t="inlineStr">
        <is>
          <t>BASE MOTOR F-UNO/PREMIO</t>
        </is>
      </c>
      <c r="D355" s="2" t="inlineStr">
        <is>
          <t>SAMPEL</t>
        </is>
      </c>
      <c r="E355" s="3" t="n">
        <v>9</v>
      </c>
      <c r="F355" s="4" t="n">
        <v>0.3</v>
      </c>
      <c r="G355" s="5">
        <f>ROUND(E355*(1+F355),2)</f>
        <v>11.70</v>
      </c>
      <c r="H355" s="5">
        <f>ROUND(G355*NOTAS!$B$2,2)</f>
        <v>8439.74</v>
      </c>
      <c r="I355" s="6">
        <f>ROUND(G355*NOTAS!$B$3,0)</f>
        <v>38012</v>
      </c>
      <c r="J355" s="2" t="n">
        <v>5</v>
      </c>
    </row>
    <row r="356">
      <c r="A356" s="2" t="inlineStr">
        <is>
          <t>1034</t>
        </is>
      </c>
      <c r="B356" s="2" t="inlineStr"/>
      <c r="C356" s="2" t="inlineStr">
        <is>
          <t>BASE MOTOR F-UNO/PREMIO</t>
        </is>
      </c>
      <c r="D356" s="2" t="inlineStr">
        <is>
          <t>SAMPEL</t>
        </is>
      </c>
      <c r="E356" s="3" t="n">
        <v>9</v>
      </c>
      <c r="F356" s="4" t="n">
        <v>0.3</v>
      </c>
      <c r="G356" s="5">
        <f>ROUND(E356*(1+F356),2)</f>
        <v>11.70</v>
      </c>
      <c r="H356" s="5">
        <f>ROUND(G356*NOTAS!$B$2,2)</f>
        <v>8439.74</v>
      </c>
      <c r="I356" s="6">
        <f>ROUND(G356*NOTAS!$B$3,0)</f>
        <v>38012</v>
      </c>
      <c r="J356" s="2" t="n">
        <v>11</v>
      </c>
    </row>
    <row r="357">
      <c r="A357" s="2" t="inlineStr">
        <is>
          <t>C10413</t>
        </is>
      </c>
      <c r="B357" s="2" t="inlineStr"/>
      <c r="C357" s="2" t="inlineStr">
        <is>
          <t>BASE MOTOR INFERIOR DERECHA HUESITO OPTRA</t>
        </is>
      </c>
      <c r="D357" s="2" t="inlineStr">
        <is>
          <t>KAPARS</t>
        </is>
      </c>
      <c r="E357" s="3" t="n">
        <v>15</v>
      </c>
      <c r="F357" s="4" t="n">
        <v>0.3</v>
      </c>
      <c r="G357" s="5">
        <f>ROUND(E357*(1+F357),2)</f>
        <v>19.50</v>
      </c>
      <c r="H357" s="5">
        <f>ROUND(G357*NOTAS!$B$2,2)</f>
        <v>14066.24</v>
      </c>
      <c r="I357" s="6">
        <f>ROUND(G357*NOTAS!$B$3,0)</f>
        <v>63353</v>
      </c>
      <c r="J357" s="2" t="n">
        <v>1</v>
      </c>
    </row>
    <row r="358">
      <c r="A358" s="2" t="inlineStr">
        <is>
          <t>5229</t>
        </is>
      </c>
      <c r="B358" s="2" t="inlineStr"/>
      <c r="C358" s="2" t="inlineStr">
        <is>
          <t>BASE MOTOR IZQUIERDA R-18/FUEGO</t>
        </is>
      </c>
      <c r="D358" s="2" t="inlineStr">
        <is>
          <t>ORIGINAL BIRTH</t>
        </is>
      </c>
      <c r="E358" s="3" t="n">
        <v>5</v>
      </c>
      <c r="F358" s="4" t="n">
        <v>0.3</v>
      </c>
      <c r="G358" s="5">
        <f>ROUND(E358*(1+F358),2)</f>
        <v>6.50</v>
      </c>
      <c r="H358" s="5">
        <f>ROUND(G358*NOTAS!$B$2,2)</f>
        <v>4688.75</v>
      </c>
      <c r="I358" s="6">
        <f>ROUND(G358*NOTAS!$B$3,0)</f>
        <v>21118</v>
      </c>
      <c r="J358" s="2" t="n">
        <v>2</v>
      </c>
    </row>
    <row r="359">
      <c r="A359" s="2" t="inlineStr">
        <is>
          <t>7700769719-2</t>
        </is>
      </c>
      <c r="B359" s="2" t="inlineStr"/>
      <c r="C359" s="2" t="inlineStr">
        <is>
          <t>BASE MOTOR IZQUIERDA R-21</t>
        </is>
      </c>
      <c r="D359" s="2" t="inlineStr">
        <is>
          <t>SKP</t>
        </is>
      </c>
      <c r="E359" s="3" t="n">
        <v>15</v>
      </c>
      <c r="F359" s="4" t="n">
        <v>0.3</v>
      </c>
      <c r="G359" s="5">
        <f>ROUND(E359*(1+F359),2)</f>
        <v>19.50</v>
      </c>
      <c r="H359" s="5">
        <f>ROUND(G359*NOTAS!$B$2,2)</f>
        <v>14066.24</v>
      </c>
      <c r="I359" s="6">
        <f>ROUND(G359*NOTAS!$B$3,0)</f>
        <v>63353</v>
      </c>
      <c r="J359" s="2" t="n">
        <v>2</v>
      </c>
    </row>
    <row r="360">
      <c r="A360" s="2" t="inlineStr">
        <is>
          <t>7700769719</t>
        </is>
      </c>
      <c r="B360" s="2" t="inlineStr"/>
      <c r="C360" s="2" t="inlineStr">
        <is>
          <t>BASE MOTOR IZQUIERDA R-21</t>
        </is>
      </c>
      <c r="D360" s="2" t="inlineStr">
        <is>
          <t>SBB</t>
        </is>
      </c>
      <c r="E360" s="3" t="n">
        <v>15</v>
      </c>
      <c r="F360" s="4" t="n">
        <v>0.3</v>
      </c>
      <c r="G360" s="5">
        <f>ROUND(E360*(1+F360),2)</f>
        <v>19.50</v>
      </c>
      <c r="H360" s="5">
        <f>ROUND(G360*NOTAS!$B$2,2)</f>
        <v>14066.24</v>
      </c>
      <c r="I360" s="6">
        <f>ROUND(G360*NOTAS!$B$3,0)</f>
        <v>63353</v>
      </c>
      <c r="J360" s="2" t="n">
        <v>2</v>
      </c>
    </row>
    <row r="361">
      <c r="A361" s="2" t="inlineStr">
        <is>
          <t>R05013</t>
        </is>
      </c>
      <c r="B361" s="2" t="inlineStr"/>
      <c r="C361" s="2" t="inlineStr">
        <is>
          <t>BASE MOTOR IZQUIERDA R-21</t>
        </is>
      </c>
      <c r="D361" s="2" t="inlineStr">
        <is>
          <t>TAKSIM GROUP</t>
        </is>
      </c>
      <c r="E361" s="3" t="n">
        <v>15</v>
      </c>
      <c r="F361" s="4" t="n">
        <v>0.3</v>
      </c>
      <c r="G361" s="5">
        <f>ROUND(E361*(1+F361),2)</f>
        <v>19.50</v>
      </c>
      <c r="H361" s="5">
        <f>ROUND(G361*NOTAS!$B$2,2)</f>
        <v>14066.24</v>
      </c>
      <c r="I361" s="6">
        <f>ROUND(G361*NOTAS!$B$3,0)</f>
        <v>63353</v>
      </c>
      <c r="J361" s="2" t="n">
        <v>1</v>
      </c>
    </row>
    <row r="362">
      <c r="A362" s="2" t="inlineStr">
        <is>
          <t>7711101</t>
        </is>
      </c>
      <c r="B362" s="2" t="inlineStr"/>
      <c r="C362" s="2" t="inlineStr">
        <is>
          <t>BASE MOTOR IZQUIERDA R-5</t>
        </is>
      </c>
      <c r="D362" s="2" t="inlineStr">
        <is>
          <t>SANFOR</t>
        </is>
      </c>
      <c r="E362" s="3" t="n">
        <v>4</v>
      </c>
      <c r="F362" s="4" t="n">
        <v>0.3</v>
      </c>
      <c r="G362" s="5">
        <f>ROUND(E362*(1+F362),2)</f>
        <v>5.20</v>
      </c>
      <c r="H362" s="5">
        <f>ROUND(G362*NOTAS!$B$2,2)</f>
        <v>3751.00</v>
      </c>
      <c r="I362" s="6">
        <f>ROUND(G362*NOTAS!$B$3,0)</f>
        <v>16894</v>
      </c>
      <c r="J362" s="2" t="n">
        <v>13</v>
      </c>
    </row>
    <row r="363">
      <c r="A363" s="2" t="inlineStr"/>
      <c r="B363" s="2" t="inlineStr"/>
      <c r="C363" s="2" t="inlineStr">
        <is>
          <t>BASE MOTOR R-12</t>
        </is>
      </c>
      <c r="D363" s="2" t="inlineStr">
        <is>
          <t>HERNOL</t>
        </is>
      </c>
      <c r="E363" s="3" t="n">
        <v>5</v>
      </c>
      <c r="F363" s="4" t="n">
        <v>0.3</v>
      </c>
      <c r="G363" s="5">
        <f>ROUND(E363*(1+F363),2)</f>
        <v>6.50</v>
      </c>
      <c r="H363" s="5">
        <f>ROUND(G363*NOTAS!$B$2,2)</f>
        <v>4688.75</v>
      </c>
      <c r="I363" s="6">
        <f>ROUND(G363*NOTAS!$B$3,0)</f>
        <v>21118</v>
      </c>
      <c r="J363" s="2" t="n">
        <v>5</v>
      </c>
    </row>
    <row r="364">
      <c r="A364" s="2" t="inlineStr">
        <is>
          <t>96221086</t>
        </is>
      </c>
      <c r="B364" s="2" t="inlineStr"/>
      <c r="C364" s="2" t="inlineStr">
        <is>
          <t>BASE SOPORTE CAJA CENTRAL HIERRO CIELO</t>
        </is>
      </c>
      <c r="D364" s="2" t="inlineStr">
        <is>
          <t>GM</t>
        </is>
      </c>
      <c r="E364" s="3" t="n">
        <v>10</v>
      </c>
      <c r="F364" s="4" t="n">
        <v>0.3</v>
      </c>
      <c r="G364" s="5">
        <f>ROUND(E364*(1+F364),2)</f>
        <v>13.00</v>
      </c>
      <c r="H364" s="5">
        <f>ROUND(G364*NOTAS!$B$2,2)</f>
        <v>9377.49</v>
      </c>
      <c r="I364" s="6">
        <f>ROUND(G364*NOTAS!$B$3,0)</f>
        <v>42235</v>
      </c>
      <c r="J364" s="2" t="n">
        <v>1</v>
      </c>
    </row>
    <row r="365">
      <c r="A365" s="2" t="inlineStr">
        <is>
          <t>90388425</t>
        </is>
      </c>
      <c r="B365" s="2" t="inlineStr"/>
      <c r="C365" s="2" t="inlineStr">
        <is>
          <t>BASE SOPORTE DERECHA PARACHOQUE CORSA METAL</t>
        </is>
      </c>
      <c r="D365" s="2" t="inlineStr">
        <is>
          <t>BRAZIL</t>
        </is>
      </c>
      <c r="E365" s="3" t="n">
        <v>10</v>
      </c>
      <c r="F365" s="4" t="n">
        <v>0.3</v>
      </c>
      <c r="G365" s="5">
        <f>ROUND(E365*(1+F365),2)</f>
        <v>13.00</v>
      </c>
      <c r="H365" s="5">
        <f>ROUND(G365*NOTAS!$B$2,2)</f>
        <v>9377.49</v>
      </c>
      <c r="I365" s="6">
        <f>ROUND(G365*NOTAS!$B$3,0)</f>
        <v>42235</v>
      </c>
      <c r="J365" s="2" t="n">
        <v>3</v>
      </c>
    </row>
    <row r="366">
      <c r="A366" s="2" t="inlineStr">
        <is>
          <t>93297010</t>
        </is>
      </c>
      <c r="B366" s="2" t="inlineStr"/>
      <c r="C366" s="2" t="inlineStr">
        <is>
          <t>BASE SOPORTE DERECHA PARACHOQUE CORSA PLASTICA</t>
        </is>
      </c>
      <c r="D366" s="2" t="inlineStr">
        <is>
          <t>GM</t>
        </is>
      </c>
      <c r="E366" s="3" t="n">
        <v>10</v>
      </c>
      <c r="F366" s="4" t="n">
        <v>0.3</v>
      </c>
      <c r="G366" s="5">
        <f>ROUND(E366*(1+F366),2)</f>
        <v>13.00</v>
      </c>
      <c r="H366" s="5">
        <f>ROUND(G366*NOTAS!$B$2,2)</f>
        <v>9377.49</v>
      </c>
      <c r="I366" s="6">
        <f>ROUND(G366*NOTAS!$B$3,0)</f>
        <v>42235</v>
      </c>
      <c r="J366" s="2" t="n">
        <v>2</v>
      </c>
    </row>
    <row r="367">
      <c r="A367" s="2" t="inlineStr">
        <is>
          <t>90388423</t>
        </is>
      </c>
      <c r="B367" s="2" t="inlineStr"/>
      <c r="C367" s="2" t="inlineStr">
        <is>
          <t>BASE SOPORTE IZQUIERDA PARACHOQUE CORSA METAL</t>
        </is>
      </c>
      <c r="D367" s="2" t="inlineStr">
        <is>
          <t>BRAZIL</t>
        </is>
      </c>
      <c r="E367" s="3" t="n">
        <v>10</v>
      </c>
      <c r="F367" s="4" t="n">
        <v>0.3</v>
      </c>
      <c r="G367" s="5">
        <f>ROUND(E367*(1+F367),2)</f>
        <v>13.00</v>
      </c>
      <c r="H367" s="5">
        <f>ROUND(G367*NOTAS!$B$2,2)</f>
        <v>9377.49</v>
      </c>
      <c r="I367" s="6">
        <f>ROUND(G367*NOTAS!$B$3,0)</f>
        <v>42235</v>
      </c>
      <c r="J367" s="2" t="n">
        <v>2</v>
      </c>
    </row>
    <row r="368">
      <c r="A368" s="2" t="inlineStr">
        <is>
          <t>93297009</t>
        </is>
      </c>
      <c r="B368" s="2" t="inlineStr"/>
      <c r="C368" s="2" t="inlineStr">
        <is>
          <t>BASE SOPORTE IZQUIERDA PARACHOQUE CORSA PLASTICA</t>
        </is>
      </c>
      <c r="D368" s="2" t="inlineStr">
        <is>
          <t>GM</t>
        </is>
      </c>
      <c r="E368" s="3" t="n">
        <v>10</v>
      </c>
      <c r="F368" s="4" t="n">
        <v>0.3</v>
      </c>
      <c r="G368" s="5">
        <f>ROUND(E368*(1+F368),2)</f>
        <v>13.00</v>
      </c>
      <c r="H368" s="5">
        <f>ROUND(G368*NOTAS!$B$2,2)</f>
        <v>9377.49</v>
      </c>
      <c r="I368" s="6">
        <f>ROUND(G368*NOTAS!$B$3,0)</f>
        <v>42235</v>
      </c>
      <c r="J368" s="2" t="n">
        <v>1</v>
      </c>
    </row>
    <row r="369">
      <c r="A369" s="2" t="inlineStr">
        <is>
          <t>96078088</t>
        </is>
      </c>
      <c r="B369" s="2" t="inlineStr"/>
      <c r="C369" s="2" t="inlineStr">
        <is>
          <t>BASE SOPORTE MOTOR ALUMINIO DERECHO CIELO</t>
        </is>
      </c>
      <c r="D369" s="2" t="inlineStr">
        <is>
          <t>KOREA</t>
        </is>
      </c>
      <c r="E369" s="3" t="n">
        <v>5</v>
      </c>
      <c r="F369" s="4" t="n">
        <v>0.3</v>
      </c>
      <c r="G369" s="5">
        <f>ROUND(E369*(1+F369),2)</f>
        <v>6.50</v>
      </c>
      <c r="H369" s="5">
        <f>ROUND(G369*NOTAS!$B$2,2)</f>
        <v>4688.75</v>
      </c>
      <c r="I369" s="6">
        <f>ROUND(G369*NOTAS!$B$3,0)</f>
        <v>21118</v>
      </c>
      <c r="J369" s="2" t="n">
        <v>1</v>
      </c>
    </row>
    <row r="370">
      <c r="A370" s="2" t="inlineStr">
        <is>
          <t>96181134</t>
        </is>
      </c>
      <c r="B370" s="2" t="inlineStr"/>
      <c r="C370" s="2" t="inlineStr">
        <is>
          <t>BASE SOPORTE MOTOR ALUMINIO DERECHO CIELO</t>
        </is>
      </c>
      <c r="D370" s="2" t="inlineStr">
        <is>
          <t>GM</t>
        </is>
      </c>
      <c r="E370" s="3" t="n">
        <v>5</v>
      </c>
      <c r="F370" s="4" t="n">
        <v>0.3</v>
      </c>
      <c r="G370" s="5">
        <f>ROUND(E370*(1+F370),2)</f>
        <v>6.50</v>
      </c>
      <c r="H370" s="5">
        <f>ROUND(G370*NOTAS!$B$2,2)</f>
        <v>4688.75</v>
      </c>
      <c r="I370" s="6">
        <f>ROUND(G370*NOTAS!$B$3,0)</f>
        <v>21118</v>
      </c>
      <c r="J370" s="2" t="n">
        <v>1</v>
      </c>
    </row>
    <row r="371">
      <c r="A371" s="2" t="inlineStr">
        <is>
          <t>90448947</t>
        </is>
      </c>
      <c r="B371" s="2" t="inlineStr"/>
      <c r="C371" s="2" t="inlineStr">
        <is>
          <t>BASE SOPORTE RADIADOR DERECHA ALUMINIO CORSA</t>
        </is>
      </c>
      <c r="D371" s="2" t="inlineStr">
        <is>
          <t>GM</t>
        </is>
      </c>
      <c r="E371" s="3" t="n">
        <v>3</v>
      </c>
      <c r="F371" s="4" t="n">
        <v>0.3</v>
      </c>
      <c r="G371" s="5">
        <f>ROUND(E371*(1+F371),2)</f>
        <v>3.90</v>
      </c>
      <c r="H371" s="5">
        <f>ROUND(G371*NOTAS!$B$2,2)</f>
        <v>2813.25</v>
      </c>
      <c r="I371" s="6">
        <f>ROUND(G371*NOTAS!$B$3,0)</f>
        <v>12671</v>
      </c>
      <c r="J371" s="2" t="n">
        <v>3</v>
      </c>
    </row>
    <row r="372">
      <c r="A372" s="2" t="inlineStr">
        <is>
          <t>1010127</t>
        </is>
      </c>
      <c r="B372" s="2" t="inlineStr">
        <is>
          <t>96FB3W015BB</t>
        </is>
      </c>
      <c r="C372" s="2" t="inlineStr">
        <is>
          <t>BASE TOPE AMORTIGUADOR DELANTERO FIESTA …/03-KA</t>
        </is>
      </c>
      <c r="D372" s="2" t="inlineStr">
        <is>
          <t>FORD</t>
        </is>
      </c>
      <c r="E372" s="3" t="n">
        <v>10</v>
      </c>
      <c r="F372" s="4" t="n">
        <v>0.3</v>
      </c>
      <c r="G372" s="5">
        <f>ROUND(E372*(1+F372),2)</f>
        <v>13.00</v>
      </c>
      <c r="H372" s="5">
        <f>ROUND(G372*NOTAS!$B$2,2)</f>
        <v>9377.49</v>
      </c>
      <c r="I372" s="6">
        <f>ROUND(G372*NOTAS!$B$3,0)</f>
        <v>42235</v>
      </c>
      <c r="J372" s="2" t="n">
        <v>8</v>
      </c>
    </row>
    <row r="373">
      <c r="A373" s="2" t="inlineStr">
        <is>
          <t>3761</t>
        </is>
      </c>
      <c r="B373" s="2" t="inlineStr"/>
      <c r="C373" s="2" t="inlineStr">
        <is>
          <t xml:space="preserve">BASE TRASERA CAJA IZQUIERDA MOZA </t>
        </is>
      </c>
      <c r="D373" s="2" t="inlineStr">
        <is>
          <t>SAMPEL</t>
        </is>
      </c>
      <c r="E373" s="3" t="n">
        <v>5.5</v>
      </c>
      <c r="F373" s="4" t="n">
        <v>0.3</v>
      </c>
      <c r="G373" s="5">
        <f>ROUND(E373*(1+F373),2)</f>
        <v>7.15</v>
      </c>
      <c r="H373" s="5">
        <f>ROUND(G373*NOTAS!$B$2,2)</f>
        <v>5157.62</v>
      </c>
      <c r="I373" s="6">
        <f>ROUND(G373*NOTAS!$B$3,0)</f>
        <v>23229</v>
      </c>
      <c r="J373" s="2" t="n">
        <v>2</v>
      </c>
    </row>
    <row r="374">
      <c r="A374" s="2" t="inlineStr">
        <is>
          <t>175</t>
        </is>
      </c>
      <c r="B374" s="2" t="inlineStr"/>
      <c r="C374" s="2" t="inlineStr">
        <is>
          <t xml:space="preserve">BASE TRASERA CAJA IZQUIERDA MOZA </t>
        </is>
      </c>
      <c r="D374" s="2" t="inlineStr">
        <is>
          <t>MOBENSANI</t>
        </is>
      </c>
      <c r="E374" s="3" t="n">
        <v>5.5</v>
      </c>
      <c r="F374" s="4" t="n">
        <v>0.3</v>
      </c>
      <c r="G374" s="5">
        <f>ROUND(E374*(1+F374),2)</f>
        <v>7.15</v>
      </c>
      <c r="H374" s="5">
        <f>ROUND(G374*NOTAS!$B$2,2)</f>
        <v>5157.62</v>
      </c>
      <c r="I374" s="6">
        <f>ROUND(G374*NOTAS!$B$3,0)</f>
        <v>23229</v>
      </c>
      <c r="J374" s="2" t="n">
        <v>1</v>
      </c>
    </row>
    <row r="375">
      <c r="A375" s="2" t="inlineStr"/>
      <c r="B375" s="2" t="inlineStr"/>
      <c r="C375" s="2" t="inlineStr">
        <is>
          <t xml:space="preserve">BASE TRASERA CAJA IZQUIERDA MOZA </t>
        </is>
      </c>
      <c r="D375" s="2" t="inlineStr">
        <is>
          <t>BRX</t>
        </is>
      </c>
      <c r="E375" s="3" t="n">
        <v>5.5</v>
      </c>
      <c r="F375" s="4" t="n">
        <v>0.3</v>
      </c>
      <c r="G375" s="5">
        <f>ROUND(E375*(1+F375),2)</f>
        <v>7.15</v>
      </c>
      <c r="H375" s="5">
        <f>ROUND(G375*NOTAS!$B$2,2)</f>
        <v>5157.62</v>
      </c>
      <c r="I375" s="6">
        <f>ROUND(G375*NOTAS!$B$3,0)</f>
        <v>23229</v>
      </c>
      <c r="J375" s="2" t="n">
        <v>3</v>
      </c>
    </row>
    <row r="376">
      <c r="A376" s="2" t="inlineStr">
        <is>
          <t>4191524</t>
        </is>
      </c>
      <c r="B376" s="2" t="inlineStr"/>
      <c r="C376" s="2" t="inlineStr">
        <is>
          <t>BASE VALLESTA F-147/UNO</t>
        </is>
      </c>
      <c r="D376" s="2" t="inlineStr">
        <is>
          <t>SANFOR</t>
        </is>
      </c>
      <c r="E376" s="3" t="n">
        <v>3</v>
      </c>
      <c r="F376" s="4" t="n">
        <v>0.3</v>
      </c>
      <c r="G376" s="5">
        <f>ROUND(E376*(1+F376),2)</f>
        <v>3.90</v>
      </c>
      <c r="H376" s="5">
        <f>ROUND(G376*NOTAS!$B$2,2)</f>
        <v>2813.25</v>
      </c>
      <c r="I376" s="6">
        <f>ROUND(G376*NOTAS!$B$3,0)</f>
        <v>12671</v>
      </c>
      <c r="J376" s="2" t="n">
        <v>4</v>
      </c>
    </row>
    <row r="377">
      <c r="A377" s="2" t="inlineStr">
        <is>
          <t>90247253</t>
        </is>
      </c>
      <c r="B377" s="2" t="inlineStr"/>
      <c r="C377" s="2" t="inlineStr">
        <is>
          <t>BASE VARILLA CAPOT DESCANSO CORSA/OPTRA/AVEO/SPARK</t>
        </is>
      </c>
      <c r="D377" s="2" t="inlineStr">
        <is>
          <t>KOREA</t>
        </is>
      </c>
      <c r="E377" s="3" t="n">
        <v>1</v>
      </c>
      <c r="F377" s="4" t="n">
        <v>0.3</v>
      </c>
      <c r="G377" s="5">
        <f>ROUND(E377*(1+F377),2)</f>
        <v>1.30</v>
      </c>
      <c r="H377" s="5">
        <f>ROUND(G377*NOTAS!$B$2,2)</f>
        <v>937.75</v>
      </c>
      <c r="I377" s="6">
        <f>ROUND(G377*NOTAS!$B$3,0)</f>
        <v>4224</v>
      </c>
      <c r="J377" s="2" t="n">
        <v>10</v>
      </c>
    </row>
    <row r="378">
      <c r="A378" s="2" t="inlineStr"/>
      <c r="B378" s="2" t="inlineStr"/>
      <c r="C378" s="2" t="inlineStr">
        <is>
          <t>BENDIX  F-REGATA 11DIENTES</t>
        </is>
      </c>
      <c r="D378" s="2" t="inlineStr">
        <is>
          <t>ZEN</t>
        </is>
      </c>
      <c r="E378" s="3" t="n">
        <v>13.8462</v>
      </c>
      <c r="F378" s="4" t="n">
        <v>0.3</v>
      </c>
      <c r="G378" s="5">
        <f>ROUND(E378*(1+F378),2)</f>
        <v>18.00</v>
      </c>
      <c r="H378" s="5">
        <f>ROUND(G378*NOTAS!$B$2,2)</f>
        <v>12984.22</v>
      </c>
      <c r="I378" s="6">
        <f>ROUND(G378*NOTAS!$B$3,0)</f>
        <v>58480</v>
      </c>
      <c r="J378" s="2" t="n">
        <v>1</v>
      </c>
    </row>
    <row r="379">
      <c r="A379" s="2" t="inlineStr"/>
      <c r="B379" s="2" t="inlineStr"/>
      <c r="C379" s="2" t="inlineStr">
        <is>
          <t>BENDIX CHEVETTE MONZA CORCEL 9DIENTES</t>
        </is>
      </c>
      <c r="D379" s="2" t="inlineStr"/>
      <c r="E379" s="3" t="n">
        <v>9.2308</v>
      </c>
      <c r="F379" s="4" t="n">
        <v>0.3</v>
      </c>
      <c r="G379" s="5">
        <f>ROUND(E379*(1+F379),2)</f>
        <v>12.00</v>
      </c>
      <c r="H379" s="5">
        <f>ROUND(G379*NOTAS!$B$2,2)</f>
        <v>8656.15</v>
      </c>
      <c r="I379" s="6">
        <f>ROUND(G379*NOTAS!$B$3,0)</f>
        <v>38986</v>
      </c>
      <c r="J379" s="2" t="n">
        <v>1</v>
      </c>
    </row>
    <row r="380">
      <c r="A380" s="2" t="inlineStr">
        <is>
          <t>TMB022</t>
        </is>
      </c>
      <c r="B380" s="2" t="inlineStr"/>
      <c r="C380" s="2" t="inlineStr">
        <is>
          <t>BENDIX CORSA</t>
        </is>
      </c>
      <c r="D380" s="2" t="inlineStr">
        <is>
          <t>DELPHI</t>
        </is>
      </c>
      <c r="E380" s="3" t="n">
        <v>10</v>
      </c>
      <c r="F380" s="4" t="n">
        <v>0.3</v>
      </c>
      <c r="G380" s="5">
        <f>ROUND(E380*(1+F380),2)</f>
        <v>13.00</v>
      </c>
      <c r="H380" s="5">
        <f>ROUND(G380*NOTAS!$B$2,2)</f>
        <v>9377.49</v>
      </c>
      <c r="I380" s="6">
        <f>ROUND(G380*NOTAS!$B$3,0)</f>
        <v>42235</v>
      </c>
      <c r="J380" s="2" t="n">
        <v>1</v>
      </c>
    </row>
    <row r="381">
      <c r="A381" s="2" t="inlineStr">
        <is>
          <t>9001081022</t>
        </is>
      </c>
      <c r="B381" s="2" t="inlineStr"/>
      <c r="C381" s="2" t="inlineStr">
        <is>
          <t>BENDIX CORSA</t>
        </is>
      </c>
      <c r="D381" s="2" t="inlineStr">
        <is>
          <t>BOSCH</t>
        </is>
      </c>
      <c r="E381" s="3" t="n">
        <v>10</v>
      </c>
      <c r="F381" s="4" t="n">
        <v>0.3</v>
      </c>
      <c r="G381" s="5">
        <f>ROUND(E381*(1+F381),2)</f>
        <v>13.00</v>
      </c>
      <c r="H381" s="5">
        <f>ROUND(G381*NOTAS!$B$2,2)</f>
        <v>9377.49</v>
      </c>
      <c r="I381" s="6">
        <f>ROUND(G381*NOTAS!$B$3,0)</f>
        <v>42235</v>
      </c>
      <c r="J381" s="2" t="n">
        <v>1</v>
      </c>
    </row>
    <row r="382">
      <c r="A382" s="2" t="inlineStr">
        <is>
          <t>837</t>
        </is>
      </c>
      <c r="B382" s="2" t="inlineStr"/>
      <c r="C382" s="2" t="inlineStr">
        <is>
          <t>BENDIX CORSA</t>
        </is>
      </c>
      <c r="D382" s="2" t="inlineStr">
        <is>
          <t>ZEN</t>
        </is>
      </c>
      <c r="E382" s="3" t="n">
        <v>10</v>
      </c>
      <c r="F382" s="4" t="n">
        <v>0.3</v>
      </c>
      <c r="G382" s="5">
        <f>ROUND(E382*(1+F382),2)</f>
        <v>13.00</v>
      </c>
      <c r="H382" s="5">
        <f>ROUND(G382*NOTAS!$B$2,2)</f>
        <v>9377.49</v>
      </c>
      <c r="I382" s="6">
        <f>ROUND(G382*NOTAS!$B$3,0)</f>
        <v>42235</v>
      </c>
      <c r="J382" s="2" t="n">
        <v>2</v>
      </c>
    </row>
    <row r="383">
      <c r="A383" s="2" t="inlineStr">
        <is>
          <t>29-54-37</t>
        </is>
      </c>
      <c r="B383" s="2" t="inlineStr"/>
      <c r="C383" s="2" t="inlineStr">
        <is>
          <t>BENDIX LADA SAMARA  11DIENTES</t>
        </is>
      </c>
      <c r="D383" s="2" t="inlineStr">
        <is>
          <t>ITALY</t>
        </is>
      </c>
      <c r="E383" s="3" t="n">
        <v>13.8462</v>
      </c>
      <c r="F383" s="4" t="n">
        <v>0.3</v>
      </c>
      <c r="G383" s="5">
        <f>ROUND(E383*(1+F383),2)</f>
        <v>18.00</v>
      </c>
      <c r="H383" s="5">
        <f>ROUND(G383*NOTAS!$B$2,2)</f>
        <v>12984.22</v>
      </c>
      <c r="I383" s="6">
        <f>ROUND(G383*NOTAS!$B$3,0)</f>
        <v>58480</v>
      </c>
      <c r="J383" s="2" t="n">
        <v>1</v>
      </c>
    </row>
    <row r="384">
      <c r="A384" s="2" t="inlineStr">
        <is>
          <t>100248</t>
        </is>
      </c>
      <c r="B384" s="2" t="inlineStr"/>
      <c r="C384" s="2" t="inlineStr">
        <is>
          <t>BENDIX R-19 9DIENTES</t>
        </is>
      </c>
      <c r="D384" s="2" t="inlineStr">
        <is>
          <t>VULKO</t>
        </is>
      </c>
      <c r="E384" s="3" t="n">
        <v>9.2308</v>
      </c>
      <c r="F384" s="4" t="n">
        <v>0.3</v>
      </c>
      <c r="G384" s="5">
        <f>ROUND(E384*(1+F384),2)</f>
        <v>12.00</v>
      </c>
      <c r="H384" s="5">
        <f>ROUND(G384*NOTAS!$B$2,2)</f>
        <v>8656.15</v>
      </c>
      <c r="I384" s="6">
        <f>ROUND(G384*NOTAS!$B$3,0)</f>
        <v>38986</v>
      </c>
      <c r="J384" s="2" t="n">
        <v>4</v>
      </c>
    </row>
    <row r="385">
      <c r="A385" s="2" t="inlineStr">
        <is>
          <t>100244</t>
        </is>
      </c>
      <c r="B385" s="2" t="inlineStr"/>
      <c r="C385" s="2" t="inlineStr">
        <is>
          <t>BENDIX RENAULT 9DIENTES</t>
        </is>
      </c>
      <c r="D385" s="2" t="inlineStr">
        <is>
          <t>NEXT</t>
        </is>
      </c>
      <c r="E385" s="3" t="n">
        <v>9.2308</v>
      </c>
      <c r="F385" s="4" t="n">
        <v>0.3</v>
      </c>
      <c r="G385" s="5">
        <f>ROUND(E385*(1+F385),2)</f>
        <v>12.00</v>
      </c>
      <c r="H385" s="5">
        <f>ROUND(G385*NOTAS!$B$2,2)</f>
        <v>8656.15</v>
      </c>
      <c r="I385" s="6">
        <f>ROUND(G385*NOTAS!$B$3,0)</f>
        <v>38986</v>
      </c>
      <c r="J385" s="2" t="n">
        <v>2</v>
      </c>
    </row>
    <row r="386">
      <c r="A386" s="2" t="inlineStr">
        <is>
          <t>M94580740</t>
        </is>
      </c>
      <c r="B386" s="2" t="inlineStr"/>
      <c r="C386" s="2" t="inlineStr">
        <is>
          <t>BIELA MOTOR CIELO</t>
        </is>
      </c>
      <c r="D386" s="2" t="inlineStr">
        <is>
          <t>KOREA</t>
        </is>
      </c>
      <c r="E386" s="3" t="n">
        <v>50</v>
      </c>
      <c r="F386" s="4" t="n">
        <v>0.3</v>
      </c>
      <c r="G386" s="5">
        <f>ROUND(E386*(1+F386),2)</f>
        <v>65.00</v>
      </c>
      <c r="H386" s="5">
        <f>ROUND(G386*NOTAS!$B$2,2)</f>
        <v>46887.46</v>
      </c>
      <c r="I386" s="6">
        <f>ROUND(G386*NOTAS!$B$3,0)</f>
        <v>211177</v>
      </c>
      <c r="J386" s="2" t="n">
        <v>2</v>
      </c>
    </row>
    <row r="387">
      <c r="A387" s="2" t="inlineStr">
        <is>
          <t>93325128</t>
        </is>
      </c>
      <c r="B387" s="2" t="inlineStr"/>
      <c r="C387" s="2" t="inlineStr">
        <is>
          <t>BIELA MOTOR CORSA</t>
        </is>
      </c>
      <c r="D387" s="2" t="inlineStr">
        <is>
          <t>GM</t>
        </is>
      </c>
      <c r="E387" s="3" t="n">
        <v>53.8462</v>
      </c>
      <c r="F387" s="4" t="n">
        <v>0.3</v>
      </c>
      <c r="G387" s="5">
        <f>ROUND(E387*(1+F387),2)</f>
        <v>70.00</v>
      </c>
      <c r="H387" s="5">
        <f>ROUND(G387*NOTAS!$B$2,2)</f>
        <v>50494.19</v>
      </c>
      <c r="I387" s="6">
        <f>ROUND(G387*NOTAS!$B$3,0)</f>
        <v>227421</v>
      </c>
      <c r="J387" s="2" t="n">
        <v>5</v>
      </c>
    </row>
    <row r="388">
      <c r="A388" s="2" t="inlineStr">
        <is>
          <t>S21-2906030-S03</t>
        </is>
      </c>
      <c r="B388" s="2" t="inlineStr"/>
      <c r="C388" s="2" t="inlineStr">
        <is>
          <t>BIELETA BARRA ESTABILIZADORA  ARAUCA/X1</t>
        </is>
      </c>
      <c r="D388" s="2" t="inlineStr">
        <is>
          <t>JOINT</t>
        </is>
      </c>
      <c r="E388" s="3" t="n">
        <v>5</v>
      </c>
      <c r="F388" s="4" t="n">
        <v>0.3</v>
      </c>
      <c r="G388" s="5">
        <f>ROUND(E388*(1+F388),2)</f>
        <v>6.50</v>
      </c>
      <c r="H388" s="5">
        <f>ROUND(G388*NOTAS!$B$2,2)</f>
        <v>4688.75</v>
      </c>
      <c r="I388" s="6">
        <f>ROUND(G388*NOTAS!$B$3,0)</f>
        <v>21118</v>
      </c>
      <c r="J388" s="2" t="n">
        <v>2</v>
      </c>
    </row>
    <row r="389">
      <c r="A389" s="2" t="inlineStr">
        <is>
          <t>P96403100</t>
        </is>
      </c>
      <c r="B389" s="2" t="inlineStr"/>
      <c r="C389" s="2" t="inlineStr">
        <is>
          <t>BIELETA BARRA ESTABILIZADORA  DERECHA OPTRA</t>
        </is>
      </c>
      <c r="D389" s="2" t="inlineStr">
        <is>
          <t>PARTS-MALL</t>
        </is>
      </c>
      <c r="E389" s="3" t="n">
        <v>7.2</v>
      </c>
      <c r="F389" s="4" t="n">
        <v>0.3</v>
      </c>
      <c r="G389" s="5">
        <f>ROUND(E389*(1+F389),2)</f>
        <v>9.36</v>
      </c>
      <c r="H389" s="5">
        <f>ROUND(G389*NOTAS!$B$2,2)</f>
        <v>6751.79</v>
      </c>
      <c r="I389" s="6">
        <f>ROUND(G389*NOTAS!$B$3,0)</f>
        <v>30409</v>
      </c>
      <c r="J389" s="2" t="n">
        <v>4</v>
      </c>
    </row>
    <row r="390">
      <c r="A390" s="2" t="inlineStr">
        <is>
          <t>P96403099</t>
        </is>
      </c>
      <c r="B390" s="2" t="inlineStr"/>
      <c r="C390" s="2" t="inlineStr">
        <is>
          <t>BIELETA BARRA ESTABILIZADORA  IZQUIERDA OPTRA</t>
        </is>
      </c>
      <c r="D390" s="2" t="inlineStr">
        <is>
          <t>PARTS-MALL</t>
        </is>
      </c>
      <c r="E390" s="3" t="n">
        <v>7.2</v>
      </c>
      <c r="F390" s="4" t="n">
        <v>0.3</v>
      </c>
      <c r="G390" s="5">
        <f>ROUND(E390*(1+F390),2)</f>
        <v>9.36</v>
      </c>
      <c r="H390" s="5">
        <f>ROUND(G390*NOTAS!$B$2,2)</f>
        <v>6751.79</v>
      </c>
      <c r="I390" s="6">
        <f>ROUND(G390*NOTAS!$B$3,0)</f>
        <v>30409</v>
      </c>
      <c r="J390" s="2" t="n">
        <v>4</v>
      </c>
    </row>
    <row r="391">
      <c r="A391" s="2" t="inlineStr">
        <is>
          <t>K80000</t>
        </is>
      </c>
      <c r="B391" s="2" t="inlineStr"/>
      <c r="C391" s="2" t="inlineStr">
        <is>
          <t>BIELETA BARRA ESTABILIZADORA  ORINOCO</t>
        </is>
      </c>
      <c r="D391" s="2" t="inlineStr">
        <is>
          <t>JOINT</t>
        </is>
      </c>
      <c r="E391" s="3" t="n">
        <v>6</v>
      </c>
      <c r="F391" s="4" t="n">
        <v>0.3</v>
      </c>
      <c r="G391" s="5">
        <f>ROUND(E391*(1+F391),2)</f>
        <v>7.80</v>
      </c>
      <c r="H391" s="5">
        <f>ROUND(G391*NOTAS!$B$2,2)</f>
        <v>5626.50</v>
      </c>
      <c r="I391" s="6">
        <f>ROUND(G391*NOTAS!$B$3,0)</f>
        <v>25341</v>
      </c>
      <c r="J391" s="2" t="n">
        <v>2</v>
      </c>
    </row>
    <row r="392">
      <c r="A392" s="2" t="inlineStr">
        <is>
          <t>8200040818</t>
        </is>
      </c>
      <c r="B392" s="2" t="inlineStr"/>
      <c r="C392" s="2" t="inlineStr">
        <is>
          <t>BIELETA BARRA ESTABILIZADORA  R-TWINGO</t>
        </is>
      </c>
      <c r="D392" s="2" t="inlineStr">
        <is>
          <t>GKP</t>
        </is>
      </c>
      <c r="E392" s="3" t="n">
        <v>7</v>
      </c>
      <c r="F392" s="4" t="n">
        <v>0.3</v>
      </c>
      <c r="G392" s="5">
        <f>ROUND(E392*(1+F392),2)</f>
        <v>9.10</v>
      </c>
      <c r="H392" s="5">
        <f>ROUND(G392*NOTAS!$B$2,2)</f>
        <v>6564.24</v>
      </c>
      <c r="I392" s="6">
        <f>ROUND(G392*NOTAS!$B$3,0)</f>
        <v>29565</v>
      </c>
      <c r="J392" s="2" t="n">
        <v>1</v>
      </c>
    </row>
    <row r="393">
      <c r="A393" s="2" t="inlineStr">
        <is>
          <t>21006</t>
        </is>
      </c>
      <c r="B393" s="2" t="inlineStr"/>
      <c r="C393" s="2" t="inlineStr">
        <is>
          <t>BIELETA BARRA ESTABILIZADORA CHEVETTE</t>
        </is>
      </c>
      <c r="D393" s="2" t="inlineStr">
        <is>
          <t>SANFOR</t>
        </is>
      </c>
      <c r="E393" s="3" t="n">
        <v>4</v>
      </c>
      <c r="F393" s="4" t="n">
        <v>0.3</v>
      </c>
      <c r="G393" s="5">
        <f>ROUND(E393*(1+F393),2)</f>
        <v>5.20</v>
      </c>
      <c r="H393" s="5">
        <f>ROUND(G393*NOTAS!$B$2,2)</f>
        <v>3751.00</v>
      </c>
      <c r="I393" s="6">
        <f>ROUND(G393*NOTAS!$B$3,0)</f>
        <v>16894</v>
      </c>
      <c r="J393" s="2" t="n">
        <v>4</v>
      </c>
    </row>
    <row r="394">
      <c r="A394" s="2" t="inlineStr">
        <is>
          <t>CF-1014</t>
        </is>
      </c>
      <c r="B394" s="2" t="inlineStr"/>
      <c r="C394" s="2" t="inlineStr">
        <is>
          <t>BIELETA BARRA ESTABILIZADORA CHEVETTE</t>
        </is>
      </c>
      <c r="D394" s="2" t="inlineStr">
        <is>
          <t>CENTROFLEX</t>
        </is>
      </c>
      <c r="E394" s="3" t="n">
        <v>6</v>
      </c>
      <c r="F394" s="4" t="n">
        <v>0.3</v>
      </c>
      <c r="G394" s="5">
        <f>ROUND(E394*(1+F394),2)</f>
        <v>7.80</v>
      </c>
      <c r="H394" s="5">
        <f>ROUND(G394*NOTAS!$B$2,2)</f>
        <v>5626.50</v>
      </c>
      <c r="I394" s="6">
        <f>ROUND(G394*NOTAS!$B$3,0)</f>
        <v>25341</v>
      </c>
      <c r="J394" s="2" t="n">
        <v>4</v>
      </c>
    </row>
    <row r="395">
      <c r="A395" s="2" t="inlineStr">
        <is>
          <t>SK3722</t>
        </is>
      </c>
      <c r="B395" s="2" t="inlineStr"/>
      <c r="C395" s="2" t="inlineStr">
        <is>
          <t>BIELETA BARRA ESTABILIZADORA CHEVETTE</t>
        </is>
      </c>
      <c r="D395" s="2" t="inlineStr">
        <is>
          <t>SAMPEL</t>
        </is>
      </c>
      <c r="E395" s="3" t="n">
        <v>6</v>
      </c>
      <c r="F395" s="4" t="n">
        <v>0.3</v>
      </c>
      <c r="G395" s="5">
        <f>ROUND(E395*(1+F395),2)</f>
        <v>7.80</v>
      </c>
      <c r="H395" s="5">
        <f>ROUND(G395*NOTAS!$B$2,2)</f>
        <v>5626.50</v>
      </c>
      <c r="I395" s="6">
        <f>ROUND(G395*NOTAS!$B$3,0)</f>
        <v>25341</v>
      </c>
      <c r="J395" s="2" t="n">
        <v>6</v>
      </c>
    </row>
    <row r="396">
      <c r="A396" s="2" t="inlineStr">
        <is>
          <t>31003</t>
        </is>
      </c>
      <c r="B396" s="2" t="inlineStr"/>
      <c r="C396" s="2" t="inlineStr">
        <is>
          <t>BIELETA BARRA ESTABILIZADORA CIELO</t>
        </is>
      </c>
      <c r="D396" s="2" t="inlineStr">
        <is>
          <t>SANFOR</t>
        </is>
      </c>
      <c r="E396" s="3" t="n">
        <v>4</v>
      </c>
      <c r="F396" s="4" t="n">
        <v>0.3</v>
      </c>
      <c r="G396" s="5">
        <f>ROUND(E396*(1+F396),2)</f>
        <v>5.20</v>
      </c>
      <c r="H396" s="5">
        <f>ROUND(G396*NOTAS!$B$2,2)</f>
        <v>3751.00</v>
      </c>
      <c r="I396" s="6">
        <f>ROUND(G396*NOTAS!$B$3,0)</f>
        <v>16894</v>
      </c>
      <c r="J396" s="2" t="n">
        <v>3</v>
      </c>
    </row>
    <row r="397">
      <c r="A397" s="2" t="inlineStr">
        <is>
          <t>SK2559</t>
        </is>
      </c>
      <c r="B397" s="2" t="inlineStr"/>
      <c r="C397" s="2" t="inlineStr">
        <is>
          <t>BIELETA BARRA ESTABILIZADORA CORCEL</t>
        </is>
      </c>
      <c r="D397" s="2" t="inlineStr">
        <is>
          <t>SAMPEL</t>
        </is>
      </c>
      <c r="E397" s="3" t="n">
        <v>6</v>
      </c>
      <c r="F397" s="4" t="n">
        <v>0.3</v>
      </c>
      <c r="G397" s="5">
        <f>ROUND(E397*(1+F397),2)</f>
        <v>7.80</v>
      </c>
      <c r="H397" s="5">
        <f>ROUND(G397*NOTAS!$B$2,2)</f>
        <v>5626.50</v>
      </c>
      <c r="I397" s="6">
        <f>ROUND(G397*NOTAS!$B$3,0)</f>
        <v>25341</v>
      </c>
      <c r="J397" s="2" t="n">
        <v>6</v>
      </c>
    </row>
    <row r="398">
      <c r="A398" s="2" t="inlineStr">
        <is>
          <t>97-09503</t>
        </is>
      </c>
      <c r="B398" s="2" t="inlineStr"/>
      <c r="C398" s="2" t="inlineStr">
        <is>
          <t>BIELETA BARRA ESTABILIZADORA FIESTA …/03-KA</t>
        </is>
      </c>
      <c r="D398" s="2" t="inlineStr">
        <is>
          <t>RTS</t>
        </is>
      </c>
      <c r="E398" s="3" t="n">
        <v>11</v>
      </c>
      <c r="F398" s="4" t="n">
        <v>0.3</v>
      </c>
      <c r="G398" s="5">
        <f>ROUND(E398*(1+F398),2)</f>
        <v>14.30</v>
      </c>
      <c r="H398" s="5">
        <f>ROUND(G398*NOTAS!$B$2,2)</f>
        <v>10315.24</v>
      </c>
      <c r="I398" s="6">
        <f>ROUND(G398*NOTAS!$B$3,0)</f>
        <v>46459</v>
      </c>
      <c r="J398" s="2" t="n">
        <v>2</v>
      </c>
    </row>
    <row r="399">
      <c r="A399" s="2" t="inlineStr">
        <is>
          <t>SK2515</t>
        </is>
      </c>
      <c r="B399" s="2" t="inlineStr"/>
      <c r="C399" s="2" t="inlineStr">
        <is>
          <t>BIELETA BARRA ESTABILIZADORA FIESTA …/03-KA</t>
        </is>
      </c>
      <c r="D399" s="2" t="inlineStr">
        <is>
          <t>SAMPEL</t>
        </is>
      </c>
      <c r="E399" s="3" t="n">
        <v>11</v>
      </c>
      <c r="F399" s="4" t="n">
        <v>0.3</v>
      </c>
      <c r="G399" s="5">
        <f>ROUND(E399*(1+F399),2)</f>
        <v>14.30</v>
      </c>
      <c r="H399" s="5">
        <f>ROUND(G399*NOTAS!$B$2,2)</f>
        <v>10315.24</v>
      </c>
      <c r="I399" s="6">
        <f>ROUND(G399*NOTAS!$B$3,0)</f>
        <v>46459</v>
      </c>
      <c r="J399" s="2" t="n">
        <v>6</v>
      </c>
    </row>
    <row r="400">
      <c r="A400" s="2" t="inlineStr">
        <is>
          <t>FD0088</t>
        </is>
      </c>
      <c r="B400" s="2" t="inlineStr"/>
      <c r="C400" s="2" t="inlineStr">
        <is>
          <t>BIELETA BARRA ESTABILIZADORA FIESTA 04/…-ECOSPORT</t>
        </is>
      </c>
      <c r="D400" s="2" t="inlineStr">
        <is>
          <t>DRIVEX</t>
        </is>
      </c>
      <c r="E400" s="3" t="n">
        <v>6</v>
      </c>
      <c r="F400" s="4" t="n">
        <v>0.3</v>
      </c>
      <c r="G400" s="5">
        <f>ROUND(E400*(1+F400),2)</f>
        <v>7.80</v>
      </c>
      <c r="H400" s="5">
        <f>ROUND(G400*NOTAS!$B$2,2)</f>
        <v>5626.50</v>
      </c>
      <c r="I400" s="6">
        <f>ROUND(G400*NOTAS!$B$3,0)</f>
        <v>25341</v>
      </c>
      <c r="J400" s="2" t="n">
        <v>4</v>
      </c>
    </row>
    <row r="401">
      <c r="A401" s="2" t="inlineStr">
        <is>
          <t>97-00698</t>
        </is>
      </c>
      <c r="B401" s="2" t="inlineStr"/>
      <c r="C401" s="2" t="inlineStr">
        <is>
          <t>BIELETA BARRA ESTABILIZADORA FIESTA 04/…-ECOSPORT</t>
        </is>
      </c>
      <c r="D401" s="2" t="inlineStr">
        <is>
          <t>RTS</t>
        </is>
      </c>
      <c r="E401" s="3" t="n">
        <v>11</v>
      </c>
      <c r="F401" s="4" t="n">
        <v>0.3</v>
      </c>
      <c r="G401" s="5">
        <f>ROUND(E401*(1+F401),2)</f>
        <v>14.30</v>
      </c>
      <c r="H401" s="5">
        <f>ROUND(G401*NOTAS!$B$2,2)</f>
        <v>10315.24</v>
      </c>
      <c r="I401" s="6">
        <f>ROUND(G401*NOTAS!$B$3,0)</f>
        <v>46459</v>
      </c>
      <c r="J401" s="2" t="n">
        <v>3</v>
      </c>
    </row>
    <row r="402">
      <c r="A402" s="2" t="inlineStr">
        <is>
          <t>900435</t>
        </is>
      </c>
      <c r="B402" s="2" t="inlineStr"/>
      <c r="C402" s="2" t="inlineStr">
        <is>
          <t>BIELETA BARRA ESTABILIZADORA FIESTA 04/…-ECOSPORT</t>
        </is>
      </c>
      <c r="D402" s="2" t="inlineStr">
        <is>
          <t>FORD</t>
        </is>
      </c>
      <c r="E402" s="3" t="n">
        <v>15</v>
      </c>
      <c r="F402" s="4" t="n">
        <v>0.3</v>
      </c>
      <c r="G402" s="5">
        <f>ROUND(E402*(1+F402),2)</f>
        <v>19.50</v>
      </c>
      <c r="H402" s="5">
        <f>ROUND(G402*NOTAS!$B$2,2)</f>
        <v>14066.24</v>
      </c>
      <c r="I402" s="6">
        <f>ROUND(G402*NOTAS!$B$3,0)</f>
        <v>63353</v>
      </c>
      <c r="J402" s="2" t="n">
        <v>2</v>
      </c>
    </row>
    <row r="403">
      <c r="A403" s="2" t="inlineStr">
        <is>
          <t>SK2518</t>
        </is>
      </c>
      <c r="B403" s="2" t="inlineStr"/>
      <c r="C403" s="2" t="inlineStr">
        <is>
          <t>BIELETA BARRA ESTABILIZADORA FIESTA 04/…-ECOSPORT</t>
        </is>
      </c>
      <c r="D403" s="2" t="inlineStr">
        <is>
          <t>SAMPEL</t>
        </is>
      </c>
      <c r="E403" s="3" t="n">
        <v>11</v>
      </c>
      <c r="F403" s="4" t="n">
        <v>0.3</v>
      </c>
      <c r="G403" s="5">
        <f>ROUND(E403*(1+F403),2)</f>
        <v>14.30</v>
      </c>
      <c r="H403" s="5">
        <f>ROUND(G403*NOTAS!$B$2,2)</f>
        <v>10315.24</v>
      </c>
      <c r="I403" s="6">
        <f>ROUND(G403*NOTAS!$B$3,0)</f>
        <v>46459</v>
      </c>
      <c r="J403" s="2" t="n">
        <v>6</v>
      </c>
    </row>
    <row r="404">
      <c r="A404" s="2" t="inlineStr">
        <is>
          <t>GKP8700382</t>
        </is>
      </c>
      <c r="B404" s="2" t="inlineStr"/>
      <c r="C404" s="2" t="inlineStr">
        <is>
          <t>BIELETA BARRA ESTABILIZADORA MONTANA</t>
        </is>
      </c>
      <c r="D404" s="2" t="inlineStr">
        <is>
          <t>GKP</t>
        </is>
      </c>
      <c r="E404" s="3" t="n">
        <v>7</v>
      </c>
      <c r="F404" s="4" t="n">
        <v>0.3</v>
      </c>
      <c r="G404" s="5">
        <f>ROUND(E404*(1+F404),2)</f>
        <v>9.10</v>
      </c>
      <c r="H404" s="5">
        <f>ROUND(G404*NOTAS!$B$2,2)</f>
        <v>6564.24</v>
      </c>
      <c r="I404" s="6">
        <f>ROUND(G404*NOTAS!$B$3,0)</f>
        <v>29565</v>
      </c>
      <c r="J404" s="2" t="n">
        <v>3</v>
      </c>
    </row>
    <row r="405">
      <c r="A405" s="2" t="inlineStr">
        <is>
          <t>CLKD-9</t>
        </is>
      </c>
      <c r="B405" s="2" t="inlineStr"/>
      <c r="C405" s="2" t="inlineStr">
        <is>
          <t>BIELETA BARRA ESTABILIZADORA OPTRA</t>
        </is>
      </c>
      <c r="D405" s="2" t="inlineStr">
        <is>
          <t>CTR</t>
        </is>
      </c>
      <c r="E405" s="3" t="n">
        <v>12</v>
      </c>
      <c r="F405" s="4" t="n">
        <v>0.3</v>
      </c>
      <c r="G405" s="5">
        <f>ROUND(E405*(1+F405),2)</f>
        <v>15.60</v>
      </c>
      <c r="H405" s="5">
        <f>ROUND(G405*NOTAS!$B$2,2)</f>
        <v>11252.99</v>
      </c>
      <c r="I405" s="6">
        <f>ROUND(G405*NOTAS!$B$3,0)</f>
        <v>50682</v>
      </c>
      <c r="J405" s="2" t="n">
        <v>4</v>
      </c>
    </row>
    <row r="406">
      <c r="A406" s="2" t="inlineStr">
        <is>
          <t>CE10001</t>
        </is>
      </c>
      <c r="B406" s="2" t="inlineStr"/>
      <c r="C406" s="2" t="inlineStr">
        <is>
          <t>BOBINA ENCENDIDO AVEO/SPARK</t>
        </is>
      </c>
      <c r="D406" s="2" t="inlineStr">
        <is>
          <t>DELPHI</t>
        </is>
      </c>
      <c r="E406" s="3" t="n">
        <v>30</v>
      </c>
      <c r="F406" s="4" t="n">
        <v>0.3</v>
      </c>
      <c r="G406" s="5">
        <f>ROUND(E406*(1+F406),2)</f>
        <v>39.00</v>
      </c>
      <c r="H406" s="5">
        <f>ROUND(G406*NOTAS!$B$2,2)</f>
        <v>28132.48</v>
      </c>
      <c r="I406" s="6">
        <f>ROUND(G406*NOTAS!$B$3,0)</f>
        <v>126706</v>
      </c>
      <c r="J406" s="2" t="n">
        <v>2</v>
      </c>
    </row>
    <row r="407">
      <c r="A407" s="2" t="inlineStr">
        <is>
          <t>25182496</t>
        </is>
      </c>
      <c r="B407" s="2" t="inlineStr"/>
      <c r="C407" s="2" t="inlineStr">
        <is>
          <t>BOBINA ENCENDIDO AVEO/SPARK</t>
        </is>
      </c>
      <c r="D407" s="2" t="inlineStr">
        <is>
          <t>GM</t>
        </is>
      </c>
      <c r="E407" s="3" t="n">
        <v>13</v>
      </c>
      <c r="F407" s="4" t="n">
        <v>0.3</v>
      </c>
      <c r="G407" s="5">
        <f>ROUND(E407*(1+F407),2)</f>
        <v>16.90</v>
      </c>
      <c r="H407" s="5">
        <f>ROUND(G407*NOTAS!$B$2,2)</f>
        <v>12190.74</v>
      </c>
      <c r="I407" s="6">
        <f>ROUND(G407*NOTAS!$B$3,0)</f>
        <v>54906</v>
      </c>
      <c r="J407" s="2" t="n">
        <v>1</v>
      </c>
    </row>
    <row r="408">
      <c r="A408" s="2" t="inlineStr">
        <is>
          <t>96253555</t>
        </is>
      </c>
      <c r="B408" s="2" t="inlineStr"/>
      <c r="C408" s="2" t="inlineStr">
        <is>
          <t>BOBINA ENCENDIDO AVEO/SPARK</t>
        </is>
      </c>
      <c r="D408" s="2" t="inlineStr">
        <is>
          <t>GM</t>
        </is>
      </c>
      <c r="E408" s="3" t="n">
        <v>13.93</v>
      </c>
      <c r="F408" s="4" t="n">
        <v>0.3</v>
      </c>
      <c r="G408" s="5">
        <f>ROUND(E408*(1+F408),2)</f>
        <v>18.11</v>
      </c>
      <c r="H408" s="5">
        <f>ROUND(G408*NOTAS!$B$2,2)</f>
        <v>13063.57</v>
      </c>
      <c r="I408" s="6">
        <f>ROUND(G408*NOTAS!$B$3,0)</f>
        <v>58837</v>
      </c>
      <c r="J408" s="2" t="n">
        <v>2</v>
      </c>
    </row>
    <row r="409">
      <c r="A409" s="2" t="inlineStr">
        <is>
          <t>96350585</t>
        </is>
      </c>
      <c r="B409" s="2" t="inlineStr"/>
      <c r="C409" s="2" t="inlineStr">
        <is>
          <t>BOBINA ENCENDIDO CORSA 00/06 LANOS</t>
        </is>
      </c>
      <c r="D409" s="2" t="inlineStr">
        <is>
          <t>GM</t>
        </is>
      </c>
      <c r="E409" s="3" t="n">
        <v>30</v>
      </c>
      <c r="F409" s="4" t="n">
        <v>0.3</v>
      </c>
      <c r="G409" s="5">
        <f>ROUND(E409*(1+F409),2)</f>
        <v>39.00</v>
      </c>
      <c r="H409" s="5">
        <f>ROUND(G409*NOTAS!$B$2,2)</f>
        <v>28132.48</v>
      </c>
      <c r="I409" s="6">
        <f>ROUND(G409*NOTAS!$B$3,0)</f>
        <v>126706</v>
      </c>
      <c r="J409" s="2" t="n">
        <v>2</v>
      </c>
    </row>
    <row r="410">
      <c r="A410" s="2" t="inlineStr">
        <is>
          <t>19239833</t>
        </is>
      </c>
      <c r="B410" s="2" t="inlineStr"/>
      <c r="C410" s="2" t="inlineStr">
        <is>
          <t>BOBINA ENCENDIDO CORSA 00/06 LANOS</t>
        </is>
      </c>
      <c r="D410" s="2" t="inlineStr">
        <is>
          <t>ACDELCO</t>
        </is>
      </c>
      <c r="E410" s="3" t="n">
        <v>20</v>
      </c>
      <c r="F410" s="4" t="n">
        <v>0.3</v>
      </c>
      <c r="G410" s="5">
        <f>ROUND(E410*(1+F410),2)</f>
        <v>26.00</v>
      </c>
      <c r="H410" s="5">
        <f>ROUND(G410*NOTAS!$B$2,2)</f>
        <v>18754.99</v>
      </c>
      <c r="I410" s="6">
        <f>ROUND(G410*NOTAS!$B$3,0)</f>
        <v>84471</v>
      </c>
      <c r="J410" s="2" t="n">
        <v>1</v>
      </c>
    </row>
    <row r="411">
      <c r="A411" s="2" t="inlineStr">
        <is>
          <t>96350585</t>
        </is>
      </c>
      <c r="B411" s="2" t="inlineStr"/>
      <c r="C411" s="2" t="inlineStr">
        <is>
          <t>BOBINA ENCENDIDO CORSA 00/06 LANOS</t>
        </is>
      </c>
      <c r="D411" s="2" t="inlineStr">
        <is>
          <t>GM</t>
        </is>
      </c>
      <c r="E411" s="3" t="n">
        <v>22.5</v>
      </c>
      <c r="F411" s="4" t="n">
        <v>0.3</v>
      </c>
      <c r="G411" s="5">
        <f>ROUND(E411*(1+F411),2)</f>
        <v>29.25</v>
      </c>
      <c r="H411" s="5">
        <f>ROUND(G411*NOTAS!$B$2,2)</f>
        <v>21099.36</v>
      </c>
      <c r="I411" s="6">
        <f>ROUND(G411*NOTAS!$B$3,0)</f>
        <v>95029</v>
      </c>
      <c r="J411" s="2" t="n">
        <v>2</v>
      </c>
    </row>
    <row r="412">
      <c r="A412" s="2" t="inlineStr">
        <is>
          <t>GC439AJ</t>
        </is>
      </c>
      <c r="B412" s="2" t="inlineStr"/>
      <c r="C412" s="2" t="inlineStr">
        <is>
          <t>BOBINA ENCENDIDO CORSA 00/06 LANOS</t>
        </is>
      </c>
      <c r="D412" s="2" t="inlineStr">
        <is>
          <t>CQIGN</t>
        </is>
      </c>
      <c r="E412" s="3" t="n">
        <v>24.33</v>
      </c>
      <c r="F412" s="4" t="n">
        <v>0.3</v>
      </c>
      <c r="G412" s="5">
        <f>ROUND(E412*(1+F412),2)</f>
        <v>31.63</v>
      </c>
      <c r="H412" s="5">
        <f>ROUND(G412*NOTAS!$B$2,2)</f>
        <v>22816.16</v>
      </c>
      <c r="I412" s="6">
        <f>ROUND(G412*NOTAS!$B$3,0)</f>
        <v>102762</v>
      </c>
      <c r="J412" s="2" t="n">
        <v>1</v>
      </c>
    </row>
    <row r="413">
      <c r="A413" s="2" t="inlineStr">
        <is>
          <t>BID00001</t>
        </is>
      </c>
      <c r="B413" s="2" t="inlineStr"/>
      <c r="C413" s="2" t="inlineStr">
        <is>
          <t>BOBINA ENCENDIDO CORSA 96/99 RAYADA</t>
        </is>
      </c>
      <c r="D413" s="2" t="inlineStr">
        <is>
          <t>DELPHI</t>
        </is>
      </c>
      <c r="E413" s="3" t="n">
        <v>30</v>
      </c>
      <c r="F413" s="4" t="n">
        <v>0.3</v>
      </c>
      <c r="G413" s="5">
        <f>ROUND(E413*(1+F413),2)</f>
        <v>39.00</v>
      </c>
      <c r="H413" s="5">
        <f>ROUND(G413*NOTAS!$B$2,2)</f>
        <v>28132.48</v>
      </c>
      <c r="I413" s="6">
        <f>ROUND(G413*NOTAS!$B$3,0)</f>
        <v>126706</v>
      </c>
      <c r="J413" s="2" t="n">
        <v>1</v>
      </c>
    </row>
    <row r="414">
      <c r="A414" s="2" t="inlineStr">
        <is>
          <t>UF654</t>
        </is>
      </c>
      <c r="B414" s="2" t="inlineStr"/>
      <c r="C414" s="2" t="inlineStr">
        <is>
          <t>BOBINA ENCENDIDO FIESTA MOVE 11/13</t>
        </is>
      </c>
      <c r="D414" s="2" t="inlineStr">
        <is>
          <t>CQIGN</t>
        </is>
      </c>
      <c r="E414" s="3" t="n">
        <v>20.21</v>
      </c>
      <c r="F414" s="4" t="n">
        <v>0.3</v>
      </c>
      <c r="G414" s="5">
        <f>ROUND(E414*(1+F414),2)</f>
        <v>26.27</v>
      </c>
      <c r="H414" s="5">
        <f>ROUND(G414*NOTAS!$B$2,2)</f>
        <v>18949.75</v>
      </c>
      <c r="I414" s="6">
        <f>ROUND(G414*NOTAS!$B$3,0)</f>
        <v>85348</v>
      </c>
      <c r="J414" s="2" t="n">
        <v>1</v>
      </c>
    </row>
    <row r="415">
      <c r="A415" s="2" t="inlineStr">
        <is>
          <t>1619343</t>
        </is>
      </c>
      <c r="B415" s="2" t="inlineStr">
        <is>
          <t>988F12029BA</t>
        </is>
      </c>
      <c r="C415" s="2" t="inlineStr">
        <is>
          <t>BOBINA ENCENDIDO FIESTA MOVE 11/13</t>
        </is>
      </c>
      <c r="D415" s="2" t="inlineStr">
        <is>
          <t>FORD</t>
        </is>
      </c>
      <c r="E415" s="3" t="n">
        <v>40</v>
      </c>
      <c r="F415" s="4" t="n">
        <v>0.3</v>
      </c>
      <c r="G415" s="5">
        <f>ROUND(E415*(1+F415),2)</f>
        <v>52.00</v>
      </c>
      <c r="H415" s="5">
        <f>ROUND(G415*NOTAS!$B$2,2)</f>
        <v>37509.97</v>
      </c>
      <c r="I415" s="6">
        <f>ROUND(G415*NOTAS!$B$3,0)</f>
        <v>168941</v>
      </c>
      <c r="J415" s="2" t="n">
        <v>1</v>
      </c>
    </row>
    <row r="416">
      <c r="A416" s="2" t="inlineStr">
        <is>
          <t>4930236</t>
        </is>
      </c>
      <c r="B416" s="2" t="inlineStr">
        <is>
          <t>1S7Z12029AD</t>
        </is>
      </c>
      <c r="C416" s="2" t="inlineStr">
        <is>
          <t>BOBINA ENCENDIDO FIESTA/KA 1.6</t>
        </is>
      </c>
      <c r="D416" s="2" t="inlineStr">
        <is>
          <t>MOTORCRAFT</t>
        </is>
      </c>
      <c r="E416" s="3" t="n">
        <v>40</v>
      </c>
      <c r="F416" s="4" t="n">
        <v>0.3</v>
      </c>
      <c r="G416" s="5">
        <f>ROUND(E416*(1+F416),2)</f>
        <v>52.00</v>
      </c>
      <c r="H416" s="5">
        <f>ROUND(G416*NOTAS!$B$2,2)</f>
        <v>37509.97</v>
      </c>
      <c r="I416" s="6">
        <f>ROUND(G416*NOTAS!$B$3,0)</f>
        <v>168941</v>
      </c>
      <c r="J416" s="2" t="n">
        <v>4</v>
      </c>
    </row>
    <row r="417">
      <c r="A417" s="2" t="inlineStr">
        <is>
          <t>BI005SSM</t>
        </is>
      </c>
      <c r="B417" s="2" t="inlineStr"/>
      <c r="C417" s="2" t="inlineStr">
        <is>
          <t>BOBINA ENCENDIDO FIESTA/KA 1.6</t>
        </is>
      </c>
      <c r="D417" s="2" t="inlineStr">
        <is>
          <t>MAGNETI MARELLI</t>
        </is>
      </c>
      <c r="E417" s="3" t="n">
        <v>30</v>
      </c>
      <c r="F417" s="4" t="n">
        <v>0.3</v>
      </c>
      <c r="G417" s="5">
        <f>ROUND(E417*(1+F417),2)</f>
        <v>39.00</v>
      </c>
      <c r="H417" s="5">
        <f>ROUND(G417*NOTAS!$B$2,2)</f>
        <v>28132.48</v>
      </c>
      <c r="I417" s="6">
        <f>ROUND(G417*NOTAS!$B$3,0)</f>
        <v>126706</v>
      </c>
      <c r="J417" s="2" t="n">
        <v>4</v>
      </c>
    </row>
    <row r="418">
      <c r="A418" s="2" t="inlineStr">
        <is>
          <t>FI0099</t>
        </is>
      </c>
      <c r="B418" s="2" t="inlineStr"/>
      <c r="C418" s="2" t="inlineStr">
        <is>
          <t>BOBINA ENCENDIDO F-PALIO/SIENA 1.3 16V FIRE</t>
        </is>
      </c>
      <c r="D418" s="2" t="inlineStr">
        <is>
          <t>FIRSTAUTOMOTIVE</t>
        </is>
      </c>
      <c r="E418" s="3" t="n">
        <v>15</v>
      </c>
      <c r="F418" s="4" t="n">
        <v>0.3</v>
      </c>
      <c r="G418" s="5">
        <f>ROUND(E418*(1+F418),2)</f>
        <v>19.50</v>
      </c>
      <c r="H418" s="5">
        <f>ROUND(G418*NOTAS!$B$2,2)</f>
        <v>14066.24</v>
      </c>
      <c r="I418" s="6">
        <f>ROUND(G418*NOTAS!$B$3,0)</f>
        <v>63353</v>
      </c>
      <c r="J418" s="2" t="n">
        <v>1</v>
      </c>
    </row>
    <row r="419">
      <c r="A419" s="2" t="inlineStr">
        <is>
          <t>46752948</t>
        </is>
      </c>
      <c r="B419" s="2" t="inlineStr"/>
      <c r="C419" s="2" t="inlineStr">
        <is>
          <t>BOBINA ENCENDIDO F-PALIO/SIENA 1.3 16V FIRE</t>
        </is>
      </c>
      <c r="D419" s="2" t="inlineStr">
        <is>
          <t>NECCO</t>
        </is>
      </c>
      <c r="E419" s="3" t="n">
        <v>22</v>
      </c>
      <c r="F419" s="4" t="n">
        <v>0.3</v>
      </c>
      <c r="G419" s="5">
        <f>ROUND(E419*(1+F419),2)</f>
        <v>28.60</v>
      </c>
      <c r="H419" s="5">
        <f>ROUND(G419*NOTAS!$B$2,2)</f>
        <v>20630.48</v>
      </c>
      <c r="I419" s="6">
        <f>ROUND(G419*NOTAS!$B$3,0)</f>
        <v>92918</v>
      </c>
      <c r="J419" s="2" t="n">
        <v>1</v>
      </c>
    </row>
    <row r="420">
      <c r="A420" s="2" t="inlineStr">
        <is>
          <t>060792001010</t>
        </is>
      </c>
      <c r="B420" s="2" t="inlineStr"/>
      <c r="C420" s="2" t="inlineStr">
        <is>
          <t>BOBINA ENCENDIDO F-PALIO/SIENA 1.6 16V</t>
        </is>
      </c>
      <c r="D420" s="2" t="inlineStr">
        <is>
          <t>MAGNETI MARELLI</t>
        </is>
      </c>
      <c r="E420" s="3" t="n">
        <v>70</v>
      </c>
      <c r="F420" s="4" t="n">
        <v>0.3</v>
      </c>
      <c r="G420" s="5">
        <f>ROUND(E420*(1+F420),2)</f>
        <v>91.00</v>
      </c>
      <c r="H420" s="5">
        <f>ROUND(G420*NOTAS!$B$2,2)</f>
        <v>65642.45</v>
      </c>
      <c r="I420" s="6">
        <f>ROUND(G420*NOTAS!$B$3,0)</f>
        <v>295647</v>
      </c>
      <c r="J420" s="2" t="n">
        <v>1</v>
      </c>
    </row>
    <row r="421">
      <c r="A421" s="2" t="inlineStr">
        <is>
          <t>IC46548037</t>
        </is>
      </c>
      <c r="B421" s="2" t="inlineStr"/>
      <c r="C421" s="2" t="inlineStr">
        <is>
          <t>BOBINA ENCENDIDO F-UNO INY/PALIO/SIENA 1.3 8V MPI</t>
        </is>
      </c>
      <c r="D421" s="2" t="inlineStr">
        <is>
          <t>KAPARS</t>
        </is>
      </c>
      <c r="E421" s="3" t="n">
        <v>15</v>
      </c>
      <c r="F421" s="4" t="n">
        <v>0.3</v>
      </c>
      <c r="G421" s="5">
        <f>ROUND(E421*(1+F421),2)</f>
        <v>19.50</v>
      </c>
      <c r="H421" s="5">
        <f>ROUND(G421*NOTAS!$B$2,2)</f>
        <v>14066.24</v>
      </c>
      <c r="I421" s="6">
        <f>ROUND(G421*NOTAS!$B$3,0)</f>
        <v>63353</v>
      </c>
      <c r="J421" s="2" t="n">
        <v>1</v>
      </c>
    </row>
    <row r="422">
      <c r="A422" s="2" t="inlineStr">
        <is>
          <t>ES-050</t>
        </is>
      </c>
      <c r="B422" s="2" t="inlineStr"/>
      <c r="C422" s="2" t="inlineStr">
        <is>
          <t>BOBINA ENCENDIDO R-19/18/FUEGO</t>
        </is>
      </c>
      <c r="D422" s="2" t="inlineStr">
        <is>
          <t>4USA</t>
        </is>
      </c>
      <c r="E422" s="3" t="n">
        <v>10</v>
      </c>
      <c r="F422" s="4" t="n">
        <v>0.3</v>
      </c>
      <c r="G422" s="5">
        <f>ROUND(E422*(1+F422),2)</f>
        <v>13.00</v>
      </c>
      <c r="H422" s="5">
        <f>ROUND(G422*NOTAS!$B$2,2)</f>
        <v>9377.49</v>
      </c>
      <c r="I422" s="6">
        <f>ROUND(G422*NOTAS!$B$3,0)</f>
        <v>42235</v>
      </c>
      <c r="J422" s="2" t="n">
        <v>1</v>
      </c>
    </row>
    <row r="423">
      <c r="A423" s="2" t="inlineStr">
        <is>
          <t>7700749450MM</t>
        </is>
      </c>
      <c r="B423" s="2" t="inlineStr"/>
      <c r="C423" s="2" t="inlineStr">
        <is>
          <t>BOBINA ENCENDIDO R-19/CLIO 96/99 TWINGO 93/97 3PINES</t>
        </is>
      </c>
      <c r="D423" s="2" t="inlineStr">
        <is>
          <t>MAGNETI MARELLI</t>
        </is>
      </c>
      <c r="E423" s="3" t="n">
        <v>10</v>
      </c>
      <c r="F423" s="4" t="n">
        <v>0.3</v>
      </c>
      <c r="G423" s="5">
        <f>ROUND(E423*(1+F423),2)</f>
        <v>13.00</v>
      </c>
      <c r="H423" s="5">
        <f>ROUND(G423*NOTAS!$B$2,2)</f>
        <v>9377.49</v>
      </c>
      <c r="I423" s="6">
        <f>ROUND(G423*NOTAS!$B$3,0)</f>
        <v>42235</v>
      </c>
      <c r="J423" s="2" t="n">
        <v>1</v>
      </c>
    </row>
    <row r="424">
      <c r="A424" s="2" t="inlineStr">
        <is>
          <t>402353</t>
        </is>
      </c>
      <c r="B424" s="2" t="inlineStr"/>
      <c r="C424" s="2" t="inlineStr">
        <is>
          <t>BOBINA ENCENDIDO R-SYMBOL/MEGANE/CLIO</t>
        </is>
      </c>
      <c r="D424" s="2" t="inlineStr">
        <is>
          <t>VALEO</t>
        </is>
      </c>
      <c r="E424" s="3" t="n">
        <v>20</v>
      </c>
      <c r="F424" s="4" t="n">
        <v>0.3</v>
      </c>
      <c r="G424" s="5">
        <f>ROUND(E424*(1+F424),2)</f>
        <v>26.00</v>
      </c>
      <c r="H424" s="5">
        <f>ROUND(G424*NOTAS!$B$2,2)</f>
        <v>18754.99</v>
      </c>
      <c r="I424" s="6">
        <f>ROUND(G424*NOTAS!$B$3,0)</f>
        <v>84471</v>
      </c>
      <c r="J424" s="2" t="n">
        <v>1</v>
      </c>
    </row>
    <row r="425">
      <c r="A425" s="2" t="inlineStr">
        <is>
          <t>RE0076</t>
        </is>
      </c>
      <c r="B425" s="2" t="inlineStr">
        <is>
          <t>7700113357</t>
        </is>
      </c>
      <c r="C425" s="2" t="inlineStr">
        <is>
          <t>BOBINA ENCENDIDO R-SYMBOL/MEGANE/CLIO</t>
        </is>
      </c>
      <c r="D425" s="2" t="inlineStr">
        <is>
          <t>FIRSTAUTOMOTIVE</t>
        </is>
      </c>
      <c r="E425" s="3" t="n">
        <v>11</v>
      </c>
      <c r="F425" s="4" t="n">
        <v>0.3</v>
      </c>
      <c r="G425" s="5">
        <f>ROUND(E425*(1+F425),2)</f>
        <v>14.30</v>
      </c>
      <c r="H425" s="5">
        <f>ROUND(G425*NOTAS!$B$2,2)</f>
        <v>10315.24</v>
      </c>
      <c r="I425" s="6">
        <f>ROUND(G425*NOTAS!$B$3,0)</f>
        <v>46459</v>
      </c>
      <c r="J425" s="2" t="n">
        <v>1</v>
      </c>
    </row>
    <row r="426">
      <c r="A426" s="2" t="inlineStr">
        <is>
          <t>BC-C3-7500</t>
        </is>
      </c>
      <c r="B426" s="2" t="inlineStr">
        <is>
          <t>94632697</t>
        </is>
      </c>
      <c r="C426" s="2" t="inlineStr">
        <is>
          <t>BOCINA BUJE BRONCE COLA CAJA CHEVETTE</t>
        </is>
      </c>
      <c r="D426" s="2" t="inlineStr">
        <is>
          <t>AIB</t>
        </is>
      </c>
      <c r="E426" s="3" t="n">
        <v>8</v>
      </c>
      <c r="F426" s="4" t="n">
        <v>0.3</v>
      </c>
      <c r="G426" s="5">
        <f>ROUND(E426*(1+F426),2)</f>
        <v>10.40</v>
      </c>
      <c r="H426" s="5">
        <f>ROUND(G426*NOTAS!$B$2,2)</f>
        <v>7501.99</v>
      </c>
      <c r="I426" s="6">
        <f>ROUND(G426*NOTAS!$B$3,0)</f>
        <v>33788</v>
      </c>
      <c r="J426" s="2" t="n">
        <v>4</v>
      </c>
    </row>
    <row r="427">
      <c r="A427" s="2" t="inlineStr">
        <is>
          <t>96386934</t>
        </is>
      </c>
      <c r="B427" s="2" t="inlineStr"/>
      <c r="C427" s="2" t="inlineStr">
        <is>
          <t>BOMBA DE ACEITE AVEO/CIELO/LANOS</t>
        </is>
      </c>
      <c r="D427" s="2" t="inlineStr">
        <is>
          <t>FUKA</t>
        </is>
      </c>
      <c r="E427" s="3" t="n">
        <v>25</v>
      </c>
      <c r="F427" s="4" t="n">
        <v>0.3</v>
      </c>
      <c r="G427" s="5">
        <f>ROUND(E427*(1+F427),2)</f>
        <v>32.50</v>
      </c>
      <c r="H427" s="5">
        <f>ROUND(G427*NOTAS!$B$2,2)</f>
        <v>23443.73</v>
      </c>
      <c r="I427" s="6">
        <f>ROUND(G427*NOTAS!$B$3,0)</f>
        <v>105588</v>
      </c>
      <c r="J427" s="2" t="n">
        <v>1</v>
      </c>
    </row>
    <row r="428">
      <c r="A428" s="2" t="inlineStr">
        <is>
          <t>25182606</t>
        </is>
      </c>
      <c r="B428" s="2" t="inlineStr"/>
      <c r="C428" s="2" t="inlineStr">
        <is>
          <t>BOMBA DE ACEITE AVEO/CIELO/LANOS</t>
        </is>
      </c>
      <c r="D428" s="2" t="inlineStr">
        <is>
          <t>GM</t>
        </is>
      </c>
      <c r="E428" s="3" t="n">
        <v>70</v>
      </c>
      <c r="F428" s="4" t="n">
        <v>0.3</v>
      </c>
      <c r="G428" s="5">
        <f>ROUND(E428*(1+F428),2)</f>
        <v>91.00</v>
      </c>
      <c r="H428" s="5">
        <f>ROUND(G428*NOTAS!$B$2,2)</f>
        <v>65642.45</v>
      </c>
      <c r="I428" s="6">
        <f>ROUND(G428*NOTAS!$B$3,0)</f>
        <v>295647</v>
      </c>
      <c r="J428" s="2" t="n">
        <v>1</v>
      </c>
    </row>
    <row r="429">
      <c r="A429" s="2" t="inlineStr"/>
      <c r="B429" s="2" t="inlineStr"/>
      <c r="C429" s="2" t="inlineStr">
        <is>
          <t>BOMBA DE ACEITE AVEO/CIELO/LANOS</t>
        </is>
      </c>
      <c r="D429" s="2" t="inlineStr">
        <is>
          <t>KOREA</t>
        </is>
      </c>
      <c r="E429" s="3" t="n">
        <v>40</v>
      </c>
      <c r="F429" s="4" t="n">
        <v>0.3</v>
      </c>
      <c r="G429" s="5">
        <f>ROUND(E429*(1+F429),2)</f>
        <v>52.00</v>
      </c>
      <c r="H429" s="5">
        <f>ROUND(G429*NOTAS!$B$2,2)</f>
        <v>37509.97</v>
      </c>
      <c r="I429" s="6">
        <f>ROUND(G429*NOTAS!$B$3,0)</f>
        <v>168941</v>
      </c>
      <c r="J429" s="2" t="n">
        <v>2</v>
      </c>
    </row>
    <row r="430">
      <c r="A430" s="2" t="inlineStr">
        <is>
          <t>AR-2030</t>
        </is>
      </c>
      <c r="B430" s="2" t="inlineStr"/>
      <c r="C430" s="2" t="inlineStr">
        <is>
          <t>BOMBA DE ACEITE CHEVETTE</t>
        </is>
      </c>
      <c r="D430" s="2" t="inlineStr">
        <is>
          <t>ANROI</t>
        </is>
      </c>
      <c r="E430" s="3" t="n">
        <v>21</v>
      </c>
      <c r="F430" s="4" t="n">
        <v>0.3</v>
      </c>
      <c r="G430" s="5">
        <f>ROUND(E430*(1+F430),2)</f>
        <v>27.30</v>
      </c>
      <c r="H430" s="5">
        <f>ROUND(G430*NOTAS!$B$2,2)</f>
        <v>19692.73</v>
      </c>
      <c r="I430" s="6">
        <f>ROUND(G430*NOTAS!$B$3,0)</f>
        <v>88694</v>
      </c>
      <c r="J430" s="2" t="n">
        <v>3</v>
      </c>
    </row>
    <row r="431">
      <c r="A431" s="2" t="inlineStr">
        <is>
          <t>6320</t>
        </is>
      </c>
      <c r="B431" s="2" t="inlineStr"/>
      <c r="C431" s="2" t="inlineStr">
        <is>
          <t>BOMBA DE ACEITE CHEVETTE</t>
        </is>
      </c>
      <c r="D431" s="2" t="inlineStr">
        <is>
          <t>FALLONE</t>
        </is>
      </c>
      <c r="E431" s="3" t="n">
        <v>16</v>
      </c>
      <c r="F431" s="4" t="n">
        <v>0.3</v>
      </c>
      <c r="G431" s="5">
        <f>ROUND(E431*(1+F431),2)</f>
        <v>20.80</v>
      </c>
      <c r="H431" s="5">
        <f>ROUND(G431*NOTAS!$B$2,2)</f>
        <v>15003.99</v>
      </c>
      <c r="I431" s="6">
        <f>ROUND(G431*NOTAS!$B$3,0)</f>
        <v>67576</v>
      </c>
      <c r="J431" s="2" t="n">
        <v>4</v>
      </c>
    </row>
    <row r="432">
      <c r="A432" s="2" t="inlineStr">
        <is>
          <t>8111445100</t>
        </is>
      </c>
      <c r="B432" s="2" t="inlineStr"/>
      <c r="C432" s="2" t="inlineStr">
        <is>
          <t>BOMBA DE ACEITE CORSA</t>
        </is>
      </c>
      <c r="D432" s="2" t="inlineStr">
        <is>
          <t>ISAKA</t>
        </is>
      </c>
      <c r="E432" s="3" t="n">
        <v>25</v>
      </c>
      <c r="F432" s="4" t="n">
        <v>0.3</v>
      </c>
      <c r="G432" s="5">
        <f>ROUND(E432*(1+F432),2)</f>
        <v>32.50</v>
      </c>
      <c r="H432" s="5">
        <f>ROUND(G432*NOTAS!$B$2,2)</f>
        <v>23443.73</v>
      </c>
      <c r="I432" s="6">
        <f>ROUND(G432*NOTAS!$B$3,0)</f>
        <v>105588</v>
      </c>
      <c r="J432" s="2" t="n">
        <v>1</v>
      </c>
    </row>
    <row r="433">
      <c r="A433" s="2" t="inlineStr">
        <is>
          <t>BO300</t>
        </is>
      </c>
      <c r="B433" s="2" t="inlineStr"/>
      <c r="C433" s="2" t="inlineStr">
        <is>
          <t>BOMBA DE ACEITE CORSA</t>
        </is>
      </c>
      <c r="D433" s="2" t="inlineStr">
        <is>
          <t>BROSOL</t>
        </is>
      </c>
      <c r="E433" s="3" t="n">
        <v>65</v>
      </c>
      <c r="F433" s="4" t="n">
        <v>0.3</v>
      </c>
      <c r="G433" s="5">
        <f>ROUND(E433*(1+F433),2)</f>
        <v>84.50</v>
      </c>
      <c r="H433" s="5">
        <f>ROUND(G433*NOTAS!$B$2,2)</f>
        <v>60953.70</v>
      </c>
      <c r="I433" s="6">
        <f>ROUND(G433*NOTAS!$B$3,0)</f>
        <v>274530</v>
      </c>
      <c r="J433" s="2" t="n">
        <v>1</v>
      </c>
    </row>
    <row r="434">
      <c r="A434" s="2" t="inlineStr">
        <is>
          <t>NKB00300</t>
        </is>
      </c>
      <c r="B434" s="2" t="inlineStr"/>
      <c r="C434" s="2" t="inlineStr">
        <is>
          <t>BOMBA DE ACEITE CORSA</t>
        </is>
      </c>
      <c r="D434" s="2" t="inlineStr">
        <is>
          <t>NAKATA</t>
        </is>
      </c>
      <c r="E434" s="3" t="n">
        <v>60</v>
      </c>
      <c r="F434" s="4" t="n">
        <v>0.3</v>
      </c>
      <c r="G434" s="5">
        <f>ROUND(E434*(1+F434),2)</f>
        <v>78.00</v>
      </c>
      <c r="H434" s="5">
        <f>ROUND(G434*NOTAS!$B$2,2)</f>
        <v>56264.96</v>
      </c>
      <c r="I434" s="6">
        <f>ROUND(G434*NOTAS!$B$3,0)</f>
        <v>253412</v>
      </c>
      <c r="J434" s="2" t="n">
        <v>1</v>
      </c>
    </row>
    <row r="435">
      <c r="A435" s="2" t="inlineStr">
        <is>
          <t>93293030</t>
        </is>
      </c>
      <c r="B435" s="2" t="inlineStr"/>
      <c r="C435" s="2" t="inlineStr">
        <is>
          <t>BOMBA DE ACEITE CORSA</t>
        </is>
      </c>
      <c r="D435" s="2" t="inlineStr">
        <is>
          <t>GM</t>
        </is>
      </c>
      <c r="E435" s="3" t="n">
        <v>80</v>
      </c>
      <c r="F435" s="4" t="n">
        <v>0.3</v>
      </c>
      <c r="G435" s="5">
        <f>ROUND(E435*(1+F435),2)</f>
        <v>104.00</v>
      </c>
      <c r="H435" s="5">
        <f>ROUND(G435*NOTAS!$B$2,2)</f>
        <v>75019.94</v>
      </c>
      <c r="I435" s="6">
        <f>ROUND(G435*NOTAS!$B$3,0)</f>
        <v>337882</v>
      </c>
      <c r="J435" s="2" t="n">
        <v>2</v>
      </c>
    </row>
    <row r="436">
      <c r="A436" s="2" t="inlineStr">
        <is>
          <t>7555208</t>
        </is>
      </c>
      <c r="B436" s="2" t="inlineStr"/>
      <c r="C436" s="2" t="inlineStr">
        <is>
          <t>BOMBA DE ACEITE F-147/UNO/PALIO 1.3 8V</t>
        </is>
      </c>
      <c r="D436" s="2" t="inlineStr">
        <is>
          <t>FIAT</t>
        </is>
      </c>
      <c r="E436" s="3" t="n">
        <v>40</v>
      </c>
      <c r="F436" s="4" t="n">
        <v>0.3</v>
      </c>
      <c r="G436" s="5">
        <f>ROUND(E436*(1+F436),2)</f>
        <v>52.00</v>
      </c>
      <c r="H436" s="5">
        <f>ROUND(G436*NOTAS!$B$2,2)</f>
        <v>37509.97</v>
      </c>
      <c r="I436" s="6">
        <f>ROUND(G436*NOTAS!$B$3,0)</f>
        <v>168941</v>
      </c>
      <c r="J436" s="2" t="n">
        <v>1</v>
      </c>
    </row>
    <row r="437">
      <c r="A437" s="2" t="inlineStr">
        <is>
          <t>NKBO0105</t>
        </is>
      </c>
      <c r="B437" s="2" t="inlineStr"/>
      <c r="C437" s="2" t="inlineStr">
        <is>
          <t>BOMBA DE ACEITE F-147/UNO/PALIO 1.3 8V</t>
        </is>
      </c>
      <c r="D437" s="2" t="inlineStr">
        <is>
          <t>NAKATA</t>
        </is>
      </c>
      <c r="E437" s="3" t="n">
        <v>30</v>
      </c>
      <c r="F437" s="4" t="n">
        <v>0.3</v>
      </c>
      <c r="G437" s="5">
        <f>ROUND(E437*(1+F437),2)</f>
        <v>39.00</v>
      </c>
      <c r="H437" s="5">
        <f>ROUND(G437*NOTAS!$B$2,2)</f>
        <v>28132.48</v>
      </c>
      <c r="I437" s="6">
        <f>ROUND(G437*NOTAS!$B$3,0)</f>
        <v>126706</v>
      </c>
      <c r="J437" s="2" t="n">
        <v>1</v>
      </c>
    </row>
    <row r="438">
      <c r="A438" s="2" t="inlineStr">
        <is>
          <t>6187</t>
        </is>
      </c>
      <c r="B438" s="2" t="inlineStr"/>
      <c r="C438" s="2" t="inlineStr">
        <is>
          <t>BOMBA DE ACEITE F-147/UNO/PALIO 1.3 8V</t>
        </is>
      </c>
      <c r="D438" s="2" t="inlineStr">
        <is>
          <t>FALLONE</t>
        </is>
      </c>
      <c r="E438" s="3" t="n">
        <v>30</v>
      </c>
      <c r="F438" s="4" t="n">
        <v>0.3</v>
      </c>
      <c r="G438" s="5">
        <f>ROUND(E438*(1+F438),2)</f>
        <v>39.00</v>
      </c>
      <c r="H438" s="5">
        <f>ROUND(G438*NOTAS!$B$2,2)</f>
        <v>28132.48</v>
      </c>
      <c r="I438" s="6">
        <f>ROUND(G438*NOTAS!$B$3,0)</f>
        <v>126706</v>
      </c>
      <c r="J438" s="2" t="n">
        <v>1</v>
      </c>
    </row>
    <row r="439">
      <c r="A439" s="2" t="inlineStr">
        <is>
          <t>AT-7035</t>
        </is>
      </c>
      <c r="B439" s="2" t="inlineStr"/>
      <c r="C439" s="2" t="inlineStr">
        <is>
          <t>BOMBA DE ACEITE F-147/UNO/PALIO 1.3 8V</t>
        </is>
      </c>
      <c r="D439" s="2" t="inlineStr">
        <is>
          <t>ANROI</t>
        </is>
      </c>
      <c r="E439" s="3" t="n">
        <v>30</v>
      </c>
      <c r="F439" s="4" t="n">
        <v>0.3</v>
      </c>
      <c r="G439" s="5">
        <f>ROUND(E439*(1+F439),2)</f>
        <v>39.00</v>
      </c>
      <c r="H439" s="5">
        <f>ROUND(G439*NOTAS!$B$2,2)</f>
        <v>28132.48</v>
      </c>
      <c r="I439" s="6">
        <f>ROUND(G439*NOTAS!$B$3,0)</f>
        <v>126706</v>
      </c>
      <c r="J439" s="2" t="n">
        <v>1</v>
      </c>
    </row>
    <row r="440">
      <c r="A440" s="2" t="inlineStr">
        <is>
          <t>924324</t>
        </is>
      </c>
      <c r="B440" s="2" t="inlineStr">
        <is>
          <t>XS6E6600AG</t>
        </is>
      </c>
      <c r="C440" s="2" t="inlineStr">
        <is>
          <t>BOMBA DE ACEITE FIESTA/KA</t>
        </is>
      </c>
      <c r="D440" s="2" t="inlineStr">
        <is>
          <t>FORD</t>
        </is>
      </c>
      <c r="E440" s="3" t="n">
        <v>70</v>
      </c>
      <c r="F440" s="4" t="n">
        <v>0.3</v>
      </c>
      <c r="G440" s="5">
        <f>ROUND(E440*(1+F440),2)</f>
        <v>91.00</v>
      </c>
      <c r="H440" s="5">
        <f>ROUND(G440*NOTAS!$B$2,2)</f>
        <v>65642.45</v>
      </c>
      <c r="I440" s="6">
        <f>ROUND(G440*NOTAS!$B$3,0)</f>
        <v>295647</v>
      </c>
      <c r="J440" s="2" t="n">
        <v>1</v>
      </c>
    </row>
    <row r="441">
      <c r="A441" s="2" t="inlineStr">
        <is>
          <t>AT-7080</t>
        </is>
      </c>
      <c r="B441" s="2" t="inlineStr"/>
      <c r="C441" s="2" t="inlineStr">
        <is>
          <t>BOMBA DE ACEITE F-PALIO/SIENA 1.6</t>
        </is>
      </c>
      <c r="D441" s="2" t="inlineStr">
        <is>
          <t>ANROI</t>
        </is>
      </c>
      <c r="E441" s="3" t="n">
        <v>50</v>
      </c>
      <c r="F441" s="4" t="n">
        <v>0.3</v>
      </c>
      <c r="G441" s="5">
        <f>ROUND(E441*(1+F441),2)</f>
        <v>65.00</v>
      </c>
      <c r="H441" s="5">
        <f>ROUND(G441*NOTAS!$B$2,2)</f>
        <v>46887.46</v>
      </c>
      <c r="I441" s="6">
        <f>ROUND(G441*NOTAS!$B$3,0)</f>
        <v>211177</v>
      </c>
      <c r="J441" s="2" t="n">
        <v>3</v>
      </c>
    </row>
    <row r="442">
      <c r="A442" s="2" t="inlineStr">
        <is>
          <t>1275</t>
        </is>
      </c>
      <c r="B442" s="2" t="inlineStr"/>
      <c r="C442" s="2" t="inlineStr">
        <is>
          <t>BOMBA DE ACEITE F-PREMIO 1.6/TEMPRA 1.6 REGATA AUTOMATICO</t>
        </is>
      </c>
      <c r="D442" s="2" t="inlineStr">
        <is>
          <t>CARESA</t>
        </is>
      </c>
      <c r="E442" s="3" t="n">
        <v>25</v>
      </c>
      <c r="F442" s="4" t="n">
        <v>0.3</v>
      </c>
      <c r="G442" s="5">
        <f>ROUND(E442*(1+F442),2)</f>
        <v>32.50</v>
      </c>
      <c r="H442" s="5">
        <f>ROUND(G442*NOTAS!$B$2,2)</f>
        <v>23443.73</v>
      </c>
      <c r="I442" s="6">
        <f>ROUND(G442*NOTAS!$B$3,0)</f>
        <v>105588</v>
      </c>
      <c r="J442" s="2" t="n">
        <v>1</v>
      </c>
    </row>
    <row r="443">
      <c r="A443" s="2" t="inlineStr">
        <is>
          <t>AT-7050</t>
        </is>
      </c>
      <c r="B443" s="2" t="inlineStr"/>
      <c r="C443" s="2" t="inlineStr">
        <is>
          <t>BOMBA DE ACEITE F-PREMIO 1.6/TEMPRA 1.6 REGATA AUTOMATICO</t>
        </is>
      </c>
      <c r="D443" s="2" t="inlineStr">
        <is>
          <t>ANROI</t>
        </is>
      </c>
      <c r="E443" s="3" t="n">
        <v>25</v>
      </c>
      <c r="F443" s="4" t="n">
        <v>0.3</v>
      </c>
      <c r="G443" s="5">
        <f>ROUND(E443*(1+F443),2)</f>
        <v>32.50</v>
      </c>
      <c r="H443" s="5">
        <f>ROUND(G443*NOTAS!$B$2,2)</f>
        <v>23443.73</v>
      </c>
      <c r="I443" s="6">
        <f>ROUND(G443*NOTAS!$B$3,0)</f>
        <v>105588</v>
      </c>
      <c r="J443" s="2" t="n">
        <v>2</v>
      </c>
    </row>
    <row r="444">
      <c r="A444" s="2" t="inlineStr">
        <is>
          <t>AT-3140</t>
        </is>
      </c>
      <c r="B444" s="2" t="inlineStr"/>
      <c r="C444" s="2" t="inlineStr">
        <is>
          <t>BOMBA DE ACEITE R-11</t>
        </is>
      </c>
      <c r="D444" s="2" t="inlineStr">
        <is>
          <t>ANROI</t>
        </is>
      </c>
      <c r="E444" s="3" t="n">
        <v>25</v>
      </c>
      <c r="F444" s="4" t="n">
        <v>0.3</v>
      </c>
      <c r="G444" s="5">
        <f>ROUND(E444*(1+F444),2)</f>
        <v>32.50</v>
      </c>
      <c r="H444" s="5">
        <f>ROUND(G444*NOTAS!$B$2,2)</f>
        <v>23443.73</v>
      </c>
      <c r="I444" s="6">
        <f>ROUND(G444*NOTAS!$B$3,0)</f>
        <v>105588</v>
      </c>
      <c r="J444" s="2" t="n">
        <v>1</v>
      </c>
    </row>
    <row r="445">
      <c r="A445" s="2" t="inlineStr">
        <is>
          <t>6630</t>
        </is>
      </c>
      <c r="B445" s="2" t="inlineStr"/>
      <c r="C445" s="2" t="inlineStr">
        <is>
          <t>BOMBA DE ACEITE R-19 1.7/1.8</t>
        </is>
      </c>
      <c r="D445" s="2" t="inlineStr">
        <is>
          <t>FALLONE</t>
        </is>
      </c>
      <c r="E445" s="3" t="n">
        <v>20</v>
      </c>
      <c r="F445" s="4" t="n">
        <v>0.3</v>
      </c>
      <c r="G445" s="5">
        <f>ROUND(E445*(1+F445),2)</f>
        <v>26.00</v>
      </c>
      <c r="H445" s="5">
        <f>ROUND(G445*NOTAS!$B$2,2)</f>
        <v>18754.99</v>
      </c>
      <c r="I445" s="6">
        <f>ROUND(G445*NOTAS!$B$3,0)</f>
        <v>84471</v>
      </c>
      <c r="J445" s="2" t="n">
        <v>1</v>
      </c>
    </row>
    <row r="446">
      <c r="A446" s="2" t="inlineStr">
        <is>
          <t>248.04</t>
        </is>
      </c>
      <c r="B446" s="2" t="inlineStr"/>
      <c r="C446" s="2" t="inlineStr">
        <is>
          <t>BOMBA DE ACEITE R-5/12 1.3</t>
        </is>
      </c>
      <c r="D446" s="2" t="inlineStr">
        <is>
          <t>IRAUTO</t>
        </is>
      </c>
      <c r="E446" s="3" t="n">
        <v>20</v>
      </c>
      <c r="F446" s="4" t="n">
        <v>0.3</v>
      </c>
      <c r="G446" s="5">
        <f>ROUND(E446*(1+F446),2)</f>
        <v>26.00</v>
      </c>
      <c r="H446" s="5">
        <f>ROUND(G446*NOTAS!$B$2,2)</f>
        <v>18754.99</v>
      </c>
      <c r="I446" s="6">
        <f>ROUND(G446*NOTAS!$B$3,0)</f>
        <v>84471</v>
      </c>
      <c r="J446" s="2" t="n">
        <v>1</v>
      </c>
    </row>
    <row r="447">
      <c r="A447" s="2" t="inlineStr">
        <is>
          <t>AT-3150</t>
        </is>
      </c>
      <c r="B447" s="2" t="inlineStr"/>
      <c r="C447" s="2" t="inlineStr">
        <is>
          <t>BOMBA DE ACEITE R-GALA</t>
        </is>
      </c>
      <c r="D447" s="2" t="inlineStr">
        <is>
          <t>ANROI</t>
        </is>
      </c>
      <c r="E447" s="3" t="n">
        <v>20</v>
      </c>
      <c r="F447" s="4" t="n">
        <v>0.3</v>
      </c>
      <c r="G447" s="5">
        <f>ROUND(E447*(1+F447),2)</f>
        <v>26.00</v>
      </c>
      <c r="H447" s="5">
        <f>ROUND(G447*NOTAS!$B$2,2)</f>
        <v>18754.99</v>
      </c>
      <c r="I447" s="6">
        <f>ROUND(G447*NOTAS!$B$3,0)</f>
        <v>84471</v>
      </c>
      <c r="J447" s="2" t="n">
        <v>4</v>
      </c>
    </row>
    <row r="448">
      <c r="A448" s="2" t="inlineStr">
        <is>
          <t>6627</t>
        </is>
      </c>
      <c r="B448" s="2" t="inlineStr"/>
      <c r="C448" s="2" t="inlineStr">
        <is>
          <t>BOMBA DE ACEITE R-MEGANE 2.0 24DT</t>
        </is>
      </c>
      <c r="D448" s="2" t="inlineStr">
        <is>
          <t>FALLONE</t>
        </is>
      </c>
      <c r="E448" s="3" t="n">
        <v>45</v>
      </c>
      <c r="F448" s="4" t="n">
        <v>0.3</v>
      </c>
      <c r="G448" s="5">
        <f>ROUND(E448*(1+F448),2)</f>
        <v>58.50</v>
      </c>
      <c r="H448" s="5">
        <f>ROUND(G448*NOTAS!$B$2,2)</f>
        <v>42198.72</v>
      </c>
      <c r="I448" s="6">
        <f>ROUND(G448*NOTAS!$B$3,0)</f>
        <v>190059</v>
      </c>
      <c r="J448" s="2" t="n">
        <v>1</v>
      </c>
    </row>
    <row r="449">
      <c r="A449" s="2" t="inlineStr">
        <is>
          <t>6629</t>
        </is>
      </c>
      <c r="B449" s="2" t="inlineStr"/>
      <c r="C449" s="2" t="inlineStr">
        <is>
          <t>BOMBA DE ACEITE R-MEGANE/SCENIC 1.6 16V 24DT</t>
        </is>
      </c>
      <c r="D449" s="2" t="inlineStr">
        <is>
          <t>FALLONE</t>
        </is>
      </c>
      <c r="E449" s="3" t="n">
        <v>45</v>
      </c>
      <c r="F449" s="4" t="n">
        <v>0.3</v>
      </c>
      <c r="G449" s="5">
        <f>ROUND(E449*(1+F449),2)</f>
        <v>58.50</v>
      </c>
      <c r="H449" s="5">
        <f>ROUND(G449*NOTAS!$B$2,2)</f>
        <v>42198.72</v>
      </c>
      <c r="I449" s="6">
        <f>ROUND(G449*NOTAS!$B$3,0)</f>
        <v>190059</v>
      </c>
      <c r="J449" s="2" t="n">
        <v>1</v>
      </c>
    </row>
    <row r="450">
      <c r="A450" s="2" t="inlineStr">
        <is>
          <t>8150025120</t>
        </is>
      </c>
      <c r="B450" s="2" t="inlineStr"/>
      <c r="C450" s="2" t="inlineStr">
        <is>
          <t>BOMBA DE ACEITE R-SYMBOL 24DT</t>
        </is>
      </c>
      <c r="D450" s="2" t="inlineStr">
        <is>
          <t>ISAKA</t>
        </is>
      </c>
      <c r="E450" s="3" t="n">
        <v>40</v>
      </c>
      <c r="F450" s="4" t="n">
        <v>0.3</v>
      </c>
      <c r="G450" s="5">
        <f>ROUND(E450*(1+F450),2)</f>
        <v>52.00</v>
      </c>
      <c r="H450" s="5">
        <f>ROUND(G450*NOTAS!$B$2,2)</f>
        <v>37509.97</v>
      </c>
      <c r="I450" s="6">
        <f>ROUND(G450*NOTAS!$B$3,0)</f>
        <v>168941</v>
      </c>
      <c r="J450" s="2" t="n">
        <v>2</v>
      </c>
    </row>
    <row r="451">
      <c r="A451" s="2" t="inlineStr">
        <is>
          <t>96325246</t>
        </is>
      </c>
      <c r="B451" s="2" t="inlineStr"/>
      <c r="C451" s="2" t="inlineStr">
        <is>
          <t>BOMBA DE ACEITE SPARK</t>
        </is>
      </c>
      <c r="D451" s="2" t="inlineStr">
        <is>
          <t>GM</t>
        </is>
      </c>
      <c r="E451" s="3" t="n">
        <v>40</v>
      </c>
      <c r="F451" s="4" t="n">
        <v>0.3</v>
      </c>
      <c r="G451" s="5">
        <f>ROUND(E451*(1+F451),2)</f>
        <v>52.00</v>
      </c>
      <c r="H451" s="5">
        <f>ROUND(G451*NOTAS!$B$2,2)</f>
        <v>37509.97</v>
      </c>
      <c r="I451" s="6">
        <f>ROUND(G451*NOTAS!$B$3,0)</f>
        <v>168941</v>
      </c>
      <c r="J451" s="2" t="n">
        <v>2</v>
      </c>
    </row>
    <row r="452">
      <c r="A452" s="2" t="inlineStr">
        <is>
          <t>OP1000</t>
        </is>
      </c>
      <c r="B452" s="2" t="inlineStr"/>
      <c r="C452" s="2" t="inlineStr">
        <is>
          <t>BOMBA DE ACEITE SPARK</t>
        </is>
      </c>
      <c r="D452" s="2" t="inlineStr">
        <is>
          <t>CIC</t>
        </is>
      </c>
      <c r="E452" s="3" t="n">
        <v>20</v>
      </c>
      <c r="F452" s="4" t="n">
        <v>0.3</v>
      </c>
      <c r="G452" s="5">
        <f>ROUND(E452*(1+F452),2)</f>
        <v>26.00</v>
      </c>
      <c r="H452" s="5">
        <f>ROUND(G452*NOTAS!$B$2,2)</f>
        <v>18754.99</v>
      </c>
      <c r="I452" s="6">
        <f>ROUND(G452*NOTAS!$B$3,0)</f>
        <v>84471</v>
      </c>
      <c r="J452" s="2" t="n">
        <v>1</v>
      </c>
    </row>
    <row r="453">
      <c r="A453" s="2" t="inlineStr">
        <is>
          <t>19195147</t>
        </is>
      </c>
      <c r="B453" s="2" t="inlineStr"/>
      <c r="C453" s="2" t="inlineStr">
        <is>
          <t xml:space="preserve">BOMBA DE AGUA AVEO 1.6/NUBIRA </t>
        </is>
      </c>
      <c r="D453" s="2" t="inlineStr">
        <is>
          <t>ACDELCO</t>
        </is>
      </c>
      <c r="E453" s="3" t="n">
        <v>22</v>
      </c>
      <c r="F453" s="4" t="n">
        <v>0.3</v>
      </c>
      <c r="G453" s="5">
        <f>ROUND(E453*(1+F453),2)</f>
        <v>28.60</v>
      </c>
      <c r="H453" s="5">
        <f>ROUND(G453*NOTAS!$B$2,2)</f>
        <v>20630.48</v>
      </c>
      <c r="I453" s="6">
        <f>ROUND(G453*NOTAS!$B$3,0)</f>
        <v>92918</v>
      </c>
      <c r="J453" s="2" t="n">
        <v>2</v>
      </c>
    </row>
    <row r="454">
      <c r="A454" s="2" t="inlineStr">
        <is>
          <t>GM0140</t>
        </is>
      </c>
      <c r="B454" s="2" t="inlineStr"/>
      <c r="C454" s="2" t="inlineStr">
        <is>
          <t xml:space="preserve">BOMBA DE AGUA AVEO 1.6/NUBIRA </t>
        </is>
      </c>
      <c r="D454" s="2" t="inlineStr">
        <is>
          <t>DEVIGILI</t>
        </is>
      </c>
      <c r="E454" s="3" t="n">
        <v>13.2</v>
      </c>
      <c r="F454" s="4" t="n">
        <v>0.3</v>
      </c>
      <c r="G454" s="5">
        <f>ROUND(E454*(1+F454),2)</f>
        <v>17.16</v>
      </c>
      <c r="H454" s="5">
        <f>ROUND(G454*NOTAS!$B$2,2)</f>
        <v>12378.29</v>
      </c>
      <c r="I454" s="6">
        <f>ROUND(G454*NOTAS!$B$3,0)</f>
        <v>55751</v>
      </c>
      <c r="J454" s="2" t="n">
        <v>1</v>
      </c>
    </row>
    <row r="455">
      <c r="A455" s="2" t="inlineStr">
        <is>
          <t>24409355</t>
        </is>
      </c>
      <c r="B455" s="2" t="inlineStr"/>
      <c r="C455" s="2" t="inlineStr">
        <is>
          <t xml:space="preserve">BOMBA DE AGUA AVEO 1.6/NUBIRA </t>
        </is>
      </c>
      <c r="D455" s="2" t="inlineStr">
        <is>
          <t>KURUMA</t>
        </is>
      </c>
      <c r="E455" s="3" t="n">
        <v>15</v>
      </c>
      <c r="F455" s="4" t="n">
        <v>0.3</v>
      </c>
      <c r="G455" s="5">
        <f>ROUND(E455*(1+F455),2)</f>
        <v>19.50</v>
      </c>
      <c r="H455" s="5">
        <f>ROUND(G455*NOTAS!$B$2,2)</f>
        <v>14066.24</v>
      </c>
      <c r="I455" s="6">
        <f>ROUND(G455*NOTAS!$B$3,0)</f>
        <v>63353</v>
      </c>
      <c r="J455" s="2" t="n">
        <v>2</v>
      </c>
    </row>
    <row r="456">
      <c r="A456" s="2" t="inlineStr">
        <is>
          <t>GWKR-307A</t>
        </is>
      </c>
      <c r="B456" s="2" t="inlineStr"/>
      <c r="C456" s="2" t="inlineStr">
        <is>
          <t xml:space="preserve">BOMBA DE AGUA AVEO 1.6/NUBIRA </t>
        </is>
      </c>
      <c r="D456" s="2" t="inlineStr">
        <is>
          <t>GMB</t>
        </is>
      </c>
      <c r="E456" s="3" t="n">
        <v>20</v>
      </c>
      <c r="F456" s="4" t="n">
        <v>0.3</v>
      </c>
      <c r="G456" s="5">
        <f>ROUND(E456*(1+F456),2)</f>
        <v>26.00</v>
      </c>
      <c r="H456" s="5">
        <f>ROUND(G456*NOTAS!$B$2,2)</f>
        <v>18754.99</v>
      </c>
      <c r="I456" s="6">
        <f>ROUND(G456*NOTAS!$B$3,0)</f>
        <v>84471</v>
      </c>
      <c r="J456" s="2" t="n">
        <v>1</v>
      </c>
    </row>
    <row r="457">
      <c r="A457" s="2" t="inlineStr">
        <is>
          <t>96352650</t>
        </is>
      </c>
      <c r="B457" s="2" t="inlineStr"/>
      <c r="C457" s="2" t="inlineStr">
        <is>
          <t xml:space="preserve">BOMBA DE AGUA AVEO 1.6/NUBIRA </t>
        </is>
      </c>
      <c r="D457" s="2" t="inlineStr">
        <is>
          <t xml:space="preserve">KM </t>
        </is>
      </c>
      <c r="E457" s="3" t="n">
        <v>15</v>
      </c>
      <c r="F457" s="4" t="n">
        <v>0.3</v>
      </c>
      <c r="G457" s="5">
        <f>ROUND(E457*(1+F457),2)</f>
        <v>19.50</v>
      </c>
      <c r="H457" s="5">
        <f>ROUND(G457*NOTAS!$B$2,2)</f>
        <v>14066.24</v>
      </c>
      <c r="I457" s="6">
        <f>ROUND(G457*NOTAS!$B$3,0)</f>
        <v>63353</v>
      </c>
      <c r="J457" s="2" t="n">
        <v>1</v>
      </c>
    </row>
    <row r="458">
      <c r="A458" s="2" t="inlineStr">
        <is>
          <t>96872702</t>
        </is>
      </c>
      <c r="B458" s="2" t="inlineStr"/>
      <c r="C458" s="2" t="inlineStr">
        <is>
          <t>BOMBA DE AGUA AVEO 1.6/NUBIRA CON LATA PROTECTORA</t>
        </is>
      </c>
      <c r="D458" s="2" t="inlineStr">
        <is>
          <t>CIC</t>
        </is>
      </c>
      <c r="E458" s="3" t="n">
        <v>15</v>
      </c>
      <c r="F458" s="4" t="n">
        <v>0.3</v>
      </c>
      <c r="G458" s="5">
        <f>ROUND(E458*(1+F458),2)</f>
        <v>19.50</v>
      </c>
      <c r="H458" s="5">
        <f>ROUND(G458*NOTAS!$B$2,2)</f>
        <v>14066.24</v>
      </c>
      <c r="I458" s="6">
        <f>ROUND(G458*NOTAS!$B$3,0)</f>
        <v>63353</v>
      </c>
      <c r="J458" s="2" t="n">
        <v>3</v>
      </c>
    </row>
    <row r="459">
      <c r="A459" s="2" t="inlineStr">
        <is>
          <t>18-1384</t>
        </is>
      </c>
      <c r="B459" s="2" t="inlineStr"/>
      <c r="C459" s="2" t="inlineStr">
        <is>
          <t>BOMBA DE AGUA C-1500 CHEYENNE 96/00 C3500 96/00 BLAZER 97/00 CON ROSCA</t>
        </is>
      </c>
      <c r="D459" s="2" t="inlineStr">
        <is>
          <t>NEW WATER PUMP</t>
        </is>
      </c>
      <c r="E459" s="3" t="n">
        <v>34.6154</v>
      </c>
      <c r="F459" s="4" t="n">
        <v>0.3</v>
      </c>
      <c r="G459" s="5">
        <f>ROUND(E459*(1+F459),2)</f>
        <v>45.00</v>
      </c>
      <c r="H459" s="5">
        <f>ROUND(G459*NOTAS!$B$2,2)</f>
        <v>32460.55</v>
      </c>
      <c r="I459" s="6">
        <f>ROUND(G459*NOTAS!$B$3,0)</f>
        <v>146199</v>
      </c>
      <c r="J459" s="2" t="n">
        <v>1</v>
      </c>
    </row>
    <row r="460">
      <c r="A460" s="2" t="inlineStr">
        <is>
          <t>18-439</t>
        </is>
      </c>
      <c r="B460" s="2" t="inlineStr"/>
      <c r="C460" s="2" t="inlineStr">
        <is>
          <t>BOMBA DE AGUA CENTURY FULL INYECTION 87/94 LUMINA IMPALA</t>
        </is>
      </c>
      <c r="D460" s="2" t="inlineStr">
        <is>
          <t>NEW WATER PUMP</t>
        </is>
      </c>
      <c r="E460" s="3" t="n">
        <v>30.7692</v>
      </c>
      <c r="F460" s="4" t="n">
        <v>0.3</v>
      </c>
      <c r="G460" s="5">
        <f>ROUND(E460*(1+F460),2)</f>
        <v>40.00</v>
      </c>
      <c r="H460" s="5">
        <f>ROUND(G460*NOTAS!$B$2,2)</f>
        <v>28853.82</v>
      </c>
      <c r="I460" s="6">
        <f>ROUND(G460*NOTAS!$B$3,0)</f>
        <v>129955</v>
      </c>
      <c r="J460" s="2" t="n">
        <v>1</v>
      </c>
    </row>
    <row r="461">
      <c r="A461" s="2" t="inlineStr">
        <is>
          <t>RE0080</t>
        </is>
      </c>
      <c r="B461" s="2" t="inlineStr"/>
      <c r="C461" s="2" t="inlineStr">
        <is>
          <t>BOMBA DE AGUA CORCEL/R-12</t>
        </is>
      </c>
      <c r="D461" s="2" t="inlineStr">
        <is>
          <t>FIDELITYPUMPS</t>
        </is>
      </c>
      <c r="E461" s="3" t="n">
        <v>13</v>
      </c>
      <c r="F461" s="4" t="n">
        <v>0.3</v>
      </c>
      <c r="G461" s="5">
        <f>ROUND(E461*(1+F461),2)</f>
        <v>16.90</v>
      </c>
      <c r="H461" s="5">
        <f>ROUND(G461*NOTAS!$B$2,2)</f>
        <v>12190.74</v>
      </c>
      <c r="I461" s="6">
        <f>ROUND(G461*NOTAS!$B$3,0)</f>
        <v>54906</v>
      </c>
      <c r="J461" s="2" t="n">
        <v>1</v>
      </c>
    </row>
    <row r="462">
      <c r="A462" s="2" t="inlineStr">
        <is>
          <t>UB0942E</t>
        </is>
      </c>
      <c r="B462" s="2" t="inlineStr"/>
      <c r="C462" s="2" t="inlineStr">
        <is>
          <t>BOMBA DE AGUA CORCEL/R-12</t>
        </is>
      </c>
      <c r="D462" s="2" t="inlineStr">
        <is>
          <t>URBA</t>
        </is>
      </c>
      <c r="E462" s="3" t="n">
        <v>16</v>
      </c>
      <c r="F462" s="4" t="n">
        <v>0.3</v>
      </c>
      <c r="G462" s="5">
        <f>ROUND(E462*(1+F462),2)</f>
        <v>20.80</v>
      </c>
      <c r="H462" s="5">
        <f>ROUND(G462*NOTAS!$B$2,2)</f>
        <v>15003.99</v>
      </c>
      <c r="I462" s="6">
        <f>ROUND(G462*NOTAS!$B$3,0)</f>
        <v>67576</v>
      </c>
      <c r="J462" s="2" t="n">
        <v>3</v>
      </c>
    </row>
    <row r="463">
      <c r="A463" s="2" t="inlineStr">
        <is>
          <t>US9057</t>
        </is>
      </c>
      <c r="B463" s="2" t="inlineStr"/>
      <c r="C463" s="2" t="inlineStr">
        <is>
          <t>BOMBA DE AGUA COROLLA 88/92</t>
        </is>
      </c>
      <c r="D463" s="2" t="inlineStr">
        <is>
          <t>USMW</t>
        </is>
      </c>
      <c r="E463" s="3" t="n">
        <v>26.9231</v>
      </c>
      <c r="F463" s="4" t="n">
        <v>0.3</v>
      </c>
      <c r="G463" s="5">
        <f>ROUND(E463*(1+F463),2)</f>
        <v>35.00</v>
      </c>
      <c r="H463" s="5">
        <f>ROUND(G463*NOTAS!$B$2,2)</f>
        <v>25247.10</v>
      </c>
      <c r="I463" s="6">
        <f>ROUND(G463*NOTAS!$B$3,0)</f>
        <v>113710</v>
      </c>
      <c r="J463" s="2" t="n">
        <v>2</v>
      </c>
    </row>
    <row r="464">
      <c r="A464" s="2" t="inlineStr">
        <is>
          <t>GM0139</t>
        </is>
      </c>
      <c r="B464" s="2" t="inlineStr"/>
      <c r="C464" s="2" t="inlineStr">
        <is>
          <t>BOMBA DE AGUA CORSA/CIELO/LANOS</t>
        </is>
      </c>
      <c r="D464" s="2" t="inlineStr">
        <is>
          <t>DEVIGILI</t>
        </is>
      </c>
      <c r="E464" s="3" t="n">
        <v>12.06</v>
      </c>
      <c r="F464" s="4" t="n">
        <v>0.3</v>
      </c>
      <c r="G464" s="5">
        <f>ROUND(E464*(1+F464),2)</f>
        <v>15.68</v>
      </c>
      <c r="H464" s="5">
        <f>ROUND(G464*NOTAS!$B$2,2)</f>
        <v>11310.70</v>
      </c>
      <c r="I464" s="6">
        <f>ROUND(G464*NOTAS!$B$3,0)</f>
        <v>50942</v>
      </c>
      <c r="J464" s="2" t="n">
        <v>1</v>
      </c>
    </row>
    <row r="465">
      <c r="A465" s="2" t="inlineStr">
        <is>
          <t>A96872704</t>
        </is>
      </c>
      <c r="B465" s="2" t="inlineStr"/>
      <c r="C465" s="2" t="inlineStr">
        <is>
          <t>BOMBA DE AGUA CORSA/CIELO/LANOS</t>
        </is>
      </c>
      <c r="D465" s="2" t="inlineStr">
        <is>
          <t>ATC</t>
        </is>
      </c>
      <c r="E465" s="3" t="n">
        <v>13</v>
      </c>
      <c r="F465" s="4" t="n">
        <v>0.3</v>
      </c>
      <c r="G465" s="5">
        <f>ROUND(E465*(1+F465),2)</f>
        <v>16.90</v>
      </c>
      <c r="H465" s="5">
        <f>ROUND(G465*NOTAS!$B$2,2)</f>
        <v>12190.74</v>
      </c>
      <c r="I465" s="6">
        <f>ROUND(G465*NOTAS!$B$3,0)</f>
        <v>54906</v>
      </c>
      <c r="J465" s="2" t="n">
        <v>4</v>
      </c>
    </row>
    <row r="466">
      <c r="A466" s="2" t="inlineStr">
        <is>
          <t>MB0167</t>
        </is>
      </c>
      <c r="B466" s="2" t="inlineStr"/>
      <c r="C466" s="2" t="inlineStr">
        <is>
          <t>BOMBA DE AGUA CORSA/CIELO/LANOS</t>
        </is>
      </c>
      <c r="D466" s="2" t="inlineStr">
        <is>
          <t>MELLING</t>
        </is>
      </c>
      <c r="E466" s="3" t="n">
        <v>16</v>
      </c>
      <c r="F466" s="4" t="n">
        <v>0.3</v>
      </c>
      <c r="G466" s="5">
        <f>ROUND(E466*(1+F466),2)</f>
        <v>20.80</v>
      </c>
      <c r="H466" s="5">
        <f>ROUND(G466*NOTAS!$B$2,2)</f>
        <v>15003.99</v>
      </c>
      <c r="I466" s="6">
        <f>ROUND(G466*NOTAS!$B$3,0)</f>
        <v>67576</v>
      </c>
      <c r="J466" s="2" t="n">
        <v>4</v>
      </c>
    </row>
    <row r="467">
      <c r="A467" s="2" t="inlineStr">
        <is>
          <t>BA193</t>
        </is>
      </c>
      <c r="B467" s="2" t="inlineStr"/>
      <c r="C467" s="2" t="inlineStr">
        <is>
          <t>BOMBA DE AGUA CORSA/CIELO/LANOS</t>
        </is>
      </c>
      <c r="D467" s="2" t="inlineStr">
        <is>
          <t>VMG</t>
        </is>
      </c>
      <c r="E467" s="3" t="n">
        <v>13</v>
      </c>
      <c r="F467" s="4" t="n">
        <v>0.3</v>
      </c>
      <c r="G467" s="5">
        <f>ROUND(E467*(1+F467),2)</f>
        <v>16.90</v>
      </c>
      <c r="H467" s="5">
        <f>ROUND(G467*NOTAS!$B$2,2)</f>
        <v>12190.74</v>
      </c>
      <c r="I467" s="6">
        <f>ROUND(G467*NOTAS!$B$3,0)</f>
        <v>54906</v>
      </c>
      <c r="J467" s="2" t="n">
        <v>8</v>
      </c>
    </row>
    <row r="468">
      <c r="A468" s="2" t="inlineStr">
        <is>
          <t>WP1262</t>
        </is>
      </c>
      <c r="B468" s="2" t="inlineStr"/>
      <c r="C468" s="2" t="inlineStr">
        <is>
          <t>BOMBA DE AGUA CORSA/CIELO/LANOS</t>
        </is>
      </c>
      <c r="D468" s="2" t="inlineStr">
        <is>
          <t>DELPHI</t>
        </is>
      </c>
      <c r="E468" s="3" t="n">
        <v>16</v>
      </c>
      <c r="F468" s="4" t="n">
        <v>0.3</v>
      </c>
      <c r="G468" s="5">
        <f>ROUND(E468*(1+F468),2)</f>
        <v>20.80</v>
      </c>
      <c r="H468" s="5">
        <f>ROUND(G468*NOTAS!$B$2,2)</f>
        <v>15003.99</v>
      </c>
      <c r="I468" s="6">
        <f>ROUND(G468*NOTAS!$B$3,0)</f>
        <v>67576</v>
      </c>
      <c r="J468" s="2" t="n">
        <v>10</v>
      </c>
    </row>
    <row r="469">
      <c r="A469" s="2" t="inlineStr">
        <is>
          <t>88926172</t>
        </is>
      </c>
      <c r="B469" s="2" t="inlineStr"/>
      <c r="C469" s="2" t="inlineStr">
        <is>
          <t>BOMBA DE AGUA CORSA/CIELO/LANOS</t>
        </is>
      </c>
      <c r="D469" s="2" t="inlineStr">
        <is>
          <t>ACDELCO</t>
        </is>
      </c>
      <c r="E469" s="3" t="n">
        <v>12</v>
      </c>
      <c r="F469" s="4" t="n">
        <v>0.3</v>
      </c>
      <c r="G469" s="5">
        <f>ROUND(E469*(1+F469),2)</f>
        <v>15.60</v>
      </c>
      <c r="H469" s="5">
        <f>ROUND(G469*NOTAS!$B$2,2)</f>
        <v>11252.99</v>
      </c>
      <c r="I469" s="6">
        <f>ROUND(G469*NOTAS!$B$3,0)</f>
        <v>50682</v>
      </c>
      <c r="J469" s="2" t="n">
        <v>4</v>
      </c>
    </row>
    <row r="470">
      <c r="A470" s="2" t="inlineStr">
        <is>
          <t>88903798</t>
        </is>
      </c>
      <c r="B470" s="2" t="inlineStr"/>
      <c r="C470" s="2" t="inlineStr">
        <is>
          <t>BOMBA DE AGUA CORSA/CIELO/LANOS</t>
        </is>
      </c>
      <c r="D470" s="2" t="inlineStr">
        <is>
          <t>ACDELCO</t>
        </is>
      </c>
      <c r="E470" s="3" t="n">
        <v>12</v>
      </c>
      <c r="F470" s="4" t="n">
        <v>0.3</v>
      </c>
      <c r="G470" s="5">
        <f>ROUND(E470*(1+F470),2)</f>
        <v>15.60</v>
      </c>
      <c r="H470" s="5">
        <f>ROUND(G470*NOTAS!$B$2,2)</f>
        <v>11252.99</v>
      </c>
      <c r="I470" s="6">
        <f>ROUND(G470*NOTAS!$B$3,0)</f>
        <v>50682</v>
      </c>
      <c r="J470" s="2" t="n">
        <v>3</v>
      </c>
    </row>
    <row r="471">
      <c r="A471" s="2" t="inlineStr">
        <is>
          <t>NKBA03147</t>
        </is>
      </c>
      <c r="B471" s="2" t="inlineStr"/>
      <c r="C471" s="2" t="inlineStr">
        <is>
          <t>BOMBA DE AGUA CORSA/CIELO/LANOS</t>
        </is>
      </c>
      <c r="D471" s="2" t="inlineStr">
        <is>
          <t>NAKATA</t>
        </is>
      </c>
      <c r="E471" s="3" t="n">
        <v>16</v>
      </c>
      <c r="F471" s="4" t="n">
        <v>0.3</v>
      </c>
      <c r="G471" s="5">
        <f>ROUND(E471*(1+F471),2)</f>
        <v>20.80</v>
      </c>
      <c r="H471" s="5">
        <f>ROUND(G471*NOTAS!$B$2,2)</f>
        <v>15003.99</v>
      </c>
      <c r="I471" s="6">
        <f>ROUND(G471*NOTAS!$B$3,0)</f>
        <v>67576</v>
      </c>
      <c r="J471" s="2" t="n">
        <v>3</v>
      </c>
    </row>
    <row r="472">
      <c r="A472" s="2" t="inlineStr">
        <is>
          <t>FD0047</t>
        </is>
      </c>
      <c r="B472" s="2" t="inlineStr"/>
      <c r="C472" s="2" t="inlineStr">
        <is>
          <t>BOMBA DE AGUA ECOSPORT 2.0/FOCUS</t>
        </is>
      </c>
      <c r="D472" s="2" t="inlineStr">
        <is>
          <t>FIDELITYPUMPS</t>
        </is>
      </c>
      <c r="E472" s="3" t="n">
        <v>11.81</v>
      </c>
      <c r="F472" s="4" t="n">
        <v>0.3</v>
      </c>
      <c r="G472" s="5">
        <f>ROUND(E472*(1+F472),2)</f>
        <v>15.35</v>
      </c>
      <c r="H472" s="5">
        <f>ROUND(G472*NOTAS!$B$2,2)</f>
        <v>11072.65</v>
      </c>
      <c r="I472" s="6">
        <f>ROUND(G472*NOTAS!$B$3,0)</f>
        <v>49870</v>
      </c>
      <c r="J472" s="2" t="n">
        <v>3</v>
      </c>
    </row>
    <row r="473">
      <c r="A473" s="2" t="inlineStr">
        <is>
          <t>PW-447</t>
        </is>
      </c>
      <c r="B473" s="2" t="inlineStr">
        <is>
          <t>4S4Z8501AA</t>
        </is>
      </c>
      <c r="C473" s="2" t="inlineStr">
        <is>
          <t>BOMBA DE AGUA ECOSPORT 2.0/FOCUS</t>
        </is>
      </c>
      <c r="D473" s="2" t="inlineStr">
        <is>
          <t>MOTORCRAFT</t>
        </is>
      </c>
      <c r="E473" s="3" t="n">
        <v>11.77</v>
      </c>
      <c r="F473" s="4" t="n">
        <v>0.3</v>
      </c>
      <c r="G473" s="5">
        <f>ROUND(E473*(1+F473),2)</f>
        <v>15.30</v>
      </c>
      <c r="H473" s="5">
        <f>ROUND(G473*NOTAS!$B$2,2)</f>
        <v>11036.59</v>
      </c>
      <c r="I473" s="6">
        <f>ROUND(G473*NOTAS!$B$3,0)</f>
        <v>49708</v>
      </c>
      <c r="J473" s="2" t="n">
        <v>3</v>
      </c>
    </row>
    <row r="474">
      <c r="A474" s="2" t="inlineStr">
        <is>
          <t>PW-447</t>
        </is>
      </c>
      <c r="B474" s="2" t="inlineStr">
        <is>
          <t>4S4Z8501AA</t>
        </is>
      </c>
      <c r="C474" s="2" t="inlineStr">
        <is>
          <t>BOMBA DE AGUA ECOSPORT 2.0/FOCUS</t>
        </is>
      </c>
      <c r="D474" s="2" t="inlineStr">
        <is>
          <t>MOTORCRAFT</t>
        </is>
      </c>
      <c r="E474" s="3" t="n">
        <v>60</v>
      </c>
      <c r="F474" s="4" t="n">
        <v>0.3</v>
      </c>
      <c r="G474" s="5">
        <f>ROUND(E474*(1+F474),2)</f>
        <v>78.00</v>
      </c>
      <c r="H474" s="5">
        <f>ROUND(G474*NOTAS!$B$2,2)</f>
        <v>56264.96</v>
      </c>
      <c r="I474" s="6">
        <f>ROUND(G474*NOTAS!$B$3,0)</f>
        <v>253412</v>
      </c>
      <c r="J474" s="2" t="n">
        <v>3</v>
      </c>
    </row>
    <row r="475">
      <c r="A475" s="2" t="inlineStr">
        <is>
          <t>4S4Z8501AA</t>
        </is>
      </c>
      <c r="B475" s="2" t="inlineStr"/>
      <c r="C475" s="2" t="inlineStr">
        <is>
          <t>BOMBA DE AGUA ECOSPORT 2.0/FOCUS</t>
        </is>
      </c>
      <c r="D475" s="2" t="inlineStr">
        <is>
          <t>KTO</t>
        </is>
      </c>
      <c r="E475" s="3" t="n">
        <v>14.72</v>
      </c>
      <c r="F475" s="4" t="n">
        <v>0.3</v>
      </c>
      <c r="G475" s="5">
        <f>ROUND(E475*(1+F475),2)</f>
        <v>19.14</v>
      </c>
      <c r="H475" s="5">
        <f>ROUND(G475*NOTAS!$B$2,2)</f>
        <v>13806.55</v>
      </c>
      <c r="I475" s="6">
        <f>ROUND(G475*NOTAS!$B$3,0)</f>
        <v>62183</v>
      </c>
      <c r="J475" s="2" t="n">
        <v>1</v>
      </c>
    </row>
    <row r="476">
      <c r="A476" s="2" t="inlineStr">
        <is>
          <t>S-131</t>
        </is>
      </c>
      <c r="B476" s="2" t="inlineStr"/>
      <c r="C476" s="2" t="inlineStr">
        <is>
          <t>BOMBA DE AGUA F-131</t>
        </is>
      </c>
      <c r="D476" s="2" t="inlineStr">
        <is>
          <t>DOLZ</t>
        </is>
      </c>
      <c r="E476" s="3" t="n">
        <v>15</v>
      </c>
      <c r="F476" s="4" t="n">
        <v>0.3</v>
      </c>
      <c r="G476" s="5">
        <f>ROUND(E476*(1+F476),2)</f>
        <v>19.50</v>
      </c>
      <c r="H476" s="5">
        <f>ROUND(G476*NOTAS!$B$2,2)</f>
        <v>14066.24</v>
      </c>
      <c r="I476" s="6">
        <f>ROUND(G476*NOTAS!$B$3,0)</f>
        <v>63353</v>
      </c>
      <c r="J476" s="2" t="n">
        <v>1</v>
      </c>
    </row>
    <row r="477">
      <c r="A477" s="2" t="inlineStr">
        <is>
          <t>30022</t>
        </is>
      </c>
      <c r="B477" s="2" t="inlineStr"/>
      <c r="C477" s="2" t="inlineStr">
        <is>
          <t>BOMBA DE AGUA F-131</t>
        </is>
      </c>
      <c r="D477" s="2" t="inlineStr">
        <is>
          <t>AIRTEX</t>
        </is>
      </c>
      <c r="E477" s="3" t="n">
        <v>15</v>
      </c>
      <c r="F477" s="4" t="n">
        <v>0.3</v>
      </c>
      <c r="G477" s="5">
        <f>ROUND(E477*(1+F477),2)</f>
        <v>19.50</v>
      </c>
      <c r="H477" s="5">
        <f>ROUND(G477*NOTAS!$B$2,2)</f>
        <v>14066.24</v>
      </c>
      <c r="I477" s="6">
        <f>ROUND(G477*NOTAS!$B$3,0)</f>
        <v>63353</v>
      </c>
      <c r="J477" s="2" t="n">
        <v>1</v>
      </c>
    </row>
    <row r="478">
      <c r="A478" s="2" t="inlineStr">
        <is>
          <t>FI0102</t>
        </is>
      </c>
      <c r="B478" s="2" t="inlineStr"/>
      <c r="C478" s="2" t="inlineStr">
        <is>
          <t>BOMBA DE AGUA F-147/UNO 1.3</t>
        </is>
      </c>
      <c r="D478" s="2" t="inlineStr">
        <is>
          <t>FIDELITYPUMPS</t>
        </is>
      </c>
      <c r="E478" s="3" t="n">
        <v>11.22</v>
      </c>
      <c r="F478" s="4" t="n">
        <v>0.3</v>
      </c>
      <c r="G478" s="5">
        <f>ROUND(E478*(1+F478),2)</f>
        <v>14.59</v>
      </c>
      <c r="H478" s="5">
        <f>ROUND(G478*NOTAS!$B$2,2)</f>
        <v>10524.43</v>
      </c>
      <c r="I478" s="6">
        <f>ROUND(G478*NOTAS!$B$3,0)</f>
        <v>47401</v>
      </c>
      <c r="J478" s="2" t="n">
        <v>1</v>
      </c>
    </row>
    <row r="479">
      <c r="A479" s="2" t="inlineStr">
        <is>
          <t>S148</t>
        </is>
      </c>
      <c r="B479" s="2" t="inlineStr"/>
      <c r="C479" s="2" t="inlineStr">
        <is>
          <t>BOMBA DE AGUA F-147/UNO 1.3</t>
        </is>
      </c>
      <c r="D479" s="2" t="inlineStr">
        <is>
          <t>DOLZ</t>
        </is>
      </c>
      <c r="E479" s="3" t="n">
        <v>15</v>
      </c>
      <c r="F479" s="4" t="n">
        <v>0.3</v>
      </c>
      <c r="G479" s="5">
        <f>ROUND(E479*(1+F479),2)</f>
        <v>19.50</v>
      </c>
      <c r="H479" s="5">
        <f>ROUND(G479*NOTAS!$B$2,2)</f>
        <v>14066.24</v>
      </c>
      <c r="I479" s="6">
        <f>ROUND(G479*NOTAS!$B$3,0)</f>
        <v>63353</v>
      </c>
      <c r="J479" s="2" t="n">
        <v>1</v>
      </c>
    </row>
    <row r="480">
      <c r="A480" s="2" t="inlineStr">
        <is>
          <t>NKBA01749</t>
        </is>
      </c>
      <c r="B480" s="2" t="inlineStr"/>
      <c r="C480" s="2" t="inlineStr">
        <is>
          <t>BOMBA DE AGUA F-147/UNO 1.3</t>
        </is>
      </c>
      <c r="D480" s="2" t="inlineStr">
        <is>
          <t>NAKATA</t>
        </is>
      </c>
      <c r="E480" s="3" t="n">
        <v>16</v>
      </c>
      <c r="F480" s="4" t="n">
        <v>0.3</v>
      </c>
      <c r="G480" s="5">
        <f>ROUND(E480*(1+F480),2)</f>
        <v>20.80</v>
      </c>
      <c r="H480" s="5">
        <f>ROUND(G480*NOTAS!$B$2,2)</f>
        <v>15003.99</v>
      </c>
      <c r="I480" s="6">
        <f>ROUND(G480*NOTAS!$B$3,0)</f>
        <v>67576</v>
      </c>
      <c r="J480" s="2" t="n">
        <v>2</v>
      </c>
    </row>
    <row r="481">
      <c r="A481" s="2" t="inlineStr">
        <is>
          <t>KKY01-15-010D</t>
        </is>
      </c>
      <c r="B481" s="2" t="inlineStr"/>
      <c r="C481" s="2" t="inlineStr">
        <is>
          <t>BOMBA DE AGUA FESTIVA/TURPIAL/MAZDA 323</t>
        </is>
      </c>
      <c r="D481" s="2" t="inlineStr">
        <is>
          <t>ALIC</t>
        </is>
      </c>
      <c r="E481" s="3" t="n">
        <v>20</v>
      </c>
      <c r="F481" s="4" t="n">
        <v>0.3</v>
      </c>
      <c r="G481" s="5">
        <f>ROUND(E481*(1+F481),2)</f>
        <v>26.00</v>
      </c>
      <c r="H481" s="5">
        <f>ROUND(G481*NOTAS!$B$2,2)</f>
        <v>18754.99</v>
      </c>
      <c r="I481" s="6">
        <f>ROUND(G481*NOTAS!$B$3,0)</f>
        <v>84471</v>
      </c>
      <c r="J481" s="2" t="n">
        <v>1</v>
      </c>
    </row>
    <row r="482">
      <c r="A482" s="2" t="inlineStr">
        <is>
          <t>AT0K93015010</t>
        </is>
      </c>
      <c r="B482" s="2" t="inlineStr"/>
      <c r="C482" s="2" t="inlineStr">
        <is>
          <t>BOMBA DE AGUA FESTIVA/TURPIAL/MAZDA 323</t>
        </is>
      </c>
      <c r="D482" s="2" t="inlineStr">
        <is>
          <t>AUTOTOP</t>
        </is>
      </c>
      <c r="E482" s="3" t="n">
        <v>20</v>
      </c>
      <c r="F482" s="4" t="n">
        <v>0.3</v>
      </c>
      <c r="G482" s="5">
        <f>ROUND(E482*(1+F482),2)</f>
        <v>26.00</v>
      </c>
      <c r="H482" s="5">
        <f>ROUND(G482*NOTAS!$B$2,2)</f>
        <v>18754.99</v>
      </c>
      <c r="I482" s="6">
        <f>ROUND(G482*NOTAS!$B$3,0)</f>
        <v>84471</v>
      </c>
      <c r="J482" s="2" t="n">
        <v>1</v>
      </c>
    </row>
    <row r="483">
      <c r="A483" s="2" t="inlineStr">
        <is>
          <t>KKY01-15-010D</t>
        </is>
      </c>
      <c r="B483" s="2" t="inlineStr"/>
      <c r="C483" s="2" t="inlineStr">
        <is>
          <t>BOMBA DE AGUA FESTIVA/TURPIAL/MAZDA 323</t>
        </is>
      </c>
      <c r="D483" s="2" t="inlineStr">
        <is>
          <t>PARTS-MALL</t>
        </is>
      </c>
      <c r="E483" s="3" t="n">
        <v>20</v>
      </c>
      <c r="F483" s="4" t="n">
        <v>0.3</v>
      </c>
      <c r="G483" s="5">
        <f>ROUND(E483*(1+F483),2)</f>
        <v>26.00</v>
      </c>
      <c r="H483" s="5">
        <f>ROUND(G483*NOTAS!$B$2,2)</f>
        <v>18754.99</v>
      </c>
      <c r="I483" s="6">
        <f>ROUND(G483*NOTAS!$B$3,0)</f>
        <v>84471</v>
      </c>
      <c r="J483" s="2" t="n">
        <v>1</v>
      </c>
    </row>
    <row r="484">
      <c r="A484" s="2" t="inlineStr">
        <is>
          <t>F-133</t>
        </is>
      </c>
      <c r="B484" s="2" t="inlineStr"/>
      <c r="C484" s="2" t="inlineStr">
        <is>
          <t>BOMBA DE AGUA FIESTA 1.25</t>
        </is>
      </c>
      <c r="D484" s="2" t="inlineStr">
        <is>
          <t>DOLZ</t>
        </is>
      </c>
      <c r="E484" s="3" t="n">
        <v>15</v>
      </c>
      <c r="F484" s="4" t="n">
        <v>0.3</v>
      </c>
      <c r="G484" s="5">
        <f>ROUND(E484*(1+F484),2)</f>
        <v>19.50</v>
      </c>
      <c r="H484" s="5">
        <f>ROUND(G484*NOTAS!$B$2,2)</f>
        <v>14066.24</v>
      </c>
      <c r="I484" s="6">
        <f>ROUND(G484*NOTAS!$B$3,0)</f>
        <v>63353</v>
      </c>
      <c r="J484" s="2" t="n">
        <v>1</v>
      </c>
    </row>
    <row r="485">
      <c r="A485" s="2" t="inlineStr">
        <is>
          <t>F-147</t>
        </is>
      </c>
      <c r="B485" s="2" t="inlineStr"/>
      <c r="C485" s="2" t="inlineStr">
        <is>
          <t>BOMBA DE AGUA FIESTA 1.3</t>
        </is>
      </c>
      <c r="D485" s="2" t="inlineStr">
        <is>
          <t>DOLZ</t>
        </is>
      </c>
      <c r="E485" s="3" t="n">
        <v>15</v>
      </c>
      <c r="F485" s="4" t="n">
        <v>0.3</v>
      </c>
      <c r="G485" s="5">
        <f>ROUND(E485*(1+F485),2)</f>
        <v>19.50</v>
      </c>
      <c r="H485" s="5">
        <f>ROUND(G485*NOTAS!$B$2,2)</f>
        <v>14066.24</v>
      </c>
      <c r="I485" s="6">
        <f>ROUND(G485*NOTAS!$B$3,0)</f>
        <v>63353</v>
      </c>
      <c r="J485" s="2" t="n">
        <v>3</v>
      </c>
    </row>
    <row r="486">
      <c r="A486" s="2" t="inlineStr">
        <is>
          <t>FD0019</t>
        </is>
      </c>
      <c r="B486" s="2" t="inlineStr">
        <is>
          <t>XS6E8501AD</t>
        </is>
      </c>
      <c r="C486" s="2" t="inlineStr">
        <is>
          <t>BOMBA DE AGUA FIESTA 1.6/KA</t>
        </is>
      </c>
      <c r="D486" s="2" t="inlineStr">
        <is>
          <t>FIDELITYPUMPS</t>
        </is>
      </c>
      <c r="E486" s="3" t="n">
        <v>12.21</v>
      </c>
      <c r="F486" s="4" t="n">
        <v>0.3</v>
      </c>
      <c r="G486" s="5">
        <f>ROUND(E486*(1+F486),2)</f>
        <v>15.87</v>
      </c>
      <c r="H486" s="5">
        <f>ROUND(G486*NOTAS!$B$2,2)</f>
        <v>11447.75</v>
      </c>
      <c r="I486" s="6">
        <f>ROUND(G486*NOTAS!$B$3,0)</f>
        <v>51560</v>
      </c>
      <c r="J486" s="2" t="n">
        <v>1</v>
      </c>
    </row>
    <row r="487">
      <c r="A487" s="2" t="inlineStr">
        <is>
          <t>BA419</t>
        </is>
      </c>
      <c r="B487" s="2" t="inlineStr"/>
      <c r="C487" s="2" t="inlineStr">
        <is>
          <t>BOMBA DE AGUA FIESTA 1.6/KA</t>
        </is>
      </c>
      <c r="D487" s="2" t="inlineStr">
        <is>
          <t>VMG</t>
        </is>
      </c>
      <c r="E487" s="3" t="n">
        <v>15</v>
      </c>
      <c r="F487" s="4" t="n">
        <v>0.3</v>
      </c>
      <c r="G487" s="5">
        <f>ROUND(E487*(1+F487),2)</f>
        <v>19.50</v>
      </c>
      <c r="H487" s="5">
        <f>ROUND(G487*NOTAS!$B$2,2)</f>
        <v>14066.24</v>
      </c>
      <c r="I487" s="6">
        <f>ROUND(G487*NOTAS!$B$3,0)</f>
        <v>63353</v>
      </c>
      <c r="J487" s="2" t="n">
        <v>2</v>
      </c>
    </row>
    <row r="488">
      <c r="A488" s="2" t="inlineStr">
        <is>
          <t>WP5947</t>
        </is>
      </c>
      <c r="B488" s="2" t="inlineStr"/>
      <c r="C488" s="2" t="inlineStr">
        <is>
          <t>BOMBA DE AGUA FIESTA 1.6/KA</t>
        </is>
      </c>
      <c r="D488" s="2" t="inlineStr">
        <is>
          <t>DELPHI</t>
        </is>
      </c>
      <c r="E488" s="3" t="n">
        <v>20</v>
      </c>
      <c r="F488" s="4" t="n">
        <v>0.3</v>
      </c>
      <c r="G488" s="5">
        <f>ROUND(E488*(1+F488),2)</f>
        <v>26.00</v>
      </c>
      <c r="H488" s="5">
        <f>ROUND(G488*NOTAS!$B$2,2)</f>
        <v>18754.99</v>
      </c>
      <c r="I488" s="6">
        <f>ROUND(G488*NOTAS!$B$3,0)</f>
        <v>84471</v>
      </c>
      <c r="J488" s="2" t="n">
        <v>2</v>
      </c>
    </row>
    <row r="489">
      <c r="A489" s="2" t="inlineStr">
        <is>
          <t>19187222</t>
        </is>
      </c>
      <c r="B489" s="2" t="inlineStr"/>
      <c r="C489" s="2" t="inlineStr">
        <is>
          <t>BOMBA DE AGUA FIESTA 1.6/KA</t>
        </is>
      </c>
      <c r="D489" s="2" t="inlineStr">
        <is>
          <t>ACDELCO</t>
        </is>
      </c>
      <c r="E489" s="3" t="n">
        <v>15</v>
      </c>
      <c r="F489" s="4" t="n">
        <v>0.3</v>
      </c>
      <c r="G489" s="5">
        <f>ROUND(E489*(1+F489),2)</f>
        <v>19.50</v>
      </c>
      <c r="H489" s="5">
        <f>ROUND(G489*NOTAS!$B$2,2)</f>
        <v>14066.24</v>
      </c>
      <c r="I489" s="6">
        <f>ROUND(G489*NOTAS!$B$3,0)</f>
        <v>63353</v>
      </c>
      <c r="J489" s="2" t="n">
        <v>2</v>
      </c>
    </row>
    <row r="490">
      <c r="A490" s="2" t="inlineStr">
        <is>
          <t>990009</t>
        </is>
      </c>
      <c r="B490" s="2" t="inlineStr">
        <is>
          <t>2S6G8591AA</t>
        </is>
      </c>
      <c r="C490" s="2" t="inlineStr">
        <is>
          <t>BOMBA DE AGUA FIESTA 1.6/KA</t>
        </is>
      </c>
      <c r="D490" s="2" t="inlineStr">
        <is>
          <t>FORD</t>
        </is>
      </c>
      <c r="E490" s="3" t="n">
        <v>30</v>
      </c>
      <c r="F490" s="4" t="n">
        <v>0.3</v>
      </c>
      <c r="G490" s="5">
        <f>ROUND(E490*(1+F490),2)</f>
        <v>39.00</v>
      </c>
      <c r="H490" s="5">
        <f>ROUND(G490*NOTAS!$B$2,2)</f>
        <v>28132.48</v>
      </c>
      <c r="I490" s="6">
        <f>ROUND(G490*NOTAS!$B$3,0)</f>
        <v>126706</v>
      </c>
      <c r="J490" s="2" t="n">
        <v>6</v>
      </c>
    </row>
    <row r="491">
      <c r="A491" s="2" t="inlineStr">
        <is>
          <t>MB0947</t>
        </is>
      </c>
      <c r="B491" s="2" t="inlineStr"/>
      <c r="C491" s="2" t="inlineStr">
        <is>
          <t>BOMBA DE AGUA FIESTA 1.6/KA</t>
        </is>
      </c>
      <c r="D491" s="2" t="inlineStr">
        <is>
          <t>MELLING</t>
        </is>
      </c>
      <c r="E491" s="3" t="n">
        <v>20</v>
      </c>
      <c r="F491" s="4" t="n">
        <v>0.3</v>
      </c>
      <c r="G491" s="5">
        <f>ROUND(E491*(1+F491),2)</f>
        <v>26.00</v>
      </c>
      <c r="H491" s="5">
        <f>ROUND(G491*NOTAS!$B$2,2)</f>
        <v>18754.99</v>
      </c>
      <c r="I491" s="6">
        <f>ROUND(G491*NOTAS!$B$3,0)</f>
        <v>84471</v>
      </c>
      <c r="J491" s="2" t="n">
        <v>3</v>
      </c>
    </row>
    <row r="492">
      <c r="A492" s="2" t="inlineStr">
        <is>
          <t>50826</t>
        </is>
      </c>
      <c r="B492" s="2" t="inlineStr"/>
      <c r="C492" s="2" t="inlineStr">
        <is>
          <t>BOMBA DE AGUA FORD 300 ROSCA DERECHA</t>
        </is>
      </c>
      <c r="D492" s="2" t="inlineStr">
        <is>
          <t>FEDERAL MOGUL</t>
        </is>
      </c>
      <c r="E492" s="3" t="n">
        <v>30.7692</v>
      </c>
      <c r="F492" s="4" t="n">
        <v>0.3</v>
      </c>
      <c r="G492" s="5">
        <f>ROUND(E492*(1+F492),2)</f>
        <v>40.00</v>
      </c>
      <c r="H492" s="5">
        <f>ROUND(G492*NOTAS!$B$2,2)</f>
        <v>28853.82</v>
      </c>
      <c r="I492" s="6">
        <f>ROUND(G492*NOTAS!$B$3,0)</f>
        <v>129955</v>
      </c>
      <c r="J492" s="2" t="n">
        <v>1</v>
      </c>
    </row>
    <row r="493">
      <c r="A493" s="2" t="inlineStr">
        <is>
          <t>18-472</t>
        </is>
      </c>
      <c r="B493" s="2" t="inlineStr"/>
      <c r="C493" s="2" t="inlineStr">
        <is>
          <t>BOMBA DE AGUA FORD 300 ROSCA DERECHA</t>
        </is>
      </c>
      <c r="D493" s="2" t="inlineStr"/>
      <c r="E493" s="3" t="n">
        <v>30.7692</v>
      </c>
      <c r="F493" s="4" t="n">
        <v>0.3</v>
      </c>
      <c r="G493" s="5">
        <f>ROUND(E493*(1+F493),2)</f>
        <v>40.00</v>
      </c>
      <c r="H493" s="5">
        <f>ROUND(G493*NOTAS!$B$2,2)</f>
        <v>28853.82</v>
      </c>
      <c r="I493" s="6">
        <f>ROUND(G493*NOTAS!$B$3,0)</f>
        <v>129955</v>
      </c>
      <c r="J493" s="2" t="n">
        <v>1</v>
      </c>
    </row>
    <row r="494">
      <c r="A494" s="2" t="inlineStr">
        <is>
          <t>IM689</t>
        </is>
      </c>
      <c r="B494" s="2" t="inlineStr"/>
      <c r="C494" s="2" t="inlineStr">
        <is>
          <t>BOMBA DE AGUA FORD 302 351</t>
        </is>
      </c>
      <c r="D494" s="2" t="inlineStr">
        <is>
          <t>IMC</t>
        </is>
      </c>
      <c r="E494" s="3" t="n">
        <v>30.7692</v>
      </c>
      <c r="F494" s="4" t="n">
        <v>0.3</v>
      </c>
      <c r="G494" s="5">
        <f>ROUND(E494*(1+F494),2)</f>
        <v>40.00</v>
      </c>
      <c r="H494" s="5">
        <f>ROUND(G494*NOTAS!$B$2,2)</f>
        <v>28853.82</v>
      </c>
      <c r="I494" s="6">
        <f>ROUND(G494*NOTAS!$B$3,0)</f>
        <v>129955</v>
      </c>
      <c r="J494" s="2" t="n">
        <v>1</v>
      </c>
    </row>
    <row r="495">
      <c r="A495" s="2" t="inlineStr">
        <is>
          <t>18-304</t>
        </is>
      </c>
      <c r="B495" s="2" t="inlineStr"/>
      <c r="C495" s="2" t="inlineStr">
        <is>
          <t>BOMBA DE AGUA FORD M300 ROSCA IZQ 83/86</t>
        </is>
      </c>
      <c r="D495" s="2" t="inlineStr">
        <is>
          <t>NEW WATER PUMP</t>
        </is>
      </c>
      <c r="E495" s="3" t="n">
        <v>30.7692</v>
      </c>
      <c r="F495" s="4" t="n">
        <v>0.3</v>
      </c>
      <c r="G495" s="5">
        <f>ROUND(E495*(1+F495),2)</f>
        <v>40.00</v>
      </c>
      <c r="H495" s="5">
        <f>ROUND(G495*NOTAS!$B$2,2)</f>
        <v>28853.82</v>
      </c>
      <c r="I495" s="6">
        <f>ROUND(G495*NOTAS!$B$3,0)</f>
        <v>129955</v>
      </c>
      <c r="J495" s="2" t="n">
        <v>1</v>
      </c>
    </row>
    <row r="496">
      <c r="A496" s="2" t="inlineStr">
        <is>
          <t>FI0105</t>
        </is>
      </c>
      <c r="B496" s="2" t="inlineStr"/>
      <c r="C496" s="2" t="inlineStr">
        <is>
          <t>BOMBA DE AGUA F-PAL/SIE 1.3 SIN POLEA</t>
        </is>
      </c>
      <c r="D496" s="2" t="inlineStr">
        <is>
          <t>FIDELITYPUMPS</t>
        </is>
      </c>
      <c r="E496" s="3" t="n">
        <v>10.15</v>
      </c>
      <c r="F496" s="4" t="n">
        <v>0.3</v>
      </c>
      <c r="G496" s="5">
        <f>ROUND(E496*(1+F496),2)</f>
        <v>13.20</v>
      </c>
      <c r="H496" s="5">
        <f>ROUND(G496*NOTAS!$B$2,2)</f>
        <v>9521.76</v>
      </c>
      <c r="I496" s="6">
        <f>ROUND(G496*NOTAS!$B$3,0)</f>
        <v>42885</v>
      </c>
      <c r="J496" s="2" t="n">
        <v>2</v>
      </c>
    </row>
    <row r="497">
      <c r="A497" s="2" t="inlineStr">
        <is>
          <t>MB0766</t>
        </is>
      </c>
      <c r="B497" s="2" t="inlineStr"/>
      <c r="C497" s="2" t="inlineStr">
        <is>
          <t>BOMBA DE AGUA F-PALIO/SIENA 1.3 16V FIRE</t>
        </is>
      </c>
      <c r="D497" s="2" t="inlineStr">
        <is>
          <t>MELLING</t>
        </is>
      </c>
      <c r="E497" s="3" t="n">
        <v>20</v>
      </c>
      <c r="F497" s="4" t="n">
        <v>0.3</v>
      </c>
      <c r="G497" s="5">
        <f>ROUND(E497*(1+F497),2)</f>
        <v>26.00</v>
      </c>
      <c r="H497" s="5">
        <f>ROUND(G497*NOTAS!$B$2,2)</f>
        <v>18754.99</v>
      </c>
      <c r="I497" s="6">
        <f>ROUND(G497*NOTAS!$B$3,0)</f>
        <v>84471</v>
      </c>
      <c r="J497" s="2" t="n">
        <v>1</v>
      </c>
    </row>
    <row r="498">
      <c r="A498" s="2" t="inlineStr">
        <is>
          <t>FI0106</t>
        </is>
      </c>
      <c r="B498" s="2" t="inlineStr">
        <is>
          <t>46520401</t>
        </is>
      </c>
      <c r="C498" s="2" t="inlineStr">
        <is>
          <t>BOMBA DE AGUA F-PALIO/SIENA 1.3 16V FIRE</t>
        </is>
      </c>
      <c r="D498" s="2" t="inlineStr">
        <is>
          <t>FIDELITYPUMPS</t>
        </is>
      </c>
      <c r="E498" s="3" t="n">
        <v>11.74</v>
      </c>
      <c r="F498" s="4" t="n">
        <v>0.3</v>
      </c>
      <c r="G498" s="5">
        <f>ROUND(E498*(1+F498),2)</f>
        <v>15.26</v>
      </c>
      <c r="H498" s="5">
        <f>ROUND(G498*NOTAS!$B$2,2)</f>
        <v>11007.73</v>
      </c>
      <c r="I498" s="6">
        <f>ROUND(G498*NOTAS!$B$3,0)</f>
        <v>49578</v>
      </c>
      <c r="J498" s="2" t="n">
        <v>2</v>
      </c>
    </row>
    <row r="499">
      <c r="A499" s="2" t="inlineStr">
        <is>
          <t>55217970</t>
        </is>
      </c>
      <c r="B499" s="2" t="inlineStr"/>
      <c r="C499" s="2" t="inlineStr">
        <is>
          <t>BOMBA DE AGUA F-PALIO/SIENA 1.3 16V FIRE</t>
        </is>
      </c>
      <c r="D499" s="2" t="inlineStr">
        <is>
          <t>KTO</t>
        </is>
      </c>
      <c r="E499" s="3" t="n">
        <v>14.95</v>
      </c>
      <c r="F499" s="4" t="n">
        <v>0.3</v>
      </c>
      <c r="G499" s="5">
        <f>ROUND(E499*(1+F499),2)</f>
        <v>19.44</v>
      </c>
      <c r="H499" s="5">
        <f>ROUND(G499*NOTAS!$B$2,2)</f>
        <v>14022.96</v>
      </c>
      <c r="I499" s="6">
        <f>ROUND(G499*NOTAS!$B$3,0)</f>
        <v>63158</v>
      </c>
      <c r="J499" s="2" t="n">
        <v>2</v>
      </c>
    </row>
    <row r="500">
      <c r="A500" s="2" t="inlineStr">
        <is>
          <t>46527473</t>
        </is>
      </c>
      <c r="B500" s="2" t="inlineStr"/>
      <c r="C500" s="2" t="inlineStr">
        <is>
          <t>BOMBA DE AGUA F-PALIO/SIENA 1.3 8V CON POLEA</t>
        </is>
      </c>
      <c r="D500" s="2" t="inlineStr">
        <is>
          <t>NATSUKI</t>
        </is>
      </c>
      <c r="E500" s="3" t="n">
        <v>24.5</v>
      </c>
      <c r="F500" s="4" t="n">
        <v>0.3</v>
      </c>
      <c r="G500" s="5">
        <f>ROUND(E500*(1+F500),2)</f>
        <v>31.85</v>
      </c>
      <c r="H500" s="5">
        <f>ROUND(G500*NOTAS!$B$2,2)</f>
        <v>22974.86</v>
      </c>
      <c r="I500" s="6">
        <f>ROUND(G500*NOTAS!$B$3,0)</f>
        <v>103477</v>
      </c>
      <c r="J500" s="2" t="n">
        <v>1</v>
      </c>
    </row>
    <row r="501">
      <c r="A501" s="2" t="inlineStr">
        <is>
          <t>UB0764V</t>
        </is>
      </c>
      <c r="B501" s="2" t="inlineStr"/>
      <c r="C501" s="2" t="inlineStr">
        <is>
          <t>BOMBA DE AGUA F-PALIO/SIENA 1.3 8V SIN POLEA</t>
        </is>
      </c>
      <c r="D501" s="2" t="inlineStr">
        <is>
          <t>URBA</t>
        </is>
      </c>
      <c r="E501" s="3" t="n">
        <v>18</v>
      </c>
      <c r="F501" s="4" t="n">
        <v>0.3</v>
      </c>
      <c r="G501" s="5">
        <f>ROUND(E501*(1+F501),2)</f>
        <v>23.40</v>
      </c>
      <c r="H501" s="5">
        <f>ROUND(G501*NOTAS!$B$2,2)</f>
        <v>16879.49</v>
      </c>
      <c r="I501" s="6">
        <f>ROUND(G501*NOTAS!$B$3,0)</f>
        <v>76024</v>
      </c>
      <c r="J501" s="2" t="n">
        <v>4</v>
      </c>
    </row>
    <row r="502">
      <c r="A502" s="2" t="inlineStr"/>
      <c r="B502" s="2" t="inlineStr"/>
      <c r="C502" s="2" t="inlineStr">
        <is>
          <t>BOMBA DE AGUA F-PALIO/SIENA 1.6 DOBLE POLEA 5Y3 CANALES SIN EMPAQUE ORING</t>
        </is>
      </c>
      <c r="D502" s="2" t="inlineStr">
        <is>
          <t>IDM</t>
        </is>
      </c>
      <c r="E502" s="3" t="n">
        <v>20</v>
      </c>
      <c r="F502" s="4" t="n">
        <v>0.3</v>
      </c>
      <c r="G502" s="5">
        <f>ROUND(E502*(1+F502),2)</f>
        <v>26.00</v>
      </c>
      <c r="H502" s="5">
        <f>ROUND(G502*NOTAS!$B$2,2)</f>
        <v>18754.99</v>
      </c>
      <c r="I502" s="6">
        <f>ROUND(G502*NOTAS!$B$3,0)</f>
        <v>84471</v>
      </c>
      <c r="J502" s="2" t="n">
        <v>1</v>
      </c>
    </row>
    <row r="503">
      <c r="A503" s="2" t="inlineStr">
        <is>
          <t>FI0171</t>
        </is>
      </c>
      <c r="B503" s="2" t="inlineStr">
        <is>
          <t>7084922</t>
        </is>
      </c>
      <c r="C503" s="2" t="inlineStr">
        <is>
          <t>BOMBA DE AGUA F-PALIO/SIENA 1.8</t>
        </is>
      </c>
      <c r="D503" s="2" t="inlineStr">
        <is>
          <t>DEVIGILI</t>
        </is>
      </c>
      <c r="E503" s="3" t="n">
        <v>12.37</v>
      </c>
      <c r="F503" s="4" t="n">
        <v>0.3</v>
      </c>
      <c r="G503" s="5">
        <f>ROUND(E503*(1+F503),2)</f>
        <v>16.08</v>
      </c>
      <c r="H503" s="5">
        <f>ROUND(G503*NOTAS!$B$2,2)</f>
        <v>11599.24</v>
      </c>
      <c r="I503" s="6">
        <f>ROUND(G503*NOTAS!$B$3,0)</f>
        <v>52242</v>
      </c>
      <c r="J503" s="2" t="n">
        <v>1</v>
      </c>
    </row>
    <row r="504">
      <c r="A504" s="2" t="inlineStr">
        <is>
          <t>S162</t>
        </is>
      </c>
      <c r="B504" s="2" t="inlineStr"/>
      <c r="C504" s="2" t="inlineStr">
        <is>
          <t>BOMBA DE AGUA F-REGATA/RITMO 2.0</t>
        </is>
      </c>
      <c r="D504" s="2" t="inlineStr">
        <is>
          <t>DOLZ</t>
        </is>
      </c>
      <c r="E504" s="3" t="n">
        <v>26.9231</v>
      </c>
      <c r="F504" s="4" t="n">
        <v>0.3</v>
      </c>
      <c r="G504" s="5">
        <f>ROUND(E504*(1+F504),2)</f>
        <v>35.00</v>
      </c>
      <c r="H504" s="5">
        <f>ROUND(G504*NOTAS!$B$2,2)</f>
        <v>25247.10</v>
      </c>
      <c r="I504" s="6">
        <f>ROUND(G504*NOTAS!$B$3,0)</f>
        <v>113710</v>
      </c>
      <c r="J504" s="2" t="n">
        <v>1</v>
      </c>
    </row>
    <row r="505">
      <c r="A505" s="2" t="inlineStr">
        <is>
          <t>PA0513S</t>
        </is>
      </c>
      <c r="B505" s="2" t="inlineStr"/>
      <c r="C505" s="2" t="inlineStr">
        <is>
          <t xml:space="preserve">BOMBA DE AGUA F-TEMPRA 1.6 CON POLEA </t>
        </is>
      </c>
      <c r="D505" s="2" t="inlineStr">
        <is>
          <t>BUGATTI</t>
        </is>
      </c>
      <c r="E505" s="3" t="n">
        <v>15</v>
      </c>
      <c r="F505" s="4" t="n">
        <v>0.3</v>
      </c>
      <c r="G505" s="5">
        <f>ROUND(E505*(1+F505),2)</f>
        <v>19.50</v>
      </c>
      <c r="H505" s="5">
        <f>ROUND(G505*NOTAS!$B$2,2)</f>
        <v>14066.24</v>
      </c>
      <c r="I505" s="6">
        <f>ROUND(G505*NOTAS!$B$3,0)</f>
        <v>63353</v>
      </c>
      <c r="J505" s="2" t="n">
        <v>1</v>
      </c>
    </row>
    <row r="506">
      <c r="A506" s="2" t="inlineStr">
        <is>
          <t>BA195</t>
        </is>
      </c>
      <c r="B506" s="2" t="inlineStr"/>
      <c r="C506" s="2" t="inlineStr">
        <is>
          <t>BOMBA DE AGUA F-TEMPRA 1.6 CON POLEA BASE PEQUENA</t>
        </is>
      </c>
      <c r="D506" s="2" t="inlineStr">
        <is>
          <t>VMG</t>
        </is>
      </c>
      <c r="E506" s="3" t="n">
        <v>15</v>
      </c>
      <c r="F506" s="4" t="n">
        <v>0.3</v>
      </c>
      <c r="G506" s="5">
        <f>ROUND(E506*(1+F506),2)</f>
        <v>19.50</v>
      </c>
      <c r="H506" s="5">
        <f>ROUND(G506*NOTAS!$B$2,2)</f>
        <v>14066.24</v>
      </c>
      <c r="I506" s="6">
        <f>ROUND(G506*NOTAS!$B$3,0)</f>
        <v>63353</v>
      </c>
      <c r="J506" s="2" t="n">
        <v>7</v>
      </c>
    </row>
    <row r="507">
      <c r="A507" s="2" t="inlineStr">
        <is>
          <t>9695557</t>
        </is>
      </c>
      <c r="B507" s="2" t="inlineStr"/>
      <c r="C507" s="2" t="inlineStr">
        <is>
          <t>BOMBA DE AGUA F-TEMPRA 1.8 2.0</t>
        </is>
      </c>
      <c r="D507" s="2" t="inlineStr">
        <is>
          <t>DOLZ</t>
        </is>
      </c>
      <c r="E507" s="3" t="n">
        <v>20</v>
      </c>
      <c r="F507" s="4" t="n">
        <v>0.3</v>
      </c>
      <c r="G507" s="5">
        <f>ROUND(E507*(1+F507),2)</f>
        <v>26.00</v>
      </c>
      <c r="H507" s="5">
        <f>ROUND(G507*NOTAS!$B$2,2)</f>
        <v>18754.99</v>
      </c>
      <c r="I507" s="6">
        <f>ROUND(G507*NOTAS!$B$3,0)</f>
        <v>84471</v>
      </c>
      <c r="J507" s="2" t="n">
        <v>1</v>
      </c>
    </row>
    <row r="508">
      <c r="A508" s="2" t="inlineStr">
        <is>
          <t>PA0278</t>
        </is>
      </c>
      <c r="B508" s="2" t="inlineStr"/>
      <c r="C508" s="2" t="inlineStr">
        <is>
          <t>BOMBA DE AGUA F-UNO/PREMIO 1.5</t>
        </is>
      </c>
      <c r="D508" s="2" t="inlineStr">
        <is>
          <t>BUGATTI</t>
        </is>
      </c>
      <c r="E508" s="3" t="n">
        <v>15</v>
      </c>
      <c r="F508" s="4" t="n">
        <v>0.3</v>
      </c>
      <c r="G508" s="5">
        <f>ROUND(E508*(1+F508),2)</f>
        <v>19.50</v>
      </c>
      <c r="H508" s="5">
        <f>ROUND(G508*NOTAS!$B$2,2)</f>
        <v>14066.24</v>
      </c>
      <c r="I508" s="6">
        <f>ROUND(G508*NOTAS!$B$3,0)</f>
        <v>63353</v>
      </c>
      <c r="J508" s="2" t="n">
        <v>1</v>
      </c>
    </row>
    <row r="509">
      <c r="A509" s="2" t="inlineStr">
        <is>
          <t>18-212</t>
        </is>
      </c>
      <c r="B509" s="2" t="inlineStr"/>
      <c r="C509" s="2" t="inlineStr">
        <is>
          <t>BOMBA DE AGUA HYUNDAI EXCEL/ACCENT</t>
        </is>
      </c>
      <c r="D509" s="2" t="inlineStr">
        <is>
          <t>NEW WATER PUMP</t>
        </is>
      </c>
      <c r="E509" s="3" t="n">
        <v>20</v>
      </c>
      <c r="F509" s="4" t="n">
        <v>0.3</v>
      </c>
      <c r="G509" s="5">
        <f>ROUND(E509*(1+F509),2)</f>
        <v>26.00</v>
      </c>
      <c r="H509" s="5">
        <f>ROUND(G509*NOTAS!$B$2,2)</f>
        <v>18754.99</v>
      </c>
      <c r="I509" s="6">
        <f>ROUND(G509*NOTAS!$B$3,0)</f>
        <v>84471</v>
      </c>
      <c r="J509" s="2" t="n">
        <v>1</v>
      </c>
    </row>
    <row r="510">
      <c r="A510" s="2" t="inlineStr">
        <is>
          <t>HY0111</t>
        </is>
      </c>
      <c r="B510" s="2" t="inlineStr">
        <is>
          <t>25100-26902</t>
        </is>
      </c>
      <c r="C510" s="2" t="inlineStr">
        <is>
          <t>BOMBA DE AGUA KIA RIO/GETZ</t>
        </is>
      </c>
      <c r="D510" s="2" t="inlineStr">
        <is>
          <t>DEVIGILI</t>
        </is>
      </c>
      <c r="E510" s="3" t="n">
        <v>15</v>
      </c>
      <c r="F510" s="4" t="n">
        <v>0.3</v>
      </c>
      <c r="G510" s="5">
        <f>ROUND(E510*(1+F510),2)</f>
        <v>19.50</v>
      </c>
      <c r="H510" s="5">
        <f>ROUND(G510*NOTAS!$B$2,2)</f>
        <v>14066.24</v>
      </c>
      <c r="I510" s="6">
        <f>ROUND(G510*NOTAS!$B$3,0)</f>
        <v>63353</v>
      </c>
      <c r="J510" s="2" t="n">
        <v>1</v>
      </c>
    </row>
    <row r="511">
      <c r="A511" s="2" t="inlineStr">
        <is>
          <t>L-121</t>
        </is>
      </c>
      <c r="B511" s="2" t="inlineStr"/>
      <c r="C511" s="2" t="inlineStr">
        <is>
          <t>BOMBA DE AGUA LADA SAMARA</t>
        </is>
      </c>
      <c r="D511" s="2" t="inlineStr">
        <is>
          <t>DOLZ</t>
        </is>
      </c>
      <c r="E511" s="3" t="n">
        <v>18</v>
      </c>
      <c r="F511" s="4" t="n">
        <v>0.3</v>
      </c>
      <c r="G511" s="5">
        <f>ROUND(E511*(1+F511),2)</f>
        <v>23.40</v>
      </c>
      <c r="H511" s="5">
        <f>ROUND(G511*NOTAS!$B$2,2)</f>
        <v>16879.49</v>
      </c>
      <c r="I511" s="6">
        <f>ROUND(G511*NOTAS!$B$3,0)</f>
        <v>76024</v>
      </c>
      <c r="J511" s="2" t="n">
        <v>1</v>
      </c>
    </row>
    <row r="512">
      <c r="A512" s="2" t="inlineStr">
        <is>
          <t>1307010</t>
        </is>
      </c>
      <c r="B512" s="2" t="inlineStr"/>
      <c r="C512" s="2" t="inlineStr">
        <is>
          <t>BOMBA DE AGUA LADA SEDAN NIVA</t>
        </is>
      </c>
      <c r="D512" s="2" t="inlineStr">
        <is>
          <t>ITALY</t>
        </is>
      </c>
      <c r="E512" s="3" t="n">
        <v>19</v>
      </c>
      <c r="F512" s="4" t="n">
        <v>0.3</v>
      </c>
      <c r="G512" s="5">
        <f>ROUND(E512*(1+F512),2)</f>
        <v>24.70</v>
      </c>
      <c r="H512" s="5">
        <f>ROUND(G512*NOTAS!$B$2,2)</f>
        <v>17817.24</v>
      </c>
      <c r="I512" s="6">
        <f>ROUND(G512*NOTAS!$B$3,0)</f>
        <v>80247</v>
      </c>
      <c r="J512" s="2" t="n">
        <v>2</v>
      </c>
    </row>
    <row r="513">
      <c r="A513" s="2" t="inlineStr">
        <is>
          <t>18-626</t>
        </is>
      </c>
      <c r="B513" s="2" t="inlineStr"/>
      <c r="C513" s="2" t="inlineStr">
        <is>
          <t>BOMBA DE AGUA M262 BLAZER 87/96 C1500 88/95 C3000 88/95</t>
        </is>
      </c>
      <c r="D513" s="2" t="inlineStr">
        <is>
          <t>NEW WATER PUMP</t>
        </is>
      </c>
      <c r="E513" s="3" t="n">
        <v>30.7692</v>
      </c>
      <c r="F513" s="4" t="n">
        <v>0.3</v>
      </c>
      <c r="G513" s="5">
        <f>ROUND(E513*(1+F513),2)</f>
        <v>40.00</v>
      </c>
      <c r="H513" s="5">
        <f>ROUND(G513*NOTAS!$B$2,2)</f>
        <v>28853.82</v>
      </c>
      <c r="I513" s="6">
        <f>ROUND(G513*NOTAS!$B$3,0)</f>
        <v>129955</v>
      </c>
      <c r="J513" s="2" t="n">
        <v>1</v>
      </c>
    </row>
    <row r="514">
      <c r="A514" s="2" t="inlineStr">
        <is>
          <t>96499089</t>
        </is>
      </c>
      <c r="B514" s="2" t="inlineStr"/>
      <c r="C514" s="2" t="inlineStr">
        <is>
          <t>BOMBA DE AGUA OPTRA DESING</t>
        </is>
      </c>
      <c r="D514" s="2" t="inlineStr">
        <is>
          <t>ACDELCO</t>
        </is>
      </c>
      <c r="E514" s="3" t="n">
        <v>10.04</v>
      </c>
      <c r="F514" s="4" t="n">
        <v>0.3</v>
      </c>
      <c r="G514" s="5">
        <f>ROUND(E514*(1+F514),2)</f>
        <v>13.05</v>
      </c>
      <c r="H514" s="5">
        <f>ROUND(G514*NOTAS!$B$2,2)</f>
        <v>9413.56</v>
      </c>
      <c r="I514" s="6">
        <f>ROUND(G514*NOTAS!$B$3,0)</f>
        <v>42398</v>
      </c>
      <c r="J514" s="2" t="n">
        <v>1</v>
      </c>
    </row>
    <row r="515">
      <c r="A515" s="2" t="inlineStr">
        <is>
          <t>GM0181</t>
        </is>
      </c>
      <c r="B515" s="2" t="inlineStr">
        <is>
          <t>96499089</t>
        </is>
      </c>
      <c r="C515" s="2" t="inlineStr">
        <is>
          <t>BOMBA DE AGUA OPTRA DESING</t>
        </is>
      </c>
      <c r="D515" s="2" t="inlineStr">
        <is>
          <t>FIDELITYPUMPS</t>
        </is>
      </c>
      <c r="E515" s="3" t="n">
        <v>12.74</v>
      </c>
      <c r="F515" s="4" t="n">
        <v>0.3</v>
      </c>
      <c r="G515" s="5">
        <f>ROUND(E515*(1+F515),2)</f>
        <v>16.56</v>
      </c>
      <c r="H515" s="5">
        <f>ROUND(G515*NOTAS!$B$2,2)</f>
        <v>11945.48</v>
      </c>
      <c r="I515" s="6">
        <f>ROUND(G515*NOTAS!$B$3,0)</f>
        <v>53801</v>
      </c>
      <c r="J515" s="2" t="n">
        <v>1</v>
      </c>
    </row>
    <row r="516">
      <c r="A516" s="2" t="inlineStr">
        <is>
          <t>19314550</t>
        </is>
      </c>
      <c r="B516" s="2" t="inlineStr"/>
      <c r="C516" s="2" t="inlineStr">
        <is>
          <t>BOMBA DE AGUA OPTRA LIMITED/MONZA/NUBIRA/ESPERO</t>
        </is>
      </c>
      <c r="D516" s="2" t="inlineStr">
        <is>
          <t>ACDELCO</t>
        </is>
      </c>
      <c r="E516" s="3" t="n">
        <v>15</v>
      </c>
      <c r="F516" s="4" t="n">
        <v>0.3</v>
      </c>
      <c r="G516" s="5">
        <f>ROUND(E516*(1+F516),2)</f>
        <v>19.50</v>
      </c>
      <c r="H516" s="5">
        <f>ROUND(G516*NOTAS!$B$2,2)</f>
        <v>14066.24</v>
      </c>
      <c r="I516" s="6">
        <f>ROUND(G516*NOTAS!$B$3,0)</f>
        <v>63353</v>
      </c>
      <c r="J516" s="2" t="n">
        <v>1</v>
      </c>
    </row>
    <row r="517">
      <c r="A517" s="2" t="inlineStr">
        <is>
          <t>O107</t>
        </is>
      </c>
      <c r="B517" s="2" t="inlineStr"/>
      <c r="C517" s="2" t="inlineStr">
        <is>
          <t>BOMBA DE AGUA OPTRA LIMITED/MONZA/NUBIRA/ESPERO</t>
        </is>
      </c>
      <c r="D517" s="2" t="inlineStr">
        <is>
          <t>DOLZ</t>
        </is>
      </c>
      <c r="E517" s="3" t="n">
        <v>15</v>
      </c>
      <c r="F517" s="4" t="n">
        <v>0.3</v>
      </c>
      <c r="G517" s="5">
        <f>ROUND(E517*(1+F517),2)</f>
        <v>19.50</v>
      </c>
      <c r="H517" s="5">
        <f>ROUND(G517*NOTAS!$B$2,2)</f>
        <v>14066.24</v>
      </c>
      <c r="I517" s="6">
        <f>ROUND(G517*NOTAS!$B$3,0)</f>
        <v>63353</v>
      </c>
      <c r="J517" s="2" t="n">
        <v>2</v>
      </c>
    </row>
    <row r="518">
      <c r="A518" s="2" t="inlineStr">
        <is>
          <t>340100</t>
        </is>
      </c>
      <c r="B518" s="2" t="inlineStr"/>
      <c r="C518" s="2" t="inlineStr">
        <is>
          <t>BOMBA DE AGUA OPTRA LIMITED/MONZA/NUBIRA/ESPERO</t>
        </is>
      </c>
      <c r="D518" s="2" t="inlineStr">
        <is>
          <t>BROSOL</t>
        </is>
      </c>
      <c r="E518" s="3" t="n">
        <v>20</v>
      </c>
      <c r="F518" s="4" t="n">
        <v>0.3</v>
      </c>
      <c r="G518" s="5">
        <f>ROUND(E518*(1+F518),2)</f>
        <v>26.00</v>
      </c>
      <c r="H518" s="5">
        <f>ROUND(G518*NOTAS!$B$2,2)</f>
        <v>18754.99</v>
      </c>
      <c r="I518" s="6">
        <f>ROUND(G518*NOTAS!$B$3,0)</f>
        <v>84471</v>
      </c>
      <c r="J518" s="2" t="n">
        <v>1</v>
      </c>
    </row>
    <row r="519">
      <c r="A519" s="2" t="inlineStr">
        <is>
          <t>GM0220</t>
        </is>
      </c>
      <c r="B519" s="2" t="inlineStr"/>
      <c r="C519" s="2" t="inlineStr">
        <is>
          <t>BOMBA DE AGUA OPTRA LIMITED/MONZA/NUBIRA/ESPERO</t>
        </is>
      </c>
      <c r="D519" s="2" t="inlineStr">
        <is>
          <t>DEVIGILI</t>
        </is>
      </c>
      <c r="E519" s="3" t="n">
        <v>12.95</v>
      </c>
      <c r="F519" s="4" t="n">
        <v>0.3</v>
      </c>
      <c r="G519" s="5">
        <f>ROUND(E519*(1+F519),2)</f>
        <v>16.84</v>
      </c>
      <c r="H519" s="5">
        <f>ROUND(G519*NOTAS!$B$2,2)</f>
        <v>12147.46</v>
      </c>
      <c r="I519" s="6">
        <f>ROUND(G519*NOTAS!$B$3,0)</f>
        <v>54711</v>
      </c>
      <c r="J519" s="2" t="n">
        <v>1</v>
      </c>
    </row>
    <row r="520">
      <c r="A520" s="2" t="inlineStr">
        <is>
          <t>I92226211</t>
        </is>
      </c>
      <c r="B520" s="2" t="inlineStr"/>
      <c r="C520" s="2" t="inlineStr">
        <is>
          <t>BOMBA DE AGUA OPTRA LIMITED/MONZA/NUBIRA/ESPERO</t>
        </is>
      </c>
      <c r="D520" s="2" t="inlineStr">
        <is>
          <t>PARTS-MALL</t>
        </is>
      </c>
      <c r="E520" s="3" t="n">
        <v>25</v>
      </c>
      <c r="F520" s="4" t="n">
        <v>0.3</v>
      </c>
      <c r="G520" s="5">
        <f>ROUND(E520*(1+F520),2)</f>
        <v>32.50</v>
      </c>
      <c r="H520" s="5">
        <f>ROUND(G520*NOTAS!$B$2,2)</f>
        <v>23443.73</v>
      </c>
      <c r="I520" s="6">
        <f>ROUND(G520*NOTAS!$B$3,0)</f>
        <v>105588</v>
      </c>
      <c r="J520" s="2" t="n">
        <v>1</v>
      </c>
    </row>
    <row r="521">
      <c r="A521" s="2" t="inlineStr">
        <is>
          <t>RE0078</t>
        </is>
      </c>
      <c r="B521" s="2" t="inlineStr"/>
      <c r="C521" s="2" t="inlineStr">
        <is>
          <t>BOMBA DE AGUA R-11</t>
        </is>
      </c>
      <c r="D521" s="2" t="inlineStr">
        <is>
          <t>FIDELITYPUMPS</t>
        </is>
      </c>
      <c r="E521" s="3" t="n">
        <v>16.5</v>
      </c>
      <c r="F521" s="4" t="n">
        <v>0.3</v>
      </c>
      <c r="G521" s="5">
        <f>ROUND(E521*(1+F521),2)</f>
        <v>21.45</v>
      </c>
      <c r="H521" s="5">
        <f>ROUND(G521*NOTAS!$B$2,2)</f>
        <v>15472.86</v>
      </c>
      <c r="I521" s="6">
        <f>ROUND(G521*NOTAS!$B$3,0)</f>
        <v>69688</v>
      </c>
      <c r="J521" s="2" t="n">
        <v>15</v>
      </c>
    </row>
    <row r="522">
      <c r="A522" s="2" t="inlineStr">
        <is>
          <t>R-118</t>
        </is>
      </c>
      <c r="B522" s="2" t="inlineStr"/>
      <c r="C522" s="2" t="inlineStr">
        <is>
          <t>BOMBA DE AGUA R-18 1600</t>
        </is>
      </c>
      <c r="D522" s="2" t="inlineStr">
        <is>
          <t>DOLZ</t>
        </is>
      </c>
      <c r="E522" s="3" t="n">
        <v>15</v>
      </c>
      <c r="F522" s="4" t="n">
        <v>0.3</v>
      </c>
      <c r="G522" s="5">
        <f>ROUND(E522*(1+F522),2)</f>
        <v>19.50</v>
      </c>
      <c r="H522" s="5">
        <f>ROUND(G522*NOTAS!$B$2,2)</f>
        <v>14066.24</v>
      </c>
      <c r="I522" s="6">
        <f>ROUND(G522*NOTAS!$B$3,0)</f>
        <v>63353</v>
      </c>
      <c r="J522" s="2" t="n">
        <v>1</v>
      </c>
    </row>
    <row r="523">
      <c r="A523" s="2" t="inlineStr">
        <is>
          <t>R176</t>
        </is>
      </c>
      <c r="B523" s="2" t="inlineStr"/>
      <c r="C523" s="2" t="inlineStr">
        <is>
          <t>BOMBA DE AGUA R-18/FUEGO 2.0</t>
        </is>
      </c>
      <c r="D523" s="2" t="inlineStr">
        <is>
          <t>DOLZ</t>
        </is>
      </c>
      <c r="E523" s="3" t="n">
        <v>26.9231</v>
      </c>
      <c r="F523" s="4" t="n">
        <v>0.3</v>
      </c>
      <c r="G523" s="5">
        <f>ROUND(E523*(1+F523),2)</f>
        <v>35.00</v>
      </c>
      <c r="H523" s="5">
        <f>ROUND(G523*NOTAS!$B$2,2)</f>
        <v>25247.10</v>
      </c>
      <c r="I523" s="6">
        <f>ROUND(G523*NOTAS!$B$3,0)</f>
        <v>113710</v>
      </c>
      <c r="J523" s="2" t="n">
        <v>1</v>
      </c>
    </row>
    <row r="524">
      <c r="A524" s="2" t="inlineStr">
        <is>
          <t>7700861686</t>
        </is>
      </c>
      <c r="B524" s="2" t="inlineStr"/>
      <c r="C524" s="2" t="inlineStr">
        <is>
          <t>BOMBA DE AGUA R-19 1.4</t>
        </is>
      </c>
      <c r="D524" s="2" t="inlineStr">
        <is>
          <t>SKP</t>
        </is>
      </c>
      <c r="E524" s="3" t="n">
        <v>15</v>
      </c>
      <c r="F524" s="4" t="n">
        <v>0.3</v>
      </c>
      <c r="G524" s="5">
        <f>ROUND(E524*(1+F524),2)</f>
        <v>19.50</v>
      </c>
      <c r="H524" s="5">
        <f>ROUND(G524*NOTAS!$B$2,2)</f>
        <v>14066.24</v>
      </c>
      <c r="I524" s="6">
        <f>ROUND(G524*NOTAS!$B$3,0)</f>
        <v>63353</v>
      </c>
      <c r="J524" s="2" t="n">
        <v>1</v>
      </c>
    </row>
    <row r="525">
      <c r="A525" s="2" t="inlineStr">
        <is>
          <t>RE0082</t>
        </is>
      </c>
      <c r="B525" s="2" t="inlineStr"/>
      <c r="C525" s="2" t="inlineStr">
        <is>
          <t>BOMBA DE AGUA R-19 1.4</t>
        </is>
      </c>
      <c r="D525" s="2" t="inlineStr">
        <is>
          <t>FIDELITYPUMPS</t>
        </is>
      </c>
      <c r="E525" s="3" t="n">
        <v>13.64</v>
      </c>
      <c r="F525" s="4" t="n">
        <v>0.3</v>
      </c>
      <c r="G525" s="5">
        <f>ROUND(E525*(1+F525),2)</f>
        <v>17.73</v>
      </c>
      <c r="H525" s="5">
        <f>ROUND(G525*NOTAS!$B$2,2)</f>
        <v>12789.46</v>
      </c>
      <c r="I525" s="6">
        <f>ROUND(G525*NOTAS!$B$3,0)</f>
        <v>57602</v>
      </c>
      <c r="J525" s="2" t="n">
        <v>6</v>
      </c>
    </row>
    <row r="526">
      <c r="A526" s="2" t="inlineStr">
        <is>
          <t>7701633125</t>
        </is>
      </c>
      <c r="B526" s="2" t="inlineStr"/>
      <c r="C526" s="2" t="inlineStr">
        <is>
          <t>BOMBA DE AGUA R-19 1.4</t>
        </is>
      </c>
      <c r="D526" s="2" t="inlineStr">
        <is>
          <t>KAPARS</t>
        </is>
      </c>
      <c r="E526" s="3" t="n">
        <v>15</v>
      </c>
      <c r="F526" s="4" t="n">
        <v>0.3</v>
      </c>
      <c r="G526" s="5">
        <f>ROUND(E526*(1+F526),2)</f>
        <v>19.50</v>
      </c>
      <c r="H526" s="5">
        <f>ROUND(G526*NOTAS!$B$2,2)</f>
        <v>14066.24</v>
      </c>
      <c r="I526" s="6">
        <f>ROUND(G526*NOTAS!$B$3,0)</f>
        <v>63353</v>
      </c>
      <c r="J526" s="2" t="n">
        <v>2</v>
      </c>
    </row>
    <row r="527">
      <c r="A527" s="2" t="inlineStr">
        <is>
          <t>HQ-RE113</t>
        </is>
      </c>
      <c r="B527" s="2" t="inlineStr"/>
      <c r="C527" s="2" t="inlineStr">
        <is>
          <t>BOMBA DE AGUA R-19 1.4</t>
        </is>
      </c>
      <c r="D527" s="2" t="inlineStr">
        <is>
          <t>HQ</t>
        </is>
      </c>
      <c r="E527" s="3" t="n">
        <v>14</v>
      </c>
      <c r="F527" s="4" t="n">
        <v>0.3</v>
      </c>
      <c r="G527" s="5">
        <f>ROUND(E527*(1+F527),2)</f>
        <v>18.20</v>
      </c>
      <c r="H527" s="5">
        <f>ROUND(G527*NOTAS!$B$2,2)</f>
        <v>13128.49</v>
      </c>
      <c r="I527" s="6">
        <f>ROUND(G527*NOTAS!$B$3,0)</f>
        <v>59129</v>
      </c>
      <c r="J527" s="2" t="n">
        <v>2</v>
      </c>
    </row>
    <row r="528">
      <c r="A528" s="2" t="inlineStr">
        <is>
          <t>R124</t>
        </is>
      </c>
      <c r="B528" s="2" t="inlineStr"/>
      <c r="C528" s="2" t="inlineStr">
        <is>
          <t>BOMBA DE AGUA R-19 1.4</t>
        </is>
      </c>
      <c r="D528" s="2" t="inlineStr">
        <is>
          <t>DOLZ</t>
        </is>
      </c>
      <c r="E528" s="3" t="n">
        <v>18</v>
      </c>
      <c r="F528" s="4" t="n">
        <v>0.3</v>
      </c>
      <c r="G528" s="5">
        <f>ROUND(E528*(1+F528),2)</f>
        <v>23.40</v>
      </c>
      <c r="H528" s="5">
        <f>ROUND(G528*NOTAS!$B$2,2)</f>
        <v>16879.49</v>
      </c>
      <c r="I528" s="6">
        <f>ROUND(G528*NOTAS!$B$3,0)</f>
        <v>76024</v>
      </c>
      <c r="J528" s="2" t="n">
        <v>5</v>
      </c>
    </row>
    <row r="529">
      <c r="A529" s="2" t="inlineStr">
        <is>
          <t>BA244</t>
        </is>
      </c>
      <c r="B529" s="2" t="inlineStr"/>
      <c r="C529" s="2" t="inlineStr">
        <is>
          <t>BOMBA DE AGUA R-19 1.4</t>
        </is>
      </c>
      <c r="D529" s="2" t="inlineStr">
        <is>
          <t>VMG</t>
        </is>
      </c>
      <c r="E529" s="3" t="n">
        <v>18</v>
      </c>
      <c r="F529" s="4" t="n">
        <v>0.3</v>
      </c>
      <c r="G529" s="5">
        <f>ROUND(E529*(1+F529),2)</f>
        <v>23.40</v>
      </c>
      <c r="H529" s="5">
        <f>ROUND(G529*NOTAS!$B$2,2)</f>
        <v>16879.49</v>
      </c>
      <c r="I529" s="6">
        <f>ROUND(G529*NOTAS!$B$3,0)</f>
        <v>76024</v>
      </c>
      <c r="J529" s="2" t="n">
        <v>4</v>
      </c>
    </row>
    <row r="530">
      <c r="A530" s="2" t="inlineStr">
        <is>
          <t>R131</t>
        </is>
      </c>
      <c r="B530" s="2" t="inlineStr"/>
      <c r="C530" s="2" t="inlineStr">
        <is>
          <t>BOMBA DE AGUA R-21 INY</t>
        </is>
      </c>
      <c r="D530" s="2" t="inlineStr">
        <is>
          <t>DOLZ</t>
        </is>
      </c>
      <c r="E530" s="3" t="n">
        <v>20</v>
      </c>
      <c r="F530" s="4" t="n">
        <v>0.3</v>
      </c>
      <c r="G530" s="5">
        <f>ROUND(E530*(1+F530),2)</f>
        <v>26.00</v>
      </c>
      <c r="H530" s="5">
        <f>ROUND(G530*NOTAS!$B$2,2)</f>
        <v>18754.99</v>
      </c>
      <c r="I530" s="6">
        <f>ROUND(G530*NOTAS!$B$3,0)</f>
        <v>84471</v>
      </c>
      <c r="J530" s="2" t="n">
        <v>7</v>
      </c>
    </row>
    <row r="531">
      <c r="A531" s="2" t="inlineStr">
        <is>
          <t>RE0147</t>
        </is>
      </c>
      <c r="B531" s="2" t="inlineStr"/>
      <c r="C531" s="2" t="inlineStr">
        <is>
          <t>BOMBA DE AGUA R-MEGANE 2.0</t>
        </is>
      </c>
      <c r="D531" s="2" t="inlineStr">
        <is>
          <t>FIDELITYPUMPS</t>
        </is>
      </c>
      <c r="E531" s="3" t="n">
        <v>13.44</v>
      </c>
      <c r="F531" s="4" t="n">
        <v>0.3</v>
      </c>
      <c r="G531" s="5">
        <f>ROUND(E531*(1+F531),2)</f>
        <v>17.47</v>
      </c>
      <c r="H531" s="5">
        <f>ROUND(G531*NOTAS!$B$2,2)</f>
        <v>12601.91</v>
      </c>
      <c r="I531" s="6">
        <f>ROUND(G531*NOTAS!$B$3,0)</f>
        <v>56758</v>
      </c>
      <c r="J531" s="2" t="n">
        <v>2</v>
      </c>
    </row>
    <row r="532">
      <c r="A532" s="2" t="inlineStr">
        <is>
          <t>BA340</t>
        </is>
      </c>
      <c r="B532" s="2" t="inlineStr"/>
      <c r="C532" s="2" t="inlineStr">
        <is>
          <t>BOMBA DE AGUA R-SYMBOL/LOGAN 8V</t>
        </is>
      </c>
      <c r="D532" s="2" t="inlineStr">
        <is>
          <t>VMG</t>
        </is>
      </c>
      <c r="E532" s="3" t="n">
        <v>18</v>
      </c>
      <c r="F532" s="4" t="n">
        <v>0.3</v>
      </c>
      <c r="G532" s="5">
        <f>ROUND(E532*(1+F532),2)</f>
        <v>23.40</v>
      </c>
      <c r="H532" s="5">
        <f>ROUND(G532*NOTAS!$B$2,2)</f>
        <v>16879.49</v>
      </c>
      <c r="I532" s="6">
        <f>ROUND(G532*NOTAS!$B$3,0)</f>
        <v>76024</v>
      </c>
      <c r="J532" s="2" t="n">
        <v>2</v>
      </c>
    </row>
    <row r="533">
      <c r="A533" s="2" t="inlineStr">
        <is>
          <t>55822</t>
        </is>
      </c>
      <c r="B533" s="2" t="inlineStr"/>
      <c r="C533" s="2" t="inlineStr">
        <is>
          <t>BOMBA DE AGUA R-SYMBOL/MEGANE 16V</t>
        </is>
      </c>
      <c r="D533" s="2" t="inlineStr">
        <is>
          <t>DKIG</t>
        </is>
      </c>
      <c r="E533" s="3" t="n">
        <v>15</v>
      </c>
      <c r="F533" s="4" t="n">
        <v>0.3</v>
      </c>
      <c r="G533" s="5">
        <f>ROUND(E533*(1+F533),2)</f>
        <v>19.50</v>
      </c>
      <c r="H533" s="5">
        <f>ROUND(G533*NOTAS!$B$2,2)</f>
        <v>14066.24</v>
      </c>
      <c r="I533" s="6">
        <f>ROUND(G533*NOTAS!$B$3,0)</f>
        <v>63353</v>
      </c>
      <c r="J533" s="2" t="n">
        <v>2</v>
      </c>
    </row>
    <row r="534">
      <c r="A534" s="2" t="inlineStr">
        <is>
          <t>8200582675</t>
        </is>
      </c>
      <c r="B534" s="2" t="inlineStr"/>
      <c r="C534" s="2" t="inlineStr">
        <is>
          <t>BOMBA DE AGUA R-SYMBOL/MEGANE 16V</t>
        </is>
      </c>
      <c r="D534" s="2" t="inlineStr">
        <is>
          <t>GKP</t>
        </is>
      </c>
      <c r="E534" s="3" t="n">
        <v>18</v>
      </c>
      <c r="F534" s="4" t="n">
        <v>0.3</v>
      </c>
      <c r="G534" s="5">
        <f>ROUND(E534*(1+F534),2)</f>
        <v>23.40</v>
      </c>
      <c r="H534" s="5">
        <f>ROUND(G534*NOTAS!$B$2,2)</f>
        <v>16879.49</v>
      </c>
      <c r="I534" s="6">
        <f>ROUND(G534*NOTAS!$B$3,0)</f>
        <v>76024</v>
      </c>
      <c r="J534" s="2" t="n">
        <v>1</v>
      </c>
    </row>
    <row r="535">
      <c r="A535" s="2" t="inlineStr">
        <is>
          <t>WP-9032</t>
        </is>
      </c>
      <c r="B535" s="2" t="inlineStr"/>
      <c r="C535" s="2" t="inlineStr">
        <is>
          <t>BOMBA DE AGUA R-SYMBOL/MEGANE 16V</t>
        </is>
      </c>
      <c r="D535" s="2" t="inlineStr">
        <is>
          <t>CIC</t>
        </is>
      </c>
      <c r="E535" s="3" t="n">
        <v>18</v>
      </c>
      <c r="F535" s="4" t="n">
        <v>0.3</v>
      </c>
      <c r="G535" s="5">
        <f>ROUND(E535*(1+F535),2)</f>
        <v>23.40</v>
      </c>
      <c r="H535" s="5">
        <f>ROUND(G535*NOTAS!$B$2,2)</f>
        <v>16879.49</v>
      </c>
      <c r="I535" s="6">
        <f>ROUND(G535*NOTAS!$B$3,0)</f>
        <v>76024</v>
      </c>
      <c r="J535" s="2" t="n">
        <v>1</v>
      </c>
    </row>
    <row r="536">
      <c r="A536" s="2" t="inlineStr">
        <is>
          <t>WP7700274330</t>
        </is>
      </c>
      <c r="B536" s="2" t="inlineStr"/>
      <c r="C536" s="2" t="inlineStr">
        <is>
          <t>BOMBA DE AGUA R-SYMBOL/MEGANE 16V</t>
        </is>
      </c>
      <c r="D536" s="2" t="inlineStr">
        <is>
          <t>KAPARS</t>
        </is>
      </c>
      <c r="E536" s="3" t="n">
        <v>20</v>
      </c>
      <c r="F536" s="4" t="n">
        <v>0.3</v>
      </c>
      <c r="G536" s="5">
        <f>ROUND(E536*(1+F536),2)</f>
        <v>26.00</v>
      </c>
      <c r="H536" s="5">
        <f>ROUND(G536*NOTAS!$B$2,2)</f>
        <v>18754.99</v>
      </c>
      <c r="I536" s="6">
        <f>ROUND(G536*NOTAS!$B$3,0)</f>
        <v>84471</v>
      </c>
      <c r="J536" s="2" t="n">
        <v>1</v>
      </c>
    </row>
    <row r="537">
      <c r="A537" s="2" t="inlineStr">
        <is>
          <t>WP8200266950</t>
        </is>
      </c>
      <c r="B537" s="2" t="inlineStr"/>
      <c r="C537" s="2" t="inlineStr">
        <is>
          <t>BOMBA DE AGUA R-TWINGO 16V</t>
        </is>
      </c>
      <c r="D537" s="2" t="inlineStr">
        <is>
          <t>KAPARS</t>
        </is>
      </c>
      <c r="E537" s="3" t="n">
        <v>20</v>
      </c>
      <c r="F537" s="4" t="n">
        <v>0.3</v>
      </c>
      <c r="G537" s="5">
        <f>ROUND(E537*(1+F537),2)</f>
        <v>26.00</v>
      </c>
      <c r="H537" s="5">
        <f>ROUND(G537*NOTAS!$B$2,2)</f>
        <v>18754.99</v>
      </c>
      <c r="I537" s="6">
        <f>ROUND(G537*NOTAS!$B$3,0)</f>
        <v>84471</v>
      </c>
      <c r="J537" s="2" t="n">
        <v>1</v>
      </c>
    </row>
    <row r="538">
      <c r="A538" s="2" t="inlineStr">
        <is>
          <t>WP-9028</t>
        </is>
      </c>
      <c r="B538" s="2" t="inlineStr"/>
      <c r="C538" s="2" t="inlineStr">
        <is>
          <t>BOMBA DE AGUA R-TWINGO 16V</t>
        </is>
      </c>
      <c r="D538" s="2" t="inlineStr">
        <is>
          <t>CIC</t>
        </is>
      </c>
      <c r="E538" s="3" t="n">
        <v>20</v>
      </c>
      <c r="F538" s="4" t="n">
        <v>0.3</v>
      </c>
      <c r="G538" s="5">
        <f>ROUND(E538*(1+F538),2)</f>
        <v>26.00</v>
      </c>
      <c r="H538" s="5">
        <f>ROUND(G538*NOTAS!$B$2,2)</f>
        <v>18754.99</v>
      </c>
      <c r="I538" s="6">
        <f>ROUND(G538*NOTAS!$B$3,0)</f>
        <v>84471</v>
      </c>
      <c r="J538" s="2" t="n">
        <v>2</v>
      </c>
    </row>
    <row r="539">
      <c r="A539" s="2" t="inlineStr">
        <is>
          <t>R215</t>
        </is>
      </c>
      <c r="B539" s="2" t="inlineStr"/>
      <c r="C539" s="2" t="inlineStr">
        <is>
          <t>BOMBA DE AGUA R-TWINGO 8V</t>
        </is>
      </c>
      <c r="D539" s="2" t="inlineStr">
        <is>
          <t>DOLZ</t>
        </is>
      </c>
      <c r="E539" s="3" t="n">
        <v>20</v>
      </c>
      <c r="F539" s="4" t="n">
        <v>0.3</v>
      </c>
      <c r="G539" s="5">
        <f>ROUND(E539*(1+F539),2)</f>
        <v>26.00</v>
      </c>
      <c r="H539" s="5">
        <f>ROUND(G539*NOTAS!$B$2,2)</f>
        <v>18754.99</v>
      </c>
      <c r="I539" s="6">
        <f>ROUND(G539*NOTAS!$B$3,0)</f>
        <v>84471</v>
      </c>
      <c r="J539" s="2" t="n">
        <v>3</v>
      </c>
    </row>
    <row r="540">
      <c r="A540" s="2" t="inlineStr">
        <is>
          <t>BA409</t>
        </is>
      </c>
      <c r="B540" s="2" t="inlineStr"/>
      <c r="C540" s="2" t="inlineStr">
        <is>
          <t>BOMBA DE AGUA R-TWINGO 8V</t>
        </is>
      </c>
      <c r="D540" s="2" t="inlineStr">
        <is>
          <t>VMG</t>
        </is>
      </c>
      <c r="E540" s="3" t="n">
        <v>20</v>
      </c>
      <c r="F540" s="4" t="n">
        <v>0.3</v>
      </c>
      <c r="G540" s="5">
        <f>ROUND(E540*(1+F540),2)</f>
        <v>26.00</v>
      </c>
      <c r="H540" s="5">
        <f>ROUND(G540*NOTAS!$B$2,2)</f>
        <v>18754.99</v>
      </c>
      <c r="I540" s="6">
        <f>ROUND(G540*NOTAS!$B$3,0)</f>
        <v>84471</v>
      </c>
      <c r="J540" s="2" t="n">
        <v>3</v>
      </c>
    </row>
    <row r="541">
      <c r="A541" s="2" t="inlineStr">
        <is>
          <t>TB7700864596</t>
        </is>
      </c>
      <c r="B541" s="2" t="inlineStr"/>
      <c r="C541" s="2" t="inlineStr">
        <is>
          <t>BOMBA DE AGUA R-TWINGO 8V</t>
        </is>
      </c>
      <c r="D541" s="2" t="inlineStr">
        <is>
          <t>KAPARS</t>
        </is>
      </c>
      <c r="E541" s="3" t="n">
        <v>20</v>
      </c>
      <c r="F541" s="4" t="n">
        <v>0.3</v>
      </c>
      <c r="G541" s="5">
        <f>ROUND(E541*(1+F541),2)</f>
        <v>26.00</v>
      </c>
      <c r="H541" s="5">
        <f>ROUND(G541*NOTAS!$B$2,2)</f>
        <v>18754.99</v>
      </c>
      <c r="I541" s="6">
        <f>ROUND(G541*NOTAS!$B$3,0)</f>
        <v>84471</v>
      </c>
      <c r="J541" s="2" t="n">
        <v>1</v>
      </c>
    </row>
    <row r="542">
      <c r="A542" s="2" t="inlineStr">
        <is>
          <t>19104193</t>
        </is>
      </c>
      <c r="B542" s="2" t="inlineStr"/>
      <c r="C542" s="2" t="inlineStr">
        <is>
          <t>BOMBA DE AGUA SPARK/MATIZ/TICO</t>
        </is>
      </c>
      <c r="D542" s="2" t="inlineStr">
        <is>
          <t>ACDELCO</t>
        </is>
      </c>
      <c r="E542" s="3" t="n">
        <v>18</v>
      </c>
      <c r="F542" s="4" t="n">
        <v>0.3</v>
      </c>
      <c r="G542" s="5">
        <f>ROUND(E542*(1+F542),2)</f>
        <v>23.40</v>
      </c>
      <c r="H542" s="5">
        <f>ROUND(G542*NOTAS!$B$2,2)</f>
        <v>16879.49</v>
      </c>
      <c r="I542" s="6">
        <f>ROUND(G542*NOTAS!$B$3,0)</f>
        <v>76024</v>
      </c>
      <c r="J542" s="2" t="n">
        <v>3</v>
      </c>
    </row>
    <row r="543">
      <c r="A543" s="2" t="inlineStr">
        <is>
          <t>96518977</t>
        </is>
      </c>
      <c r="B543" s="2" t="inlineStr"/>
      <c r="C543" s="2" t="inlineStr">
        <is>
          <t>BOMBA DE AGUA SPARK/MATIZ/TICO</t>
        </is>
      </c>
      <c r="D543" s="2" t="inlineStr">
        <is>
          <t>GM</t>
        </is>
      </c>
      <c r="E543" s="3" t="n">
        <v>25</v>
      </c>
      <c r="F543" s="4" t="n">
        <v>0.3</v>
      </c>
      <c r="G543" s="5">
        <f>ROUND(E543*(1+F543),2)</f>
        <v>32.50</v>
      </c>
      <c r="H543" s="5">
        <f>ROUND(G543*NOTAS!$B$2,2)</f>
        <v>23443.73</v>
      </c>
      <c r="I543" s="6">
        <f>ROUND(G543*NOTAS!$B$3,0)</f>
        <v>105588</v>
      </c>
      <c r="J543" s="2" t="n">
        <v>1</v>
      </c>
    </row>
    <row r="544">
      <c r="A544" s="2" t="inlineStr">
        <is>
          <t>DA0148</t>
        </is>
      </c>
      <c r="B544" s="2" t="inlineStr"/>
      <c r="C544" s="2" t="inlineStr">
        <is>
          <t>BOMBA DE AGUA SPARK/MATIZ/TICO</t>
        </is>
      </c>
      <c r="D544" s="2" t="inlineStr">
        <is>
          <t>DEVIGILI</t>
        </is>
      </c>
      <c r="E544" s="3" t="n">
        <v>12</v>
      </c>
      <c r="F544" s="4" t="n">
        <v>0.3</v>
      </c>
      <c r="G544" s="5">
        <f>ROUND(E544*(1+F544),2)</f>
        <v>15.60</v>
      </c>
      <c r="H544" s="5">
        <f>ROUND(G544*NOTAS!$B$2,2)</f>
        <v>11252.99</v>
      </c>
      <c r="I544" s="6">
        <f>ROUND(G544*NOTAS!$B$3,0)</f>
        <v>50682</v>
      </c>
      <c r="J544" s="2" t="n">
        <v>1</v>
      </c>
    </row>
    <row r="545">
      <c r="A545" s="2" t="inlineStr">
        <is>
          <t>P96518977</t>
        </is>
      </c>
      <c r="B545" s="2" t="inlineStr"/>
      <c r="C545" s="2" t="inlineStr">
        <is>
          <t>BOMBA DE AGUA SPARK/MATIZ/TICO</t>
        </is>
      </c>
      <c r="D545" s="2" t="inlineStr">
        <is>
          <t>KOREA</t>
        </is>
      </c>
      <c r="E545" s="3" t="n">
        <v>15</v>
      </c>
      <c r="F545" s="4" t="n">
        <v>0.3</v>
      </c>
      <c r="G545" s="5">
        <f>ROUND(E545*(1+F545),2)</f>
        <v>19.50</v>
      </c>
      <c r="H545" s="5">
        <f>ROUND(G545*NOTAS!$B$2,2)</f>
        <v>14066.24</v>
      </c>
      <c r="I545" s="6">
        <f>ROUND(G545*NOTAS!$B$3,0)</f>
        <v>63353</v>
      </c>
      <c r="J545" s="2" t="n">
        <v>1</v>
      </c>
    </row>
    <row r="546">
      <c r="A546" s="2" t="inlineStr">
        <is>
          <t>P96666219</t>
        </is>
      </c>
      <c r="B546" s="2" t="inlineStr"/>
      <c r="C546" s="2" t="inlineStr">
        <is>
          <t>BOMBA DE AGUA SPARK/MATIZ/TICO</t>
        </is>
      </c>
      <c r="D546" s="2" t="inlineStr">
        <is>
          <t>PARTS-MALL</t>
        </is>
      </c>
      <c r="E546" s="3" t="n">
        <v>21</v>
      </c>
      <c r="F546" s="4" t="n">
        <v>0.3</v>
      </c>
      <c r="G546" s="5">
        <f>ROUND(E546*(1+F546),2)</f>
        <v>27.30</v>
      </c>
      <c r="H546" s="5">
        <f>ROUND(G546*NOTAS!$B$2,2)</f>
        <v>19692.73</v>
      </c>
      <c r="I546" s="6">
        <f>ROUND(G546*NOTAS!$B$3,0)</f>
        <v>88694</v>
      </c>
      <c r="J546" s="2" t="n">
        <v>1</v>
      </c>
    </row>
    <row r="547">
      <c r="A547" s="2" t="inlineStr">
        <is>
          <t>S-14</t>
        </is>
      </c>
      <c r="B547" s="2" t="inlineStr">
        <is>
          <t>17400-60811</t>
        </is>
      </c>
      <c r="C547" s="2" t="inlineStr">
        <is>
          <t>BOMBA DE AGUA SWIFT 1.6/ESTEEM</t>
        </is>
      </c>
      <c r="D547" s="2" t="inlineStr">
        <is>
          <t>NPW</t>
        </is>
      </c>
      <c r="E547" s="3" t="n">
        <v>25</v>
      </c>
      <c r="F547" s="4" t="n">
        <v>0.3</v>
      </c>
      <c r="G547" s="5">
        <f>ROUND(E547*(1+F547),2)</f>
        <v>32.50</v>
      </c>
      <c r="H547" s="5">
        <f>ROUND(G547*NOTAS!$B$2,2)</f>
        <v>23443.73</v>
      </c>
      <c r="I547" s="6">
        <f>ROUND(G547*NOTAS!$B$3,0)</f>
        <v>105588</v>
      </c>
      <c r="J547" s="2" t="n">
        <v>1</v>
      </c>
    </row>
    <row r="548">
      <c r="A548" s="2" t="inlineStr">
        <is>
          <t>GM0222</t>
        </is>
      </c>
      <c r="B548" s="2" t="inlineStr"/>
      <c r="C548" s="2" t="inlineStr">
        <is>
          <t>BOMBA DE AGUA SWIFT 1.6/ESTEEM</t>
        </is>
      </c>
      <c r="D548" s="2" t="inlineStr">
        <is>
          <t>FIDELITYPUMPS</t>
        </is>
      </c>
      <c r="E548" s="3" t="n">
        <v>13.45</v>
      </c>
      <c r="F548" s="4" t="n">
        <v>0.3</v>
      </c>
      <c r="G548" s="5">
        <f>ROUND(E548*(1+F548),2)</f>
        <v>17.49</v>
      </c>
      <c r="H548" s="5">
        <f>ROUND(G548*NOTAS!$B$2,2)</f>
        <v>12616.33</v>
      </c>
      <c r="I548" s="6">
        <f>ROUND(G548*NOTAS!$B$3,0)</f>
        <v>56823</v>
      </c>
      <c r="J548" s="2" t="n">
        <v>1</v>
      </c>
    </row>
    <row r="549">
      <c r="A549" s="2" t="inlineStr">
        <is>
          <t>TY0113</t>
        </is>
      </c>
      <c r="B549" s="2" t="inlineStr"/>
      <c r="C549" s="2" t="inlineStr">
        <is>
          <t>BOMBA DE AGUA YARIS 02/07</t>
        </is>
      </c>
      <c r="D549" s="2" t="inlineStr">
        <is>
          <t>FIDELITYPUMPS</t>
        </is>
      </c>
      <c r="E549" s="3" t="n">
        <v>11.95</v>
      </c>
      <c r="F549" s="4" t="n">
        <v>0.3</v>
      </c>
      <c r="G549" s="5">
        <f>ROUND(E549*(1+F549),2)</f>
        <v>15.54</v>
      </c>
      <c r="H549" s="5">
        <f>ROUND(G549*NOTAS!$B$2,2)</f>
        <v>11209.71</v>
      </c>
      <c r="I549" s="6">
        <f>ROUND(G549*NOTAS!$B$3,0)</f>
        <v>50487</v>
      </c>
      <c r="J549" s="2" t="n">
        <v>1</v>
      </c>
    </row>
    <row r="550">
      <c r="A550" s="2" t="inlineStr"/>
      <c r="B550" s="2" t="inlineStr"/>
      <c r="C550" s="2" t="inlineStr">
        <is>
          <t>BOMBA DE GASOLINA CARIBE 2.3</t>
        </is>
      </c>
      <c r="D550" s="2" t="inlineStr">
        <is>
          <t>AAC</t>
        </is>
      </c>
      <c r="E550" s="3" t="n">
        <v>15</v>
      </c>
      <c r="F550" s="4" t="n">
        <v>0.3</v>
      </c>
      <c r="G550" s="5">
        <f>ROUND(E550*(1+F550),2)</f>
        <v>19.50</v>
      </c>
      <c r="H550" s="5">
        <f>ROUND(G550*NOTAS!$B$2,2)</f>
        <v>14066.24</v>
      </c>
      <c r="I550" s="6">
        <f>ROUND(G550*NOTAS!$B$3,0)</f>
        <v>63353</v>
      </c>
      <c r="J550" s="2" t="n">
        <v>1</v>
      </c>
    </row>
    <row r="551">
      <c r="A551" s="2" t="inlineStr">
        <is>
          <t>243122E</t>
        </is>
      </c>
      <c r="B551" s="2" t="inlineStr"/>
      <c r="C551" s="2" t="inlineStr">
        <is>
          <t>BOMBA DE GASOLINA CHEVETTE</t>
        </is>
      </c>
      <c r="D551" s="2" t="inlineStr">
        <is>
          <t>BROSOL</t>
        </is>
      </c>
      <c r="E551" s="3" t="n">
        <v>25</v>
      </c>
      <c r="F551" s="4" t="n">
        <v>0.3</v>
      </c>
      <c r="G551" s="5">
        <f>ROUND(E551*(1+F551),2)</f>
        <v>32.50</v>
      </c>
      <c r="H551" s="5">
        <f>ROUND(G551*NOTAS!$B$2,2)</f>
        <v>23443.73</v>
      </c>
      <c r="I551" s="6">
        <f>ROUND(G551*NOTAS!$B$3,0)</f>
        <v>105588</v>
      </c>
      <c r="J551" s="2" t="n">
        <v>1</v>
      </c>
    </row>
    <row r="552">
      <c r="A552" s="2" t="inlineStr">
        <is>
          <t>PB063</t>
        </is>
      </c>
      <c r="B552" s="2" t="inlineStr"/>
      <c r="C552" s="2" t="inlineStr">
        <is>
          <t>BOMBA DE GASOLINA F-REGATA/RITMO 1.6</t>
        </is>
      </c>
      <c r="D552" s="2" t="inlineStr">
        <is>
          <t>GP</t>
        </is>
      </c>
      <c r="E552" s="3" t="n">
        <v>18</v>
      </c>
      <c r="F552" s="4" t="n">
        <v>0.3</v>
      </c>
      <c r="G552" s="5">
        <f>ROUND(E552*(1+F552),2)</f>
        <v>23.40</v>
      </c>
      <c r="H552" s="5">
        <f>ROUND(G552*NOTAS!$B$2,2)</f>
        <v>16879.49</v>
      </c>
      <c r="I552" s="6">
        <f>ROUND(G552*NOTAS!$B$3,0)</f>
        <v>76024</v>
      </c>
      <c r="J552" s="2" t="n">
        <v>1</v>
      </c>
    </row>
    <row r="553">
      <c r="A553" s="2" t="inlineStr">
        <is>
          <t>281500</t>
        </is>
      </c>
      <c r="B553" s="2" t="inlineStr"/>
      <c r="C553" s="2" t="inlineStr">
        <is>
          <t>BOMBA DE GASOLINA F-UNO/PREMIO 1.6</t>
        </is>
      </c>
      <c r="D553" s="2" t="inlineStr">
        <is>
          <t>BROSOL</t>
        </is>
      </c>
      <c r="E553" s="3" t="n">
        <v>20</v>
      </c>
      <c r="F553" s="4" t="n">
        <v>0.3</v>
      </c>
      <c r="G553" s="5">
        <f>ROUND(E553*(1+F553),2)</f>
        <v>26.00</v>
      </c>
      <c r="H553" s="5">
        <f>ROUND(G553*NOTAS!$B$2,2)</f>
        <v>18754.99</v>
      </c>
      <c r="I553" s="6">
        <f>ROUND(G553*NOTAS!$B$3,0)</f>
        <v>84471</v>
      </c>
      <c r="J553" s="2" t="n">
        <v>1</v>
      </c>
    </row>
    <row r="554">
      <c r="A554" s="2" t="inlineStr">
        <is>
          <t>PB009</t>
        </is>
      </c>
      <c r="B554" s="2" t="inlineStr"/>
      <c r="C554" s="2" t="inlineStr">
        <is>
          <t>BOMBA DE GASOLINA F-UNO/PREMIO/REGATA 1.5</t>
        </is>
      </c>
      <c r="D554" s="2" t="inlineStr">
        <is>
          <t>GP</t>
        </is>
      </c>
      <c r="E554" s="3" t="n">
        <v>15</v>
      </c>
      <c r="F554" s="4" t="n">
        <v>0.3</v>
      </c>
      <c r="G554" s="5">
        <f>ROUND(E554*(1+F554),2)</f>
        <v>19.50</v>
      </c>
      <c r="H554" s="5">
        <f>ROUND(G554*NOTAS!$B$2,2)</f>
        <v>14066.24</v>
      </c>
      <c r="I554" s="6">
        <f>ROUND(G554*NOTAS!$B$3,0)</f>
        <v>63353</v>
      </c>
      <c r="J554" s="2" t="n">
        <v>1</v>
      </c>
    </row>
    <row r="555">
      <c r="A555" s="2" t="inlineStr">
        <is>
          <t>PL8605</t>
        </is>
      </c>
      <c r="B555" s="2" t="inlineStr"/>
      <c r="C555" s="2" t="inlineStr">
        <is>
          <t>BOMBA DE GASOLINA F-UNO/PREMIO/REGATA 1.5</t>
        </is>
      </c>
      <c r="D555" s="2" t="inlineStr">
        <is>
          <t>SOFABEX</t>
        </is>
      </c>
      <c r="E555" s="3" t="n">
        <v>15</v>
      </c>
      <c r="F555" s="4" t="n">
        <v>0.3</v>
      </c>
      <c r="G555" s="5">
        <f>ROUND(E555*(1+F555),2)</f>
        <v>19.50</v>
      </c>
      <c r="H555" s="5">
        <f>ROUND(G555*NOTAS!$B$2,2)</f>
        <v>14066.24</v>
      </c>
      <c r="I555" s="6">
        <f>ROUND(G555*NOTAS!$B$3,0)</f>
        <v>63353</v>
      </c>
      <c r="J555" s="2" t="n">
        <v>2</v>
      </c>
    </row>
    <row r="556">
      <c r="A556" s="2" t="inlineStr">
        <is>
          <t>3017</t>
        </is>
      </c>
      <c r="B556" s="2" t="inlineStr"/>
      <c r="C556" s="2" t="inlineStr">
        <is>
          <t>BOMBA DE GASOLINA R-12</t>
        </is>
      </c>
      <c r="D556" s="2" t="inlineStr">
        <is>
          <t>SOFABEX</t>
        </is>
      </c>
      <c r="E556" s="3" t="n">
        <v>15</v>
      </c>
      <c r="F556" s="4" t="n">
        <v>0.3</v>
      </c>
      <c r="G556" s="5">
        <f>ROUND(E556*(1+F556),2)</f>
        <v>19.50</v>
      </c>
      <c r="H556" s="5">
        <f>ROUND(G556*NOTAS!$B$2,2)</f>
        <v>14066.24</v>
      </c>
      <c r="I556" s="6">
        <f>ROUND(G556*NOTAS!$B$3,0)</f>
        <v>63353</v>
      </c>
      <c r="J556" s="2" t="n">
        <v>3</v>
      </c>
    </row>
    <row r="557">
      <c r="A557" s="2" t="inlineStr">
        <is>
          <t>1145S</t>
        </is>
      </c>
      <c r="B557" s="2" t="inlineStr"/>
      <c r="C557" s="2" t="inlineStr">
        <is>
          <t>BOMBA DE GASOLINA R-19 1.7</t>
        </is>
      </c>
      <c r="D557" s="2" t="inlineStr">
        <is>
          <t>KOBLA</t>
        </is>
      </c>
      <c r="E557" s="3" t="n">
        <v>15</v>
      </c>
      <c r="F557" s="4" t="n">
        <v>0.3</v>
      </c>
      <c r="G557" s="5">
        <f>ROUND(E557*(1+F557),2)</f>
        <v>19.50</v>
      </c>
      <c r="H557" s="5">
        <f>ROUND(G557*NOTAS!$B$2,2)</f>
        <v>14066.24</v>
      </c>
      <c r="I557" s="6">
        <f>ROUND(G557*NOTAS!$B$3,0)</f>
        <v>63353</v>
      </c>
      <c r="J557" s="2" t="n">
        <v>1</v>
      </c>
    </row>
    <row r="558">
      <c r="A558" s="2" t="inlineStr">
        <is>
          <t>E2069</t>
        </is>
      </c>
      <c r="B558" s="2" t="inlineStr"/>
      <c r="C558" s="2" t="inlineStr">
        <is>
          <t>BOMBA DE GASOLINA UNIVERSAL FIESTA CON RETORNO PILA 2069</t>
        </is>
      </c>
      <c r="D558" s="2" t="inlineStr">
        <is>
          <t>KTO</t>
        </is>
      </c>
      <c r="E558" s="3" t="n">
        <v>11</v>
      </c>
      <c r="F558" s="4" t="n">
        <v>0.3</v>
      </c>
      <c r="G558" s="5">
        <f>ROUND(E558*(1+F558),2)</f>
        <v>14.30</v>
      </c>
      <c r="H558" s="5">
        <f>ROUND(G558*NOTAS!$B$2,2)</f>
        <v>10315.24</v>
      </c>
      <c r="I558" s="6">
        <f>ROUND(G558*NOTAS!$B$3,0)</f>
        <v>46459</v>
      </c>
      <c r="J558" s="2" t="n">
        <v>1</v>
      </c>
    </row>
    <row r="559">
      <c r="A559" s="2" t="inlineStr">
        <is>
          <t>69086</t>
        </is>
      </c>
      <c r="B559" s="2" t="inlineStr"/>
      <c r="C559" s="2" t="inlineStr">
        <is>
          <t>BOMBA DE GASOLINA UNIVERSAL PILA 2068</t>
        </is>
      </c>
      <c r="D559" s="2" t="inlineStr">
        <is>
          <t>BOSCH ORIG</t>
        </is>
      </c>
      <c r="E559" s="3" t="n">
        <v>7</v>
      </c>
      <c r="F559" s="4" t="n">
        <v>0.3</v>
      </c>
      <c r="G559" s="5">
        <f>ROUND(E559*(1+F559),2)</f>
        <v>9.10</v>
      </c>
      <c r="H559" s="5">
        <f>ROUND(G559*NOTAS!$B$2,2)</f>
        <v>6564.24</v>
      </c>
      <c r="I559" s="6">
        <f>ROUND(G559*NOTAS!$B$3,0)</f>
        <v>29565</v>
      </c>
      <c r="J559" s="2" t="n">
        <v>0</v>
      </c>
    </row>
    <row r="560">
      <c r="A560" s="2" t="inlineStr">
        <is>
          <t>MU0004</t>
        </is>
      </c>
      <c r="B560" s="2" t="inlineStr"/>
      <c r="C560" s="2" t="inlineStr">
        <is>
          <t>BOMBA DE GASOLINA UNIVERSAL PILA 2068</t>
        </is>
      </c>
      <c r="D560" s="2" t="inlineStr">
        <is>
          <t>FIRSTAUTOMOTIVE</t>
        </is>
      </c>
      <c r="E560" s="3" t="n">
        <v>5</v>
      </c>
      <c r="F560" s="4" t="n">
        <v>0.3</v>
      </c>
      <c r="G560" s="5">
        <f>ROUND(E560*(1+F560),2)</f>
        <v>6.50</v>
      </c>
      <c r="H560" s="5">
        <f>ROUND(G560*NOTAS!$B$2,2)</f>
        <v>4688.75</v>
      </c>
      <c r="I560" s="6">
        <f>ROUND(G560*NOTAS!$B$3,0)</f>
        <v>21118</v>
      </c>
      <c r="J560" s="2" t="n">
        <v>1</v>
      </c>
    </row>
    <row r="561">
      <c r="A561" s="2" t="inlineStr">
        <is>
          <t>E2068V</t>
        </is>
      </c>
      <c r="B561" s="2" t="inlineStr"/>
      <c r="C561" s="2" t="inlineStr">
        <is>
          <t>BOMBA DE GASOLINA UNIVERSAL PILA 2068</t>
        </is>
      </c>
      <c r="D561" s="2" t="inlineStr">
        <is>
          <t>MGR</t>
        </is>
      </c>
      <c r="E561" s="3" t="n">
        <v>7</v>
      </c>
      <c r="F561" s="4" t="n">
        <v>0.3</v>
      </c>
      <c r="G561" s="5">
        <f>ROUND(E561*(1+F561),2)</f>
        <v>9.10</v>
      </c>
      <c r="H561" s="5">
        <f>ROUND(G561*NOTAS!$B$2,2)</f>
        <v>6564.24</v>
      </c>
      <c r="I561" s="6">
        <f>ROUND(G561*NOTAS!$B$3,0)</f>
        <v>29565</v>
      </c>
      <c r="J561" s="2" t="n">
        <v>1</v>
      </c>
    </row>
    <row r="562">
      <c r="A562" s="2" t="inlineStr">
        <is>
          <t>950-0125-L</t>
        </is>
      </c>
      <c r="B562" s="2" t="inlineStr"/>
      <c r="C562" s="2" t="inlineStr">
        <is>
          <t>BOMBA DE GASOLINA UNIVERSAL PILA 2068</t>
        </is>
      </c>
      <c r="D562" s="2" t="inlineStr">
        <is>
          <t>DENSO</t>
        </is>
      </c>
      <c r="E562" s="3" t="n">
        <v>25</v>
      </c>
      <c r="F562" s="4" t="n">
        <v>0.3</v>
      </c>
      <c r="G562" s="5">
        <f>ROUND(E562*(1+F562),2)</f>
        <v>32.50</v>
      </c>
      <c r="H562" s="5">
        <f>ROUND(G562*NOTAS!$B$2,2)</f>
        <v>23443.73</v>
      </c>
      <c r="I562" s="6">
        <f>ROUND(G562*NOTAS!$B$3,0)</f>
        <v>105588</v>
      </c>
      <c r="J562" s="2" t="n">
        <v>1</v>
      </c>
    </row>
    <row r="563">
      <c r="A563" s="2" t="inlineStr">
        <is>
          <t>402-P2158</t>
        </is>
      </c>
      <c r="B563" s="2" t="inlineStr"/>
      <c r="C563" s="2" t="inlineStr">
        <is>
          <t>BOMBA DE GASOLINA UNIVERSAL PILA F-150/FORTALEZA/TRITON</t>
        </is>
      </c>
      <c r="D563" s="2" t="inlineStr">
        <is>
          <t>PRECISE</t>
        </is>
      </c>
      <c r="E563" s="3" t="n">
        <v>12</v>
      </c>
      <c r="F563" s="4" t="n">
        <v>0.3</v>
      </c>
      <c r="G563" s="5">
        <f>ROUND(E563*(1+F563),2)</f>
        <v>15.60</v>
      </c>
      <c r="H563" s="5">
        <f>ROUND(G563*NOTAS!$B$2,2)</f>
        <v>11252.99</v>
      </c>
      <c r="I563" s="6">
        <f>ROUND(G563*NOTAS!$B$3,0)</f>
        <v>50682</v>
      </c>
      <c r="J563" s="2" t="n">
        <v>1</v>
      </c>
    </row>
    <row r="564">
      <c r="A564" s="2" t="inlineStr">
        <is>
          <t>228234103R</t>
        </is>
      </c>
      <c r="B564" s="2" t="inlineStr"/>
      <c r="C564" s="2" t="inlineStr">
        <is>
          <t>BOMBA DE GASOLINA UNIVERSAL PILA F-PALIO/SIENA VW GOL SAVEIRO</t>
        </is>
      </c>
      <c r="D564" s="2" t="inlineStr">
        <is>
          <t>VDO</t>
        </is>
      </c>
      <c r="E564" s="3" t="n">
        <v>30</v>
      </c>
      <c r="F564" s="4" t="n">
        <v>0.3</v>
      </c>
      <c r="G564" s="5">
        <f>ROUND(E564*(1+F564),2)</f>
        <v>39.00</v>
      </c>
      <c r="H564" s="5">
        <f>ROUND(G564*NOTAS!$B$2,2)</f>
        <v>28132.48</v>
      </c>
      <c r="I564" s="6">
        <f>ROUND(G564*NOTAS!$B$3,0)</f>
        <v>126706</v>
      </c>
      <c r="J564" s="2" t="n">
        <v>1</v>
      </c>
    </row>
    <row r="565">
      <c r="A565" s="2" t="inlineStr">
        <is>
          <t>23220-21132</t>
        </is>
      </c>
      <c r="B565" s="2" t="inlineStr"/>
      <c r="C565" s="2" t="inlineStr">
        <is>
          <t>BOMBA DE GASOLINA UNIVERSAL PILA TOYOTA HILUX FORTUNER YARIS</t>
        </is>
      </c>
      <c r="D565" s="2" t="inlineStr">
        <is>
          <t>TOYOTA</t>
        </is>
      </c>
      <c r="E565" s="3" t="n">
        <v>34.6154</v>
      </c>
      <c r="F565" s="4" t="n">
        <v>0.3</v>
      </c>
      <c r="G565" s="5">
        <f>ROUND(E565*(1+F565),2)</f>
        <v>45.00</v>
      </c>
      <c r="H565" s="5">
        <f>ROUND(G565*NOTAS!$B$2,2)</f>
        <v>32460.55</v>
      </c>
      <c r="I565" s="6">
        <f>ROUND(G565*NOTAS!$B$3,0)</f>
        <v>146199</v>
      </c>
      <c r="J565" s="2" t="n">
        <v>1</v>
      </c>
    </row>
    <row r="566">
      <c r="A566" s="2" t="inlineStr">
        <is>
          <t>904127</t>
        </is>
      </c>
      <c r="B566" s="2" t="inlineStr">
        <is>
          <t>2S653A696EA</t>
        </is>
      </c>
      <c r="C566" s="2" t="inlineStr">
        <is>
          <t>BOMBA DIRECCION HIDRAUDICA ECOSPORT</t>
        </is>
      </c>
      <c r="D566" s="2" t="inlineStr">
        <is>
          <t>FORD</t>
        </is>
      </c>
      <c r="E566" s="3" t="n">
        <v>150</v>
      </c>
      <c r="F566" s="4" t="n">
        <v>0.3</v>
      </c>
      <c r="G566" s="5">
        <f>ROUND(E566*(1+F566),2)</f>
        <v>195.00</v>
      </c>
      <c r="H566" s="5">
        <f>ROUND(G566*NOTAS!$B$2,2)</f>
        <v>140662.39</v>
      </c>
      <c r="I566" s="6">
        <f>ROUND(G566*NOTAS!$B$3,0)</f>
        <v>633530</v>
      </c>
      <c r="J566" s="2" t="n">
        <v>1</v>
      </c>
    </row>
    <row r="567">
      <c r="A567" s="2" t="inlineStr">
        <is>
          <t>902014</t>
        </is>
      </c>
      <c r="B567" s="2" t="inlineStr">
        <is>
          <t>2N153A696CA</t>
        </is>
      </c>
      <c r="C567" s="2" t="inlineStr">
        <is>
          <t>BOMBA DIRECCION HIDRAUDICA FIESTA</t>
        </is>
      </c>
      <c r="D567" s="2" t="inlineStr">
        <is>
          <t>FORD</t>
        </is>
      </c>
      <c r="E567" s="3" t="n">
        <v>150</v>
      </c>
      <c r="F567" s="4" t="n">
        <v>0.3</v>
      </c>
      <c r="G567" s="5">
        <f>ROUND(E567*(1+F567),2)</f>
        <v>195.00</v>
      </c>
      <c r="H567" s="5">
        <f>ROUND(G567*NOTAS!$B$2,2)</f>
        <v>140662.39</v>
      </c>
      <c r="I567" s="6">
        <f>ROUND(G567*NOTAS!$B$3,0)</f>
        <v>633530</v>
      </c>
      <c r="J567" s="2" t="n">
        <v>1</v>
      </c>
    </row>
    <row r="568">
      <c r="A568" s="2" t="inlineStr">
        <is>
          <t>93742398</t>
        </is>
      </c>
      <c r="B568" s="2" t="inlineStr"/>
      <c r="C568" s="2" t="inlineStr">
        <is>
          <t xml:space="preserve">BOMBA FRENO AVEO 2 TUBOS CON DEPOSITO </t>
        </is>
      </c>
      <c r="D568" s="2" t="inlineStr">
        <is>
          <t>GM</t>
        </is>
      </c>
      <c r="E568" s="3" t="n">
        <v>25.49</v>
      </c>
      <c r="F568" s="4" t="n">
        <v>0.3</v>
      </c>
      <c r="G568" s="5">
        <f>ROUND(E568*(1+F568),2)</f>
        <v>33.14</v>
      </c>
      <c r="H568" s="5">
        <f>ROUND(G568*NOTAS!$B$2,2)</f>
        <v>23905.39</v>
      </c>
      <c r="I568" s="6">
        <f>ROUND(G568*NOTAS!$B$3,0)</f>
        <v>107668</v>
      </c>
      <c r="J568" s="2" t="n">
        <v>1</v>
      </c>
    </row>
    <row r="569">
      <c r="A569" s="2" t="inlineStr">
        <is>
          <t>93742810</t>
        </is>
      </c>
      <c r="B569" s="2" t="inlineStr"/>
      <c r="C569" s="2" t="inlineStr">
        <is>
          <t xml:space="preserve">BOMBA FRENO AVEO 4 TUBOS CON DEPOSITO </t>
        </is>
      </c>
      <c r="D569" s="2" t="inlineStr">
        <is>
          <t>PERFECTION BRAKE</t>
        </is>
      </c>
      <c r="E569" s="3" t="n">
        <v>50</v>
      </c>
      <c r="F569" s="4" t="n">
        <v>0.3</v>
      </c>
      <c r="G569" s="5">
        <f>ROUND(E569*(1+F569),2)</f>
        <v>65.00</v>
      </c>
      <c r="H569" s="5">
        <f>ROUND(G569*NOTAS!$B$2,2)</f>
        <v>46887.46</v>
      </c>
      <c r="I569" s="6">
        <f>ROUND(G569*NOTAS!$B$3,0)</f>
        <v>211177</v>
      </c>
      <c r="J569" s="2" t="n">
        <v>2</v>
      </c>
    </row>
    <row r="570">
      <c r="A570" s="2" t="inlineStr">
        <is>
          <t>93742291</t>
        </is>
      </c>
      <c r="B570" s="2" t="inlineStr"/>
      <c r="C570" s="2" t="inlineStr">
        <is>
          <t xml:space="preserve">BOMBA FRENO AVEO AUTOMATICO 4 TUBOS CON DEPOSITO </t>
        </is>
      </c>
      <c r="D570" s="2" t="inlineStr">
        <is>
          <t>PERFECTION BRAKE</t>
        </is>
      </c>
      <c r="E570" s="3" t="n">
        <v>50</v>
      </c>
      <c r="F570" s="4" t="n">
        <v>0.3</v>
      </c>
      <c r="G570" s="5">
        <f>ROUND(E570*(1+F570),2)</f>
        <v>65.00</v>
      </c>
      <c r="H570" s="5">
        <f>ROUND(G570*NOTAS!$B$2,2)</f>
        <v>46887.46</v>
      </c>
      <c r="I570" s="6">
        <f>ROUND(G570*NOTAS!$B$3,0)</f>
        <v>211177</v>
      </c>
      <c r="J570" s="2" t="n">
        <v>1</v>
      </c>
    </row>
    <row r="571">
      <c r="A571" s="2" t="inlineStr">
        <is>
          <t>RCCD00700</t>
        </is>
      </c>
      <c r="B571" s="2" t="inlineStr"/>
      <c r="C571" s="2" t="inlineStr">
        <is>
          <t>BOMBA FRENO CORCEL</t>
        </is>
      </c>
      <c r="D571" s="2" t="inlineStr">
        <is>
          <t>VARGA</t>
        </is>
      </c>
      <c r="E571" s="3" t="n">
        <v>30</v>
      </c>
      <c r="F571" s="4" t="n">
        <v>0.3</v>
      </c>
      <c r="G571" s="5">
        <f>ROUND(E571*(1+F571),2)</f>
        <v>39.00</v>
      </c>
      <c r="H571" s="5">
        <f>ROUND(G571*NOTAS!$B$2,2)</f>
        <v>28132.48</v>
      </c>
      <c r="I571" s="6">
        <f>ROUND(G571*NOTAS!$B$3,0)</f>
        <v>126706</v>
      </c>
      <c r="J571" s="2" t="n">
        <v>4</v>
      </c>
    </row>
    <row r="572">
      <c r="A572" s="2" t="inlineStr">
        <is>
          <t>C-2002</t>
        </is>
      </c>
      <c r="B572" s="2" t="inlineStr"/>
      <c r="C572" s="2" t="inlineStr">
        <is>
          <t>BOMBA FRENO CORCEL</t>
        </is>
      </c>
      <c r="D572" s="2" t="inlineStr">
        <is>
          <t>CONTROIL</t>
        </is>
      </c>
      <c r="E572" s="3" t="n">
        <v>30</v>
      </c>
      <c r="F572" s="4" t="n">
        <v>0.3</v>
      </c>
      <c r="G572" s="5">
        <f>ROUND(E572*(1+F572),2)</f>
        <v>39.00</v>
      </c>
      <c r="H572" s="5">
        <f>ROUND(G572*NOTAS!$B$2,2)</f>
        <v>28132.48</v>
      </c>
      <c r="I572" s="6">
        <f>ROUND(G572*NOTAS!$B$3,0)</f>
        <v>126706</v>
      </c>
      <c r="J572" s="2" t="n">
        <v>3</v>
      </c>
    </row>
    <row r="573">
      <c r="A573" s="2" t="inlineStr">
        <is>
          <t>RCCD0041.1</t>
        </is>
      </c>
      <c r="B573" s="2" t="inlineStr"/>
      <c r="C573" s="2" t="inlineStr">
        <is>
          <t>BOMBA FRENO CORCEL LARGA HEMBRA</t>
        </is>
      </c>
      <c r="D573" s="2" t="inlineStr">
        <is>
          <t>VARGA</t>
        </is>
      </c>
      <c r="E573" s="3" t="n">
        <v>35</v>
      </c>
      <c r="F573" s="4" t="n">
        <v>0.3</v>
      </c>
      <c r="G573" s="5">
        <f>ROUND(E573*(1+F573),2)</f>
        <v>45.50</v>
      </c>
      <c r="H573" s="5">
        <f>ROUND(G573*NOTAS!$B$2,2)</f>
        <v>32821.22</v>
      </c>
      <c r="I573" s="6">
        <f>ROUND(G573*NOTAS!$B$3,0)</f>
        <v>147824</v>
      </c>
      <c r="J573" s="2" t="n">
        <v>1</v>
      </c>
    </row>
    <row r="574">
      <c r="A574" s="2" t="inlineStr">
        <is>
          <t>3492467P</t>
        </is>
      </c>
      <c r="B574" s="2" t="inlineStr"/>
      <c r="C574" s="2" t="inlineStr">
        <is>
          <t>BOMBA FRENO CORSA …/99 CON DEPOSITO EJE HEMBRA</t>
        </is>
      </c>
      <c r="D574" s="2" t="inlineStr">
        <is>
          <t>PERFECTION BRAKE</t>
        </is>
      </c>
      <c r="E574" s="3" t="n">
        <v>25</v>
      </c>
      <c r="F574" s="4" t="n">
        <v>0.3</v>
      </c>
      <c r="G574" s="5">
        <f>ROUND(E574*(1+F574),2)</f>
        <v>32.50</v>
      </c>
      <c r="H574" s="5">
        <f>ROUND(G574*NOTAS!$B$2,2)</f>
        <v>23443.73</v>
      </c>
      <c r="I574" s="6">
        <f>ROUND(G574*NOTAS!$B$3,0)</f>
        <v>105588</v>
      </c>
      <c r="J574" s="2" t="n">
        <v>1</v>
      </c>
    </row>
    <row r="575">
      <c r="A575" s="2" t="inlineStr">
        <is>
          <t>1854</t>
        </is>
      </c>
      <c r="B575" s="2" t="inlineStr"/>
      <c r="C575" s="2" t="inlineStr">
        <is>
          <t>BOMBA FRENO CORSA …/99 EJE HEMBRA</t>
        </is>
      </c>
      <c r="D575" s="2" t="inlineStr">
        <is>
          <t>LPR</t>
        </is>
      </c>
      <c r="E575" s="3" t="n">
        <v>20</v>
      </c>
      <c r="F575" s="4" t="n">
        <v>0.3</v>
      </c>
      <c r="G575" s="5">
        <f>ROUND(E575*(1+F575),2)</f>
        <v>26.00</v>
      </c>
      <c r="H575" s="5">
        <f>ROUND(G575*NOTAS!$B$2,2)</f>
        <v>18754.99</v>
      </c>
      <c r="I575" s="6">
        <f>ROUND(G575*NOTAS!$B$3,0)</f>
        <v>84471</v>
      </c>
      <c r="J575" s="2" t="n">
        <v>6</v>
      </c>
    </row>
    <row r="576">
      <c r="A576" s="2" t="inlineStr">
        <is>
          <t>RCCD01620</t>
        </is>
      </c>
      <c r="B576" s="2" t="inlineStr"/>
      <c r="C576" s="2" t="inlineStr">
        <is>
          <t>BOMBA FRENO CORSA 00/06 EJE CORTO</t>
        </is>
      </c>
      <c r="D576" s="2" t="inlineStr">
        <is>
          <t>VARGA</t>
        </is>
      </c>
      <c r="E576" s="3" t="n">
        <v>35</v>
      </c>
      <c r="F576" s="4" t="n">
        <v>0.3</v>
      </c>
      <c r="G576" s="5">
        <f>ROUND(E576*(1+F576),2)</f>
        <v>45.50</v>
      </c>
      <c r="H576" s="5">
        <f>ROUND(G576*NOTAS!$B$2,2)</f>
        <v>32821.22</v>
      </c>
      <c r="I576" s="6">
        <f>ROUND(G576*NOTAS!$B$3,0)</f>
        <v>147824</v>
      </c>
      <c r="J576" s="2" t="n">
        <v>14</v>
      </c>
    </row>
    <row r="577">
      <c r="A577" s="2" t="inlineStr">
        <is>
          <t>RCCD01610</t>
        </is>
      </c>
      <c r="B577" s="2" t="inlineStr"/>
      <c r="C577" s="2" t="inlineStr">
        <is>
          <t>BOMBA FRENO CORSA 00/06 EJE LARGO</t>
        </is>
      </c>
      <c r="D577" s="2" t="inlineStr">
        <is>
          <t>VARGA</t>
        </is>
      </c>
      <c r="E577" s="3" t="n">
        <v>35</v>
      </c>
      <c r="F577" s="4" t="n">
        <v>0.3</v>
      </c>
      <c r="G577" s="5">
        <f>ROUND(E577*(1+F577),2)</f>
        <v>45.50</v>
      </c>
      <c r="H577" s="5">
        <f>ROUND(G577*NOTAS!$B$2,2)</f>
        <v>32821.22</v>
      </c>
      <c r="I577" s="6">
        <f>ROUND(G577*NOTAS!$B$3,0)</f>
        <v>147824</v>
      </c>
      <c r="J577" s="2" t="n">
        <v>2</v>
      </c>
    </row>
    <row r="578">
      <c r="A578" s="2" t="inlineStr">
        <is>
          <t>6708</t>
        </is>
      </c>
      <c r="B578" s="2" t="inlineStr"/>
      <c r="C578" s="2" t="inlineStr">
        <is>
          <t>BOMBA FRENO F-131</t>
        </is>
      </c>
      <c r="D578" s="2" t="inlineStr">
        <is>
          <t>LPR</t>
        </is>
      </c>
      <c r="E578" s="3" t="n">
        <v>20</v>
      </c>
      <c r="F578" s="4" t="n">
        <v>0.3</v>
      </c>
      <c r="G578" s="5">
        <f>ROUND(E578*(1+F578),2)</f>
        <v>26.00</v>
      </c>
      <c r="H578" s="5">
        <f>ROUND(G578*NOTAS!$B$2,2)</f>
        <v>18754.99</v>
      </c>
      <c r="I578" s="6">
        <f>ROUND(G578*NOTAS!$B$3,0)</f>
        <v>84471</v>
      </c>
      <c r="J578" s="2" t="n">
        <v>1</v>
      </c>
    </row>
    <row r="579">
      <c r="A579" s="2" t="inlineStr">
        <is>
          <t>6725</t>
        </is>
      </c>
      <c r="B579" s="2" t="inlineStr"/>
      <c r="C579" s="2" t="inlineStr">
        <is>
          <t>BOMBA FRENO F-131 SUPER</t>
        </is>
      </c>
      <c r="D579" s="2" t="inlineStr">
        <is>
          <t>LPR</t>
        </is>
      </c>
      <c r="E579" s="3" t="n">
        <v>20</v>
      </c>
      <c r="F579" s="4" t="n">
        <v>0.3</v>
      </c>
      <c r="G579" s="5">
        <f>ROUND(E579*(1+F579),2)</f>
        <v>26.00</v>
      </c>
      <c r="H579" s="5">
        <f>ROUND(G579*NOTAS!$B$2,2)</f>
        <v>18754.99</v>
      </c>
      <c r="I579" s="6">
        <f>ROUND(G579*NOTAS!$B$3,0)</f>
        <v>84471</v>
      </c>
      <c r="J579" s="2" t="n">
        <v>2</v>
      </c>
    </row>
    <row r="580">
      <c r="A580" s="2" t="inlineStr">
        <is>
          <t>6707</t>
        </is>
      </c>
      <c r="B580" s="2" t="inlineStr"/>
      <c r="C580" s="2" t="inlineStr">
        <is>
          <t>BOMBA FRENO F-132 1.8</t>
        </is>
      </c>
      <c r="D580" s="2" t="inlineStr">
        <is>
          <t>LPR</t>
        </is>
      </c>
      <c r="E580" s="3" t="n">
        <v>20</v>
      </c>
      <c r="F580" s="4" t="n">
        <v>0.3</v>
      </c>
      <c r="G580" s="5">
        <f>ROUND(E580*(1+F580),2)</f>
        <v>26.00</v>
      </c>
      <c r="H580" s="5">
        <f>ROUND(G580*NOTAS!$B$2,2)</f>
        <v>18754.99</v>
      </c>
      <c r="I580" s="6">
        <f>ROUND(G580*NOTAS!$B$3,0)</f>
        <v>84471</v>
      </c>
      <c r="J580" s="2" t="n">
        <v>1</v>
      </c>
    </row>
    <row r="581">
      <c r="A581" s="2" t="inlineStr">
        <is>
          <t>6727</t>
        </is>
      </c>
      <c r="B581" s="2" t="inlineStr"/>
      <c r="C581" s="2" t="inlineStr">
        <is>
          <t>BOMBA FRENO F-132 2.0</t>
        </is>
      </c>
      <c r="D581" s="2" t="inlineStr">
        <is>
          <t>LPR</t>
        </is>
      </c>
      <c r="E581" s="3" t="n">
        <v>20</v>
      </c>
      <c r="F581" s="4" t="n">
        <v>0.3</v>
      </c>
      <c r="G581" s="5">
        <f>ROUND(E581*(1+F581),2)</f>
        <v>26.00</v>
      </c>
      <c r="H581" s="5">
        <f>ROUND(G581*NOTAS!$B$2,2)</f>
        <v>18754.99</v>
      </c>
      <c r="I581" s="6">
        <f>ROUND(G581*NOTAS!$B$3,0)</f>
        <v>84471</v>
      </c>
      <c r="J581" s="2" t="n">
        <v>1</v>
      </c>
    </row>
    <row r="582">
      <c r="A582" s="2" t="inlineStr">
        <is>
          <t>C-2006</t>
        </is>
      </c>
      <c r="B582" s="2" t="inlineStr"/>
      <c r="C582" s="2" t="inlineStr">
        <is>
          <t>BOMBA FRENO F-147/SPAZIO</t>
        </is>
      </c>
      <c r="D582" s="2" t="inlineStr">
        <is>
          <t>CONTROIL</t>
        </is>
      </c>
      <c r="E582" s="3" t="n">
        <v>37</v>
      </c>
      <c r="F582" s="4" t="n">
        <v>0.3</v>
      </c>
      <c r="G582" s="5">
        <f>ROUND(E582*(1+F582),2)</f>
        <v>48.10</v>
      </c>
      <c r="H582" s="5">
        <f>ROUND(G582*NOTAS!$B$2,2)</f>
        <v>34696.72</v>
      </c>
      <c r="I582" s="6">
        <f>ROUND(G582*NOTAS!$B$3,0)</f>
        <v>156271</v>
      </c>
      <c r="J582" s="2" t="n">
        <v>2</v>
      </c>
    </row>
    <row r="583">
      <c r="A583" s="2" t="inlineStr">
        <is>
          <t>6744</t>
        </is>
      </c>
      <c r="B583" s="2" t="inlineStr"/>
      <c r="C583" s="2" t="inlineStr">
        <is>
          <t>BOMBA FRENO F-147/SPAZIO</t>
        </is>
      </c>
      <c r="D583" s="2" t="inlineStr">
        <is>
          <t>LPR</t>
        </is>
      </c>
      <c r="E583" s="3" t="n">
        <v>35</v>
      </c>
      <c r="F583" s="4" t="n">
        <v>0.3</v>
      </c>
      <c r="G583" s="5">
        <f>ROUND(E583*(1+F583),2)</f>
        <v>45.50</v>
      </c>
      <c r="H583" s="5">
        <f>ROUND(G583*NOTAS!$B$2,2)</f>
        <v>32821.22</v>
      </c>
      <c r="I583" s="6">
        <f>ROUND(G583*NOTAS!$B$3,0)</f>
        <v>147824</v>
      </c>
      <c r="J583" s="2" t="n">
        <v>3</v>
      </c>
    </row>
    <row r="584">
      <c r="A584" s="2" t="inlineStr">
        <is>
          <t>C-2155</t>
        </is>
      </c>
      <c r="B584" s="2" t="inlineStr"/>
      <c r="C584" s="2" t="inlineStr">
        <is>
          <t>BOMBA FRENO FIESTA 04/13</t>
        </is>
      </c>
      <c r="D584" s="2" t="inlineStr">
        <is>
          <t>CONTROIL</t>
        </is>
      </c>
      <c r="E584" s="3" t="n">
        <v>39</v>
      </c>
      <c r="F584" s="4" t="n">
        <v>0.3</v>
      </c>
      <c r="G584" s="5">
        <f>ROUND(E584*(1+F584),2)</f>
        <v>50.70</v>
      </c>
      <c r="H584" s="5">
        <f>ROUND(G584*NOTAS!$B$2,2)</f>
        <v>36572.22</v>
      </c>
      <c r="I584" s="6">
        <f>ROUND(G584*NOTAS!$B$3,0)</f>
        <v>164718</v>
      </c>
      <c r="J584" s="2" t="n">
        <v>1</v>
      </c>
    </row>
    <row r="585">
      <c r="A585" s="2" t="inlineStr">
        <is>
          <t>RCCD01000</t>
        </is>
      </c>
      <c r="B585" s="2" t="inlineStr"/>
      <c r="C585" s="2" t="inlineStr">
        <is>
          <t>BOMBA FRENO F-PALIO/SIENA  EJE CORTA</t>
        </is>
      </c>
      <c r="D585" s="2" t="inlineStr">
        <is>
          <t>VARGA</t>
        </is>
      </c>
      <c r="E585" s="3" t="n">
        <v>35</v>
      </c>
      <c r="F585" s="4" t="n">
        <v>0.3</v>
      </c>
      <c r="G585" s="5">
        <f>ROUND(E585*(1+F585),2)</f>
        <v>45.50</v>
      </c>
      <c r="H585" s="5">
        <f>ROUND(G585*NOTAS!$B$2,2)</f>
        <v>32821.22</v>
      </c>
      <c r="I585" s="6">
        <f>ROUND(G585*NOTAS!$B$3,0)</f>
        <v>147824</v>
      </c>
      <c r="J585" s="2" t="n">
        <v>2</v>
      </c>
    </row>
    <row r="586">
      <c r="A586" s="2" t="inlineStr">
        <is>
          <t>6781</t>
        </is>
      </c>
      <c r="B586" s="2" t="inlineStr"/>
      <c r="C586" s="2" t="inlineStr">
        <is>
          <t>BOMBA FRENO F-PALIO/SIENA  EJE CORTA</t>
        </is>
      </c>
      <c r="D586" s="2" t="inlineStr">
        <is>
          <t>LPR</t>
        </is>
      </c>
      <c r="E586" s="3" t="n">
        <v>30</v>
      </c>
      <c r="F586" s="4" t="n">
        <v>0.3</v>
      </c>
      <c r="G586" s="5">
        <f>ROUND(E586*(1+F586),2)</f>
        <v>39.00</v>
      </c>
      <c r="H586" s="5">
        <f>ROUND(G586*NOTAS!$B$2,2)</f>
        <v>28132.48</v>
      </c>
      <c r="I586" s="6">
        <f>ROUND(G586*NOTAS!$B$3,0)</f>
        <v>126706</v>
      </c>
      <c r="J586" s="2" t="n">
        <v>2</v>
      </c>
    </row>
    <row r="587">
      <c r="A587" s="2" t="inlineStr">
        <is>
          <t>RCCD01530</t>
        </is>
      </c>
      <c r="B587" s="2" t="inlineStr"/>
      <c r="C587" s="2" t="inlineStr">
        <is>
          <t xml:space="preserve">BOMBA FRENO F-PALIO/SIENA  EJE LARGA </t>
        </is>
      </c>
      <c r="D587" s="2" t="inlineStr">
        <is>
          <t>VARGA</t>
        </is>
      </c>
      <c r="E587" s="3" t="n">
        <v>35</v>
      </c>
      <c r="F587" s="4" t="n">
        <v>0.3</v>
      </c>
      <c r="G587" s="5">
        <f>ROUND(E587*(1+F587),2)</f>
        <v>45.50</v>
      </c>
      <c r="H587" s="5">
        <f>ROUND(G587*NOTAS!$B$2,2)</f>
        <v>32821.22</v>
      </c>
      <c r="I587" s="6">
        <f>ROUND(G587*NOTAS!$B$3,0)</f>
        <v>147824</v>
      </c>
      <c r="J587" s="2" t="n">
        <v>2</v>
      </c>
    </row>
    <row r="588">
      <c r="A588" s="2" t="inlineStr">
        <is>
          <t>6780</t>
        </is>
      </c>
      <c r="B588" s="2" t="inlineStr"/>
      <c r="C588" s="2" t="inlineStr">
        <is>
          <t xml:space="preserve">BOMBA FRENO F-PALIO/SIENA 20.64MM EJE LARGA </t>
        </is>
      </c>
      <c r="D588" s="2" t="inlineStr">
        <is>
          <t>LPR</t>
        </is>
      </c>
      <c r="E588" s="3" t="n">
        <v>30</v>
      </c>
      <c r="F588" s="4" t="n">
        <v>0.3</v>
      </c>
      <c r="G588" s="5">
        <f>ROUND(E588*(1+F588),2)</f>
        <v>39.00</v>
      </c>
      <c r="H588" s="5">
        <f>ROUND(G588*NOTAS!$B$2,2)</f>
        <v>28132.48</v>
      </c>
      <c r="I588" s="6">
        <f>ROUND(G588*NOTAS!$B$3,0)</f>
        <v>126706</v>
      </c>
      <c r="J588" s="2" t="n">
        <v>7</v>
      </c>
    </row>
    <row r="589">
      <c r="A589" s="2" t="inlineStr">
        <is>
          <t>5723</t>
        </is>
      </c>
      <c r="B589" s="2" t="inlineStr"/>
      <c r="C589" s="2" t="inlineStr">
        <is>
          <t xml:space="preserve">BOMBA FRENO F-PALIO/SIENA 20.64MM EJE LARGA </t>
        </is>
      </c>
      <c r="D589" s="2" t="inlineStr">
        <is>
          <t>ATE</t>
        </is>
      </c>
      <c r="E589" s="3" t="n">
        <v>35</v>
      </c>
      <c r="F589" s="4" t="n">
        <v>0.3</v>
      </c>
      <c r="G589" s="5">
        <f>ROUND(E589*(1+F589),2)</f>
        <v>45.50</v>
      </c>
      <c r="H589" s="5">
        <f>ROUND(G589*NOTAS!$B$2,2)</f>
        <v>32821.22</v>
      </c>
      <c r="I589" s="6">
        <f>ROUND(G589*NOTAS!$B$3,0)</f>
        <v>147824</v>
      </c>
      <c r="J589" s="2" t="n">
        <v>1</v>
      </c>
    </row>
    <row r="590">
      <c r="A590" s="2" t="inlineStr">
        <is>
          <t>6757</t>
        </is>
      </c>
      <c r="B590" s="2" t="inlineStr"/>
      <c r="C590" s="2" t="inlineStr">
        <is>
          <t>BOMBA FRENO F-REGATA/RITMO</t>
        </is>
      </c>
      <c r="D590" s="2" t="inlineStr">
        <is>
          <t>LPR</t>
        </is>
      </c>
      <c r="E590" s="3" t="n">
        <v>20</v>
      </c>
      <c r="F590" s="4" t="n">
        <v>0.3</v>
      </c>
      <c r="G590" s="5">
        <f>ROUND(E590*(1+F590),2)</f>
        <v>26.00</v>
      </c>
      <c r="H590" s="5">
        <f>ROUND(G590*NOTAS!$B$2,2)</f>
        <v>18754.99</v>
      </c>
      <c r="I590" s="6">
        <f>ROUND(G590*NOTAS!$B$3,0)</f>
        <v>84471</v>
      </c>
      <c r="J590" s="2" t="n">
        <v>1</v>
      </c>
    </row>
    <row r="591">
      <c r="A591" s="2" t="inlineStr">
        <is>
          <t>6749</t>
        </is>
      </c>
      <c r="B591" s="2" t="inlineStr"/>
      <c r="C591" s="2" t="inlineStr">
        <is>
          <t>BOMBA FRENO F-REGATA/RITMO</t>
        </is>
      </c>
      <c r="D591" s="2" t="inlineStr">
        <is>
          <t>LPR</t>
        </is>
      </c>
      <c r="E591" s="3" t="n">
        <v>20</v>
      </c>
      <c r="F591" s="4" t="n">
        <v>0.3</v>
      </c>
      <c r="G591" s="5">
        <f>ROUND(E591*(1+F591),2)</f>
        <v>26.00</v>
      </c>
      <c r="H591" s="5">
        <f>ROUND(G591*NOTAS!$B$2,2)</f>
        <v>18754.99</v>
      </c>
      <c r="I591" s="6">
        <f>ROUND(G591*NOTAS!$B$3,0)</f>
        <v>84471</v>
      </c>
      <c r="J591" s="2" t="n">
        <v>2</v>
      </c>
    </row>
    <row r="592">
      <c r="A592" s="2" t="inlineStr">
        <is>
          <t>6759</t>
        </is>
      </c>
      <c r="B592" s="2" t="inlineStr"/>
      <c r="C592" s="2" t="inlineStr">
        <is>
          <t>BOMBA FRENO F-UNO/PREMIO CORTA 3TUBOS H.PEGADO</t>
        </is>
      </c>
      <c r="D592" s="2" t="inlineStr">
        <is>
          <t>LPR</t>
        </is>
      </c>
      <c r="E592" s="3" t="n">
        <v>30</v>
      </c>
      <c r="F592" s="4" t="n">
        <v>0.3</v>
      </c>
      <c r="G592" s="5">
        <f>ROUND(E592*(1+F592),2)</f>
        <v>39.00</v>
      </c>
      <c r="H592" s="5">
        <f>ROUND(G592*NOTAS!$B$2,2)</f>
        <v>28132.48</v>
      </c>
      <c r="I592" s="6">
        <f>ROUND(G592*NOTAS!$B$3,0)</f>
        <v>126706</v>
      </c>
      <c r="J592" s="2" t="n">
        <v>2</v>
      </c>
    </row>
    <row r="593">
      <c r="A593" s="2" t="inlineStr">
        <is>
          <t>RCCD00890</t>
        </is>
      </c>
      <c r="B593" s="2" t="inlineStr"/>
      <c r="C593" s="2" t="inlineStr">
        <is>
          <t>BOMBA FRENO F-UNO/PREMIO CORTA 3TUBOS H.PEGADO</t>
        </is>
      </c>
      <c r="D593" s="2" t="inlineStr">
        <is>
          <t>VARGA</t>
        </is>
      </c>
      <c r="E593" s="3" t="n">
        <v>35</v>
      </c>
      <c r="F593" s="4" t="n">
        <v>0.3</v>
      </c>
      <c r="G593" s="5">
        <f>ROUND(E593*(1+F593),2)</f>
        <v>45.50</v>
      </c>
      <c r="H593" s="5">
        <f>ROUND(G593*NOTAS!$B$2,2)</f>
        <v>32821.22</v>
      </c>
      <c r="I593" s="6">
        <f>ROUND(G593*NOTAS!$B$3,0)</f>
        <v>147824</v>
      </c>
      <c r="J593" s="2" t="n">
        <v>2</v>
      </c>
    </row>
    <row r="594">
      <c r="A594" s="2" t="inlineStr">
        <is>
          <t>6778</t>
        </is>
      </c>
      <c r="B594" s="2" t="inlineStr"/>
      <c r="C594" s="2" t="inlineStr">
        <is>
          <t>BOMBA FRENO F-UNO/PREMIO CORTA 4TUBOS H.SEPARADO</t>
        </is>
      </c>
      <c r="D594" s="2" t="inlineStr">
        <is>
          <t>LPR</t>
        </is>
      </c>
      <c r="E594" s="3" t="n">
        <v>30</v>
      </c>
      <c r="F594" s="4" t="n">
        <v>0.3</v>
      </c>
      <c r="G594" s="5">
        <f>ROUND(E594*(1+F594),2)</f>
        <v>39.00</v>
      </c>
      <c r="H594" s="5">
        <f>ROUND(G594*NOTAS!$B$2,2)</f>
        <v>28132.48</v>
      </c>
      <c r="I594" s="6">
        <f>ROUND(G594*NOTAS!$B$3,0)</f>
        <v>126706</v>
      </c>
      <c r="J594" s="2" t="n">
        <v>5</v>
      </c>
    </row>
    <row r="595">
      <c r="A595" s="2" t="inlineStr">
        <is>
          <t>6722</t>
        </is>
      </c>
      <c r="B595" s="2" t="inlineStr"/>
      <c r="C595" s="2" t="inlineStr">
        <is>
          <t>BOMBA FRENO F-UNO/PREMIO LARGA</t>
        </is>
      </c>
      <c r="D595" s="2" t="inlineStr">
        <is>
          <t>LPR</t>
        </is>
      </c>
      <c r="E595" s="3" t="n">
        <v>30</v>
      </c>
      <c r="F595" s="4" t="n">
        <v>0.3</v>
      </c>
      <c r="G595" s="5">
        <f>ROUND(E595*(1+F595),2)</f>
        <v>39.00</v>
      </c>
      <c r="H595" s="5">
        <f>ROUND(G595*NOTAS!$B$2,2)</f>
        <v>28132.48</v>
      </c>
      <c r="I595" s="6">
        <f>ROUND(G595*NOTAS!$B$3,0)</f>
        <v>126706</v>
      </c>
      <c r="J595" s="2" t="n">
        <v>20</v>
      </c>
    </row>
    <row r="596">
      <c r="A596" s="2" t="inlineStr">
        <is>
          <t>5765</t>
        </is>
      </c>
      <c r="B596" s="2" t="inlineStr"/>
      <c r="C596" s="2" t="inlineStr">
        <is>
          <t>BOMBA FRENO F-UNO/PREMIO LARGA</t>
        </is>
      </c>
      <c r="D596" s="2" t="inlineStr">
        <is>
          <t>ATE</t>
        </is>
      </c>
      <c r="E596" s="3" t="n">
        <v>35</v>
      </c>
      <c r="F596" s="4" t="n">
        <v>0.3</v>
      </c>
      <c r="G596" s="5">
        <f>ROUND(E596*(1+F596),2)</f>
        <v>45.50</v>
      </c>
      <c r="H596" s="5">
        <f>ROUND(G596*NOTAS!$B$2,2)</f>
        <v>32821.22</v>
      </c>
      <c r="I596" s="6">
        <f>ROUND(G596*NOTAS!$B$3,0)</f>
        <v>147824</v>
      </c>
      <c r="J596" s="2" t="n">
        <v>2</v>
      </c>
    </row>
    <row r="597">
      <c r="A597" s="2" t="inlineStr">
        <is>
          <t>C-2030</t>
        </is>
      </c>
      <c r="B597" s="2" t="inlineStr"/>
      <c r="C597" s="2" t="inlineStr">
        <is>
          <t>BOMBA FRENO F-UNO/PREMIO LARGA</t>
        </is>
      </c>
      <c r="D597" s="2" t="inlineStr">
        <is>
          <t>CONTROIL</t>
        </is>
      </c>
      <c r="E597" s="3" t="n">
        <v>35</v>
      </c>
      <c r="F597" s="4" t="n">
        <v>0.3</v>
      </c>
      <c r="G597" s="5">
        <f>ROUND(E597*(1+F597),2)</f>
        <v>45.50</v>
      </c>
      <c r="H597" s="5">
        <f>ROUND(G597*NOTAS!$B$2,2)</f>
        <v>32821.22</v>
      </c>
      <c r="I597" s="6">
        <f>ROUND(G597*NOTAS!$B$3,0)</f>
        <v>147824</v>
      </c>
      <c r="J597" s="2" t="n">
        <v>2</v>
      </c>
    </row>
    <row r="598">
      <c r="A598" s="2" t="inlineStr">
        <is>
          <t>C-2093</t>
        </is>
      </c>
      <c r="B598" s="2" t="inlineStr"/>
      <c r="C598" s="2" t="inlineStr">
        <is>
          <t>BOMBA FRENO KA</t>
        </is>
      </c>
      <c r="D598" s="2" t="inlineStr">
        <is>
          <t>CONTROIL</t>
        </is>
      </c>
      <c r="E598" s="3" t="n">
        <v>45</v>
      </c>
      <c r="F598" s="4" t="n">
        <v>0.3</v>
      </c>
      <c r="G598" s="5">
        <f>ROUND(E598*(1+F598),2)</f>
        <v>58.50</v>
      </c>
      <c r="H598" s="5">
        <f>ROUND(G598*NOTAS!$B$2,2)</f>
        <v>42198.72</v>
      </c>
      <c r="I598" s="6">
        <f>ROUND(G598*NOTAS!$B$3,0)</f>
        <v>190059</v>
      </c>
      <c r="J598" s="2" t="n">
        <v>3</v>
      </c>
    </row>
    <row r="599">
      <c r="A599" s="2" t="inlineStr">
        <is>
          <t>C-2143</t>
        </is>
      </c>
      <c r="B599" s="2" t="inlineStr"/>
      <c r="C599" s="2" t="inlineStr">
        <is>
          <t>BOMBA FRENO MONTANA/CORSA 1.8</t>
        </is>
      </c>
      <c r="D599" s="2" t="inlineStr">
        <is>
          <t>CONTROIL</t>
        </is>
      </c>
      <c r="E599" s="3" t="n">
        <v>40</v>
      </c>
      <c r="F599" s="4" t="n">
        <v>0.3</v>
      </c>
      <c r="G599" s="5">
        <f>ROUND(E599*(1+F599),2)</f>
        <v>52.00</v>
      </c>
      <c r="H599" s="5">
        <f>ROUND(G599*NOTAS!$B$2,2)</f>
        <v>37509.97</v>
      </c>
      <c r="I599" s="6">
        <f>ROUND(G599*NOTAS!$B$3,0)</f>
        <v>168941</v>
      </c>
      <c r="J599" s="2" t="n">
        <v>1</v>
      </c>
    </row>
    <row r="600">
      <c r="A600" s="2" t="inlineStr">
        <is>
          <t>1122</t>
        </is>
      </c>
      <c r="B600" s="2" t="inlineStr"/>
      <c r="C600" s="2" t="inlineStr">
        <is>
          <t>BOMBA FRENO R-11 TUBERIA V</t>
        </is>
      </c>
      <c r="D600" s="2" t="inlineStr">
        <is>
          <t>LPR</t>
        </is>
      </c>
      <c r="E600" s="3" t="n">
        <v>20</v>
      </c>
      <c r="F600" s="4" t="n">
        <v>0.3</v>
      </c>
      <c r="G600" s="5">
        <f>ROUND(E600*(1+F600),2)</f>
        <v>26.00</v>
      </c>
      <c r="H600" s="5">
        <f>ROUND(G600*NOTAS!$B$2,2)</f>
        <v>18754.99</v>
      </c>
      <c r="I600" s="6">
        <f>ROUND(G600*NOTAS!$B$3,0)</f>
        <v>84471</v>
      </c>
      <c r="J600" s="2" t="n">
        <v>8</v>
      </c>
    </row>
    <row r="601">
      <c r="A601" s="2" t="inlineStr">
        <is>
          <t>1108</t>
        </is>
      </c>
      <c r="B601" s="2" t="inlineStr"/>
      <c r="C601" s="2" t="inlineStr">
        <is>
          <t>BOMBA FRENO R-12 1.3</t>
        </is>
      </c>
      <c r="D601" s="2" t="inlineStr">
        <is>
          <t>LPR</t>
        </is>
      </c>
      <c r="E601" s="3" t="n">
        <v>20</v>
      </c>
      <c r="F601" s="4" t="n">
        <v>0.3</v>
      </c>
      <c r="G601" s="5">
        <f>ROUND(E601*(1+F601),2)</f>
        <v>26.00</v>
      </c>
      <c r="H601" s="5">
        <f>ROUND(G601*NOTAS!$B$2,2)</f>
        <v>18754.99</v>
      </c>
      <c r="I601" s="6">
        <f>ROUND(G601*NOTAS!$B$3,0)</f>
        <v>84471</v>
      </c>
      <c r="J601" s="2" t="n">
        <v>1</v>
      </c>
    </row>
    <row r="602">
      <c r="A602" s="2" t="inlineStr">
        <is>
          <t>1135</t>
        </is>
      </c>
      <c r="B602" s="2" t="inlineStr"/>
      <c r="C602" s="2" t="inlineStr">
        <is>
          <t>BOMBA FRENO R-18/FUEGO</t>
        </is>
      </c>
      <c r="D602" s="2" t="inlineStr">
        <is>
          <t>LPR</t>
        </is>
      </c>
      <c r="E602" s="3" t="n">
        <v>25</v>
      </c>
      <c r="F602" s="4" t="n">
        <v>0.3</v>
      </c>
      <c r="G602" s="5">
        <f>ROUND(E602*(1+F602),2)</f>
        <v>32.50</v>
      </c>
      <c r="H602" s="5">
        <f>ROUND(G602*NOTAS!$B$2,2)</f>
        <v>23443.73</v>
      </c>
      <c r="I602" s="6">
        <f>ROUND(G602*NOTAS!$B$3,0)</f>
        <v>105588</v>
      </c>
      <c r="J602" s="2" t="n">
        <v>13</v>
      </c>
    </row>
    <row r="603">
      <c r="A603" s="2" t="inlineStr">
        <is>
          <t>1229</t>
        </is>
      </c>
      <c r="B603" s="2" t="inlineStr"/>
      <c r="C603" s="2" t="inlineStr">
        <is>
          <t>BOMBA FRENO R-19 1.4 ENERGY</t>
        </is>
      </c>
      <c r="D603" s="2" t="inlineStr">
        <is>
          <t>LPR</t>
        </is>
      </c>
      <c r="E603" s="3" t="n">
        <v>25</v>
      </c>
      <c r="F603" s="4" t="n">
        <v>0.3</v>
      </c>
      <c r="G603" s="5">
        <f>ROUND(E603*(1+F603),2)</f>
        <v>32.50</v>
      </c>
      <c r="H603" s="5">
        <f>ROUND(G603*NOTAS!$B$2,2)</f>
        <v>23443.73</v>
      </c>
      <c r="I603" s="6">
        <f>ROUND(G603*NOTAS!$B$3,0)</f>
        <v>105588</v>
      </c>
      <c r="J603" s="2" t="n">
        <v>12</v>
      </c>
    </row>
    <row r="604">
      <c r="A604" s="2" t="inlineStr">
        <is>
          <t>1105</t>
        </is>
      </c>
      <c r="B604" s="2" t="inlineStr"/>
      <c r="C604" s="2" t="inlineStr">
        <is>
          <t>BOMBA FRENO R-21</t>
        </is>
      </c>
      <c r="D604" s="2" t="inlineStr">
        <is>
          <t>LPR</t>
        </is>
      </c>
      <c r="E604" s="3" t="n">
        <v>25</v>
      </c>
      <c r="F604" s="4" t="n">
        <v>0.3</v>
      </c>
      <c r="G604" s="5">
        <f>ROUND(E604*(1+F604),2)</f>
        <v>32.50</v>
      </c>
      <c r="H604" s="5">
        <f>ROUND(G604*NOTAS!$B$2,2)</f>
        <v>23443.73</v>
      </c>
      <c r="I604" s="6">
        <f>ROUND(G604*NOTAS!$B$3,0)</f>
        <v>105588</v>
      </c>
      <c r="J604" s="2" t="n">
        <v>1</v>
      </c>
    </row>
    <row r="605">
      <c r="A605" s="2" t="inlineStr">
        <is>
          <t>1104</t>
        </is>
      </c>
      <c r="B605" s="2" t="inlineStr"/>
      <c r="C605" s="2" t="inlineStr">
        <is>
          <t>BOMBA FRENO R-5 1.1</t>
        </is>
      </c>
      <c r="D605" s="2" t="inlineStr">
        <is>
          <t>LPR</t>
        </is>
      </c>
      <c r="E605" s="3" t="n">
        <v>20</v>
      </c>
      <c r="F605" s="4" t="n">
        <v>0.3</v>
      </c>
      <c r="G605" s="5">
        <f>ROUND(E605*(1+F605),2)</f>
        <v>26.00</v>
      </c>
      <c r="H605" s="5">
        <f>ROUND(G605*NOTAS!$B$2,2)</f>
        <v>18754.99</v>
      </c>
      <c r="I605" s="6">
        <f>ROUND(G605*NOTAS!$B$3,0)</f>
        <v>84471</v>
      </c>
      <c r="J605" s="2" t="n">
        <v>1</v>
      </c>
    </row>
    <row r="606">
      <c r="A606" s="2" t="inlineStr">
        <is>
          <t>1570</t>
        </is>
      </c>
      <c r="B606" s="2" t="inlineStr"/>
      <c r="C606" s="2" t="inlineStr">
        <is>
          <t>BOMBA FRENO R-LOGAN 2 TUBOS</t>
        </is>
      </c>
      <c r="D606" s="2" t="inlineStr">
        <is>
          <t>LPR</t>
        </is>
      </c>
      <c r="E606" s="3" t="n">
        <v>35</v>
      </c>
      <c r="F606" s="4" t="n">
        <v>0.3</v>
      </c>
      <c r="G606" s="5">
        <f>ROUND(E606*(1+F606),2)</f>
        <v>45.50</v>
      </c>
      <c r="H606" s="5">
        <f>ROUND(G606*NOTAS!$B$2,2)</f>
        <v>32821.22</v>
      </c>
      <c r="I606" s="6">
        <f>ROUND(G606*NOTAS!$B$3,0)</f>
        <v>147824</v>
      </c>
      <c r="J606" s="2" t="n">
        <v>2</v>
      </c>
    </row>
    <row r="607">
      <c r="A607" s="2" t="inlineStr">
        <is>
          <t>1758</t>
        </is>
      </c>
      <c r="B607" s="2" t="inlineStr"/>
      <c r="C607" s="2" t="inlineStr">
        <is>
          <t>BOMBA FRENO R-LOGAN 4 TUBOS</t>
        </is>
      </c>
      <c r="D607" s="2" t="inlineStr">
        <is>
          <t>LPR</t>
        </is>
      </c>
      <c r="E607" s="3" t="n">
        <v>40</v>
      </c>
      <c r="F607" s="4" t="n">
        <v>0.3</v>
      </c>
      <c r="G607" s="5">
        <f>ROUND(E607*(1+F607),2)</f>
        <v>52.00</v>
      </c>
      <c r="H607" s="5">
        <f>ROUND(G607*NOTAS!$B$2,2)</f>
        <v>37509.97</v>
      </c>
      <c r="I607" s="6">
        <f>ROUND(G607*NOTAS!$B$3,0)</f>
        <v>168941</v>
      </c>
      <c r="J607" s="2" t="n">
        <v>3</v>
      </c>
    </row>
    <row r="608">
      <c r="A608" s="2" t="inlineStr">
        <is>
          <t>5742</t>
        </is>
      </c>
      <c r="B608" s="2" t="inlineStr"/>
      <c r="C608" s="2" t="inlineStr">
        <is>
          <t>BOMBA FRENO R-SYMBOL/MEGANE 2 TUBOS</t>
        </is>
      </c>
      <c r="D608" s="2" t="inlineStr">
        <is>
          <t>WOLF</t>
        </is>
      </c>
      <c r="E608" s="3" t="n">
        <v>30</v>
      </c>
      <c r="F608" s="4" t="n">
        <v>0.3</v>
      </c>
      <c r="G608" s="5">
        <f>ROUND(E608*(1+F608),2)</f>
        <v>39.00</v>
      </c>
      <c r="H608" s="5">
        <f>ROUND(G608*NOTAS!$B$2,2)</f>
        <v>28132.48</v>
      </c>
      <c r="I608" s="6">
        <f>ROUND(G608*NOTAS!$B$3,0)</f>
        <v>126706</v>
      </c>
      <c r="J608" s="2" t="n">
        <v>2</v>
      </c>
    </row>
    <row r="609">
      <c r="A609" s="2" t="inlineStr">
        <is>
          <t>730051</t>
        </is>
      </c>
      <c r="B609" s="2" t="inlineStr"/>
      <c r="C609" s="2" t="inlineStr">
        <is>
          <t>BOMBA FRENO R-SYMBOL/MEGANE 2 TUBOS</t>
        </is>
      </c>
      <c r="D609" s="2" t="inlineStr">
        <is>
          <t>INCOLBEST</t>
        </is>
      </c>
      <c r="E609" s="3" t="n">
        <v>30</v>
      </c>
      <c r="F609" s="4" t="n">
        <v>0.3</v>
      </c>
      <c r="G609" s="5">
        <f>ROUND(E609*(1+F609),2)</f>
        <v>39.00</v>
      </c>
      <c r="H609" s="5">
        <f>ROUND(G609*NOTAS!$B$2,2)</f>
        <v>28132.48</v>
      </c>
      <c r="I609" s="6">
        <f>ROUND(G609*NOTAS!$B$3,0)</f>
        <v>126706</v>
      </c>
      <c r="J609" s="2" t="n">
        <v>1</v>
      </c>
    </row>
    <row r="610">
      <c r="A610" s="2" t="inlineStr">
        <is>
          <t>51100-60B10</t>
        </is>
      </c>
      <c r="B610" s="2" t="inlineStr"/>
      <c r="C610" s="2" t="inlineStr">
        <is>
          <t>BOMBA FRENO SWIFT 1.6</t>
        </is>
      </c>
      <c r="D610" s="2" t="inlineStr">
        <is>
          <t>PERFECTION BRAKE</t>
        </is>
      </c>
      <c r="E610" s="3" t="n">
        <v>50</v>
      </c>
      <c r="F610" s="4" t="n">
        <v>0.3</v>
      </c>
      <c r="G610" s="5">
        <f>ROUND(E610*(1+F610),2)</f>
        <v>65.00</v>
      </c>
      <c r="H610" s="5">
        <f>ROUND(G610*NOTAS!$B$2,2)</f>
        <v>46887.46</v>
      </c>
      <c r="I610" s="6">
        <f>ROUND(G610*NOTAS!$B$3,0)</f>
        <v>211177</v>
      </c>
      <c r="J610" s="2" t="n">
        <v>2</v>
      </c>
    </row>
    <row r="611">
      <c r="A611" s="2" t="inlineStr">
        <is>
          <t>1539937</t>
        </is>
      </c>
      <c r="B611" s="2" t="inlineStr">
        <is>
          <t>3M517A543AG</t>
        </is>
      </c>
      <c r="C611" s="2" t="inlineStr">
        <is>
          <t>BOMBIN EMBRAGUE ECOSPORT/FOCUS 2.0</t>
        </is>
      </c>
      <c r="D611" s="2" t="inlineStr">
        <is>
          <t>FORD</t>
        </is>
      </c>
      <c r="E611" s="3" t="n">
        <v>40</v>
      </c>
      <c r="F611" s="4" t="n">
        <v>0.3</v>
      </c>
      <c r="G611" s="5">
        <f>ROUND(E611*(1+F611),2)</f>
        <v>52.00</v>
      </c>
      <c r="H611" s="5">
        <f>ROUND(G611*NOTAS!$B$2,2)</f>
        <v>37509.97</v>
      </c>
      <c r="I611" s="6">
        <f>ROUND(G611*NOTAS!$B$3,0)</f>
        <v>168941</v>
      </c>
      <c r="J611" s="2" t="n">
        <v>2</v>
      </c>
    </row>
    <row r="612">
      <c r="A612" s="2" t="inlineStr">
        <is>
          <t>904597</t>
        </is>
      </c>
      <c r="B612" s="2" t="inlineStr">
        <is>
          <t>AS657A543AA</t>
        </is>
      </c>
      <c r="C612" s="2" t="inlineStr">
        <is>
          <t>BOMBIN EMBRAGUE FIESTA/ECOSPORT 1.6</t>
        </is>
      </c>
      <c r="D612" s="2" t="inlineStr">
        <is>
          <t>FORD</t>
        </is>
      </c>
      <c r="E612" s="3" t="n">
        <v>40</v>
      </c>
      <c r="F612" s="4" t="n">
        <v>0.3</v>
      </c>
      <c r="G612" s="5">
        <f>ROUND(E612*(1+F612),2)</f>
        <v>52.00</v>
      </c>
      <c r="H612" s="5">
        <f>ROUND(G612*NOTAS!$B$2,2)</f>
        <v>37509.97</v>
      </c>
      <c r="I612" s="6">
        <f>ROUND(G612*NOTAS!$B$3,0)</f>
        <v>168941</v>
      </c>
      <c r="J612" s="2" t="n">
        <v>7</v>
      </c>
    </row>
    <row r="613">
      <c r="A613" s="2" t="inlineStr">
        <is>
          <t>96159109</t>
        </is>
      </c>
      <c r="B613" s="2" t="inlineStr">
        <is>
          <t>KBO0015</t>
        </is>
      </c>
      <c r="C613" s="2" t="inlineStr">
        <is>
          <t>BOMBIN EMBRAGUE INFERIOR CAJA CIELO/LANOS</t>
        </is>
      </c>
      <c r="D613" s="2" t="inlineStr">
        <is>
          <t>TCIC</t>
        </is>
      </c>
      <c r="E613" s="3" t="n">
        <v>20</v>
      </c>
      <c r="F613" s="4" t="n">
        <v>0.3</v>
      </c>
      <c r="G613" s="5">
        <f>ROUND(E613*(1+F613),2)</f>
        <v>26.00</v>
      </c>
      <c r="H613" s="5">
        <f>ROUND(G613*NOTAS!$B$2,2)</f>
        <v>18754.99</v>
      </c>
      <c r="I613" s="6">
        <f>ROUND(G613*NOTAS!$B$3,0)</f>
        <v>84471</v>
      </c>
      <c r="J613" s="2" t="n">
        <v>6</v>
      </c>
    </row>
    <row r="614">
      <c r="A614" s="2" t="inlineStr">
        <is>
          <t>511.0155.10</t>
        </is>
      </c>
      <c r="B614" s="2" t="inlineStr"/>
      <c r="C614" s="2" t="inlineStr">
        <is>
          <t>BOMBIN EMBRAGUE LARGO F-PALIO/SIENA</t>
        </is>
      </c>
      <c r="D614" s="2" t="inlineStr">
        <is>
          <t>LUK</t>
        </is>
      </c>
      <c r="E614" s="3" t="n">
        <v>35</v>
      </c>
      <c r="F614" s="4" t="n">
        <v>0.3</v>
      </c>
      <c r="G614" s="5">
        <f>ROUND(E614*(1+F614),2)</f>
        <v>45.50</v>
      </c>
      <c r="H614" s="5">
        <f>ROUND(G614*NOTAS!$B$2,2)</f>
        <v>32821.22</v>
      </c>
      <c r="I614" s="6">
        <f>ROUND(G614*NOTAS!$B$3,0)</f>
        <v>147824</v>
      </c>
      <c r="J614" s="2" t="n">
        <v>2</v>
      </c>
    </row>
    <row r="615">
      <c r="A615" s="2" t="inlineStr">
        <is>
          <t>96339733</t>
        </is>
      </c>
      <c r="B615" s="2" t="inlineStr"/>
      <c r="C615" s="2" t="inlineStr">
        <is>
          <t>BOMBIN EMBRAGUE SUPERIOR  PRINCIPAL AVEO</t>
        </is>
      </c>
      <c r="D615" s="2" t="inlineStr">
        <is>
          <t>PERFECTION BRAKE</t>
        </is>
      </c>
      <c r="E615" s="3" t="n">
        <v>20</v>
      </c>
      <c r="F615" s="4" t="n">
        <v>0.3</v>
      </c>
      <c r="G615" s="5">
        <f>ROUND(E615*(1+F615),2)</f>
        <v>26.00</v>
      </c>
      <c r="H615" s="5">
        <f>ROUND(G615*NOTAS!$B$2,2)</f>
        <v>18754.99</v>
      </c>
      <c r="I615" s="6">
        <f>ROUND(G615*NOTAS!$B$3,0)</f>
        <v>84471</v>
      </c>
      <c r="J615" s="2" t="n">
        <v>1</v>
      </c>
    </row>
    <row r="616">
      <c r="A616" s="2" t="inlineStr">
        <is>
          <t>96652647</t>
        </is>
      </c>
      <c r="B616" s="2" t="inlineStr"/>
      <c r="C616" s="2" t="inlineStr">
        <is>
          <t>BOMBIN EMBRAGUE SUPERIOR  PRINCIPAL AVEO</t>
        </is>
      </c>
      <c r="D616" s="2" t="inlineStr">
        <is>
          <t>AOWEI</t>
        </is>
      </c>
      <c r="E616" s="3" t="n">
        <v>20</v>
      </c>
      <c r="F616" s="4" t="n">
        <v>0.3</v>
      </c>
      <c r="G616" s="5">
        <f>ROUND(E616*(1+F616),2)</f>
        <v>26.00</v>
      </c>
      <c r="H616" s="5">
        <f>ROUND(G616*NOTAS!$B$2,2)</f>
        <v>18754.99</v>
      </c>
      <c r="I616" s="6">
        <f>ROUND(G616*NOTAS!$B$3,0)</f>
        <v>84471</v>
      </c>
      <c r="J616" s="2" t="n">
        <v>1</v>
      </c>
    </row>
    <row r="617">
      <c r="A617" s="2" t="inlineStr">
        <is>
          <t>96652647</t>
        </is>
      </c>
      <c r="B617" s="2" t="inlineStr"/>
      <c r="C617" s="2" t="inlineStr">
        <is>
          <t>BOMBIN EMBRAGUE SUPERIOR  PRINCIPAL AVEO</t>
        </is>
      </c>
      <c r="D617" s="2" t="inlineStr">
        <is>
          <t>GM</t>
        </is>
      </c>
      <c r="E617" s="3" t="n">
        <v>30</v>
      </c>
      <c r="F617" s="4" t="n">
        <v>0.3</v>
      </c>
      <c r="G617" s="5">
        <f>ROUND(E617*(1+F617),2)</f>
        <v>39.00</v>
      </c>
      <c r="H617" s="5">
        <f>ROUND(G617*NOTAS!$B$2,2)</f>
        <v>28132.48</v>
      </c>
      <c r="I617" s="6">
        <f>ROUND(G617*NOTAS!$B$3,0)</f>
        <v>126706</v>
      </c>
      <c r="J617" s="2" t="n">
        <v>1</v>
      </c>
    </row>
    <row r="618">
      <c r="A618" s="2" t="inlineStr">
        <is>
          <t>96184062</t>
        </is>
      </c>
      <c r="B618" s="2" t="inlineStr">
        <is>
          <t>12C0469</t>
        </is>
      </c>
      <c r="C618" s="2" t="inlineStr">
        <is>
          <t>BOMBIN EMBRAGUE SUPERIOR  PRINCIPAL AVEO/LANOS</t>
        </is>
      </c>
      <c r="D618" s="2" t="inlineStr">
        <is>
          <t>TCIC</t>
        </is>
      </c>
      <c r="E618" s="3" t="n">
        <v>25</v>
      </c>
      <c r="F618" s="4" t="n">
        <v>0.3</v>
      </c>
      <c r="G618" s="5">
        <f>ROUND(E618*(1+F618),2)</f>
        <v>32.50</v>
      </c>
      <c r="H618" s="5">
        <f>ROUND(G618*NOTAS!$B$2,2)</f>
        <v>23443.73</v>
      </c>
      <c r="I618" s="6">
        <f>ROUND(G618*NOTAS!$B$3,0)</f>
        <v>105588</v>
      </c>
      <c r="J618" s="2" t="n">
        <v>1</v>
      </c>
    </row>
    <row r="619">
      <c r="A619" s="2" t="inlineStr">
        <is>
          <t>PMC-21</t>
        </is>
      </c>
      <c r="B619" s="2" t="inlineStr"/>
      <c r="C619" s="2" t="inlineStr">
        <is>
          <t>BOMBIN EMBRAGUE SUPERIOR PRINCIPAL AVEO/LANOS 1.6</t>
        </is>
      </c>
      <c r="D619" s="2" t="inlineStr">
        <is>
          <t>PHCVALEO</t>
        </is>
      </c>
      <c r="E619" s="3" t="n">
        <v>30</v>
      </c>
      <c r="F619" s="4" t="n">
        <v>0.3</v>
      </c>
      <c r="G619" s="5">
        <f>ROUND(E619*(1+F619),2)</f>
        <v>39.00</v>
      </c>
      <c r="H619" s="5">
        <f>ROUND(G619*NOTAS!$B$2,2)</f>
        <v>28132.48</v>
      </c>
      <c r="I619" s="6">
        <f>ROUND(G619*NOTAS!$B$3,0)</f>
        <v>126706</v>
      </c>
      <c r="J619" s="2" t="n">
        <v>2</v>
      </c>
    </row>
    <row r="620">
      <c r="A620" s="2" t="inlineStr">
        <is>
          <t>96159106</t>
        </is>
      </c>
      <c r="B620" s="2" t="inlineStr"/>
      <c r="C620" s="2" t="inlineStr">
        <is>
          <t>BOMBIN EMBRAGUE SUPERIOR PRINCIPAL CIELO/LANOS</t>
        </is>
      </c>
      <c r="D620" s="2" t="inlineStr">
        <is>
          <t>PERFECTION BRAKE</t>
        </is>
      </c>
      <c r="E620" s="3" t="n">
        <v>18</v>
      </c>
      <c r="F620" s="4" t="n">
        <v>0.3</v>
      </c>
      <c r="G620" s="5">
        <f>ROUND(E620*(1+F620),2)</f>
        <v>23.40</v>
      </c>
      <c r="H620" s="5">
        <f>ROUND(G620*NOTAS!$B$2,2)</f>
        <v>16879.49</v>
      </c>
      <c r="I620" s="6">
        <f>ROUND(G620*NOTAS!$B$3,0)</f>
        <v>76024</v>
      </c>
      <c r="J620" s="2" t="n">
        <v>1</v>
      </c>
    </row>
    <row r="621">
      <c r="A621" s="2" t="inlineStr">
        <is>
          <t>WC90065</t>
        </is>
      </c>
      <c r="B621" s="2" t="inlineStr"/>
      <c r="C621" s="2" t="inlineStr">
        <is>
          <t>BOMBIN EMBRAGUE SUPERIOR PRINCIPAL CIELO/LANOS</t>
        </is>
      </c>
      <c r="D621" s="2" t="inlineStr">
        <is>
          <t>AOWEI</t>
        </is>
      </c>
      <c r="E621" s="3" t="n">
        <v>15</v>
      </c>
      <c r="F621" s="4" t="n">
        <v>0.3</v>
      </c>
      <c r="G621" s="5">
        <f>ROUND(E621*(1+F621),2)</f>
        <v>19.50</v>
      </c>
      <c r="H621" s="5">
        <f>ROUND(G621*NOTAS!$B$2,2)</f>
        <v>14066.24</v>
      </c>
      <c r="I621" s="6">
        <f>ROUND(G621*NOTAS!$B$3,0)</f>
        <v>63353</v>
      </c>
      <c r="J621" s="2" t="n">
        <v>1</v>
      </c>
    </row>
    <row r="622">
      <c r="A622" s="2" t="inlineStr">
        <is>
          <t>96167964</t>
        </is>
      </c>
      <c r="B622" s="2" t="inlineStr">
        <is>
          <t>12C0287</t>
        </is>
      </c>
      <c r="C622" s="2" t="inlineStr">
        <is>
          <t>BOMBIN EMBRAGUE SUPERIOR PRINCIPAL CIELO/LANOS P96297178</t>
        </is>
      </c>
      <c r="D622" s="2" t="inlineStr">
        <is>
          <t>TCIC</t>
        </is>
      </c>
      <c r="E622" s="3" t="n">
        <v>20</v>
      </c>
      <c r="F622" s="4" t="n">
        <v>0.3</v>
      </c>
      <c r="G622" s="5">
        <f>ROUND(E622*(1+F622),2)</f>
        <v>26.00</v>
      </c>
      <c r="H622" s="5">
        <f>ROUND(G622*NOTAS!$B$2,2)</f>
        <v>18754.99</v>
      </c>
      <c r="I622" s="6">
        <f>ROUND(G622*NOTAS!$B$3,0)</f>
        <v>84471</v>
      </c>
      <c r="J622" s="2" t="n">
        <v>4</v>
      </c>
    </row>
    <row r="623">
      <c r="A623" s="2" t="inlineStr">
        <is>
          <t>96494422</t>
        </is>
      </c>
      <c r="B623" s="2" t="inlineStr"/>
      <c r="C623" s="2" t="inlineStr">
        <is>
          <t>BOMBIN EMBRAGUE SUPERIOR PRINCIPAL OPTRA</t>
        </is>
      </c>
      <c r="D623" s="2" t="inlineStr">
        <is>
          <t>4USA</t>
        </is>
      </c>
      <c r="E623" s="3" t="n">
        <v>20</v>
      </c>
      <c r="F623" s="4" t="n">
        <v>0.3</v>
      </c>
      <c r="G623" s="5">
        <f>ROUND(E623*(1+F623),2)</f>
        <v>26.00</v>
      </c>
      <c r="H623" s="5">
        <f>ROUND(G623*NOTAS!$B$2,2)</f>
        <v>18754.99</v>
      </c>
      <c r="I623" s="6">
        <f>ROUND(G623*NOTAS!$B$3,0)</f>
        <v>84471</v>
      </c>
      <c r="J623" s="2" t="n">
        <v>1</v>
      </c>
    </row>
    <row r="624">
      <c r="A624" s="2" t="inlineStr">
        <is>
          <t>P96494422</t>
        </is>
      </c>
      <c r="B624" s="2" t="inlineStr"/>
      <c r="C624" s="2" t="inlineStr">
        <is>
          <t>BOMBIN EMBRAGUE SUPERIOR PRINCIPAL OPTRA</t>
        </is>
      </c>
      <c r="D624" s="2" t="inlineStr">
        <is>
          <t>X2</t>
        </is>
      </c>
      <c r="E624" s="3" t="n">
        <v>20</v>
      </c>
      <c r="F624" s="4" t="n">
        <v>0.3</v>
      </c>
      <c r="G624" s="5">
        <f>ROUND(E624*(1+F624),2)</f>
        <v>26.00</v>
      </c>
      <c r="H624" s="5">
        <f>ROUND(G624*NOTAS!$B$2,2)</f>
        <v>18754.99</v>
      </c>
      <c r="I624" s="6">
        <f>ROUND(G624*NOTAS!$B$3,0)</f>
        <v>84471</v>
      </c>
      <c r="J624" s="2" t="n">
        <v>1</v>
      </c>
    </row>
    <row r="625">
      <c r="A625" s="2" t="inlineStr">
        <is>
          <t>90428154</t>
        </is>
      </c>
      <c r="B625" s="2" t="inlineStr"/>
      <c r="C625" s="2" t="inlineStr">
        <is>
          <t>BORDE RUEDA TRASERO DERECHO CORSA 2 PUERTAS 00/06</t>
        </is>
      </c>
      <c r="D625" s="2" t="inlineStr">
        <is>
          <t>PF</t>
        </is>
      </c>
      <c r="E625" s="3" t="n">
        <v>10</v>
      </c>
      <c r="F625" s="4" t="n">
        <v>0.3</v>
      </c>
      <c r="G625" s="5">
        <f>ROUND(E625*(1+F625),2)</f>
        <v>13.00</v>
      </c>
      <c r="H625" s="5">
        <f>ROUND(G625*NOTAS!$B$2,2)</f>
        <v>9377.49</v>
      </c>
      <c r="I625" s="6">
        <f>ROUND(G625*NOTAS!$B$3,0)</f>
        <v>42235</v>
      </c>
      <c r="J625" s="2" t="n">
        <v>2</v>
      </c>
    </row>
    <row r="626">
      <c r="A626" s="2" t="inlineStr">
        <is>
          <t>90428453</t>
        </is>
      </c>
      <c r="B626" s="2" t="inlineStr"/>
      <c r="C626" s="2" t="inlineStr">
        <is>
          <t>BORDE RUEDA TRASERO IZQUIERDO CORSA 2 PUERTAS 00/06</t>
        </is>
      </c>
      <c r="D626" s="2" t="inlineStr">
        <is>
          <t>PF</t>
        </is>
      </c>
      <c r="E626" s="3" t="n">
        <v>10</v>
      </c>
      <c r="F626" s="4" t="n">
        <v>0.3</v>
      </c>
      <c r="G626" s="5">
        <f>ROUND(E626*(1+F626),2)</f>
        <v>13.00</v>
      </c>
      <c r="H626" s="5">
        <f>ROUND(G626*NOTAS!$B$2,2)</f>
        <v>9377.49</v>
      </c>
      <c r="I626" s="6">
        <f>ROUND(G626*NOTAS!$B$3,0)</f>
        <v>42235</v>
      </c>
      <c r="J626" s="2" t="n">
        <v>2</v>
      </c>
    </row>
    <row r="627">
      <c r="A627" s="2" t="inlineStr"/>
      <c r="B627" s="2" t="inlineStr"/>
      <c r="C627" s="2" t="inlineStr">
        <is>
          <t>BOTON INTERUPTOR INTERMITENTE FIESTA 04/13</t>
        </is>
      </c>
      <c r="D627" s="2" t="inlineStr">
        <is>
          <t>FORD</t>
        </is>
      </c>
      <c r="E627" s="3" t="n">
        <v>3</v>
      </c>
      <c r="F627" s="4" t="n">
        <v>0.3</v>
      </c>
      <c r="G627" s="5">
        <f>ROUND(E627*(1+F627),2)</f>
        <v>3.90</v>
      </c>
      <c r="H627" s="5">
        <f>ROUND(G627*NOTAS!$B$2,2)</f>
        <v>2813.25</v>
      </c>
      <c r="I627" s="6">
        <f>ROUND(G627*NOTAS!$B$3,0)</f>
        <v>12671</v>
      </c>
      <c r="J627" s="2" t="n">
        <v>1</v>
      </c>
    </row>
    <row r="628">
      <c r="A628" s="2" t="inlineStr">
        <is>
          <t>EV800577</t>
        </is>
      </c>
      <c r="B628" s="2" t="inlineStr"/>
      <c r="C628" s="2" t="inlineStr">
        <is>
          <t>BRAZO AXIAL ROTULA AVEO</t>
        </is>
      </c>
      <c r="D628" s="2" t="inlineStr">
        <is>
          <t>JOINT</t>
        </is>
      </c>
      <c r="E628" s="3" t="n">
        <v>7</v>
      </c>
      <c r="F628" s="4" t="n">
        <v>0.3</v>
      </c>
      <c r="G628" s="5">
        <f>ROUND(E628*(1+F628),2)</f>
        <v>9.10</v>
      </c>
      <c r="H628" s="5">
        <f>ROUND(G628*NOTAS!$B$2,2)</f>
        <v>6564.24</v>
      </c>
      <c r="I628" s="6">
        <f>ROUND(G628*NOTAS!$B$3,0)</f>
        <v>29565</v>
      </c>
      <c r="J628" s="2" t="n">
        <v>1</v>
      </c>
    </row>
    <row r="629">
      <c r="A629" s="2" t="inlineStr">
        <is>
          <t>C12078</t>
        </is>
      </c>
      <c r="B629" s="2" t="inlineStr"/>
      <c r="C629" s="2" t="inlineStr">
        <is>
          <t>BRAZO AXIAL ROTULA AVEO</t>
        </is>
      </c>
      <c r="D629" s="2" t="inlineStr">
        <is>
          <t>REMIK</t>
        </is>
      </c>
      <c r="E629" s="3" t="n">
        <v>6</v>
      </c>
      <c r="F629" s="4" t="n">
        <v>0.3</v>
      </c>
      <c r="G629" s="5">
        <f>ROUND(E629*(1+F629),2)</f>
        <v>7.80</v>
      </c>
      <c r="H629" s="5">
        <f>ROUND(G629*NOTAS!$B$2,2)</f>
        <v>5626.50</v>
      </c>
      <c r="I629" s="6">
        <f>ROUND(G629*NOTAS!$B$3,0)</f>
        <v>25341</v>
      </c>
      <c r="J629" s="2" t="n">
        <v>2</v>
      </c>
    </row>
    <row r="630">
      <c r="A630" s="2" t="inlineStr">
        <is>
          <t>CRKD-10R</t>
        </is>
      </c>
      <c r="B630" s="2" t="inlineStr"/>
      <c r="C630" s="2" t="inlineStr">
        <is>
          <t>BRAZO AXIAL ROTULA AVEO</t>
        </is>
      </c>
      <c r="D630" s="2" t="inlineStr">
        <is>
          <t>CTR</t>
        </is>
      </c>
      <c r="E630" s="3" t="n">
        <v>10</v>
      </c>
      <c r="F630" s="4" t="n">
        <v>0.3</v>
      </c>
      <c r="G630" s="5">
        <f>ROUND(E630*(1+F630),2)</f>
        <v>13.00</v>
      </c>
      <c r="H630" s="5">
        <f>ROUND(G630*NOTAS!$B$2,2)</f>
        <v>9377.49</v>
      </c>
      <c r="I630" s="6">
        <f>ROUND(G630*NOTAS!$B$3,0)</f>
        <v>42235</v>
      </c>
      <c r="J630" s="2" t="n">
        <v>2</v>
      </c>
    </row>
    <row r="631">
      <c r="A631" s="2" t="inlineStr">
        <is>
          <t>600303</t>
        </is>
      </c>
      <c r="B631" s="2" t="inlineStr"/>
      <c r="C631" s="2" t="inlineStr">
        <is>
          <t>BRAZO AXIAL ROTULA CHEVETTE</t>
        </is>
      </c>
      <c r="D631" s="2" t="inlineStr">
        <is>
          <t>OCAP</t>
        </is>
      </c>
      <c r="E631" s="3" t="n">
        <v>9</v>
      </c>
      <c r="F631" s="4" t="n">
        <v>0.3</v>
      </c>
      <c r="G631" s="5">
        <f>ROUND(E631*(1+F631),2)</f>
        <v>11.70</v>
      </c>
      <c r="H631" s="5">
        <f>ROUND(G631*NOTAS!$B$2,2)</f>
        <v>8439.74</v>
      </c>
      <c r="I631" s="6">
        <f>ROUND(G631*NOTAS!$B$3,0)</f>
        <v>38012</v>
      </c>
      <c r="J631" s="2" t="n">
        <v>4</v>
      </c>
    </row>
    <row r="632">
      <c r="A632" s="2" t="inlineStr">
        <is>
          <t>92-00332</t>
        </is>
      </c>
      <c r="B632" s="2" t="inlineStr"/>
      <c r="C632" s="2" t="inlineStr">
        <is>
          <t>BRAZO AXIAL ROTULA CORSA 2PTAS …/99</t>
        </is>
      </c>
      <c r="D632" s="2" t="inlineStr">
        <is>
          <t>RTS</t>
        </is>
      </c>
      <c r="E632" s="3" t="n">
        <v>8</v>
      </c>
      <c r="F632" s="4" t="n">
        <v>0.3</v>
      </c>
      <c r="G632" s="5">
        <f>ROUND(E632*(1+F632),2)</f>
        <v>10.40</v>
      </c>
      <c r="H632" s="5">
        <f>ROUND(G632*NOTAS!$B$2,2)</f>
        <v>7501.99</v>
      </c>
      <c r="I632" s="6">
        <f>ROUND(G632*NOTAS!$B$3,0)</f>
        <v>33788</v>
      </c>
      <c r="J632" s="2" t="n">
        <v>5</v>
      </c>
    </row>
    <row r="633">
      <c r="A633" s="2" t="inlineStr">
        <is>
          <t>O-113</t>
        </is>
      </c>
      <c r="B633" s="2" t="inlineStr"/>
      <c r="C633" s="2" t="inlineStr">
        <is>
          <t>BRAZO AXIAL ROTULA CORSA 2PTAS …/99</t>
        </is>
      </c>
      <c r="D633" s="2" t="inlineStr">
        <is>
          <t>TEKNOROT</t>
        </is>
      </c>
      <c r="E633" s="3" t="n">
        <v>6</v>
      </c>
      <c r="F633" s="4" t="n">
        <v>0.3</v>
      </c>
      <c r="G633" s="5">
        <f>ROUND(E633*(1+F633),2)</f>
        <v>7.80</v>
      </c>
      <c r="H633" s="5">
        <f>ROUND(G633*NOTAS!$B$2,2)</f>
        <v>5626.50</v>
      </c>
      <c r="I633" s="6">
        <f>ROUND(G633*NOTAS!$B$3,0)</f>
        <v>25341</v>
      </c>
      <c r="J633" s="2" t="n">
        <v>4</v>
      </c>
    </row>
    <row r="634">
      <c r="A634" s="2" t="inlineStr">
        <is>
          <t>GM0168</t>
        </is>
      </c>
      <c r="B634" s="2" t="inlineStr"/>
      <c r="C634" s="2" t="inlineStr">
        <is>
          <t>BRAZO AXIAL ROTULA CORSA 2PTAS 00/06</t>
        </is>
      </c>
      <c r="D634" s="2" t="inlineStr">
        <is>
          <t>DRIVEX</t>
        </is>
      </c>
      <c r="E634" s="3" t="n">
        <v>4.78</v>
      </c>
      <c r="F634" s="4" t="n">
        <v>0.3</v>
      </c>
      <c r="G634" s="5">
        <f>ROUND(E634*(1+F634),2)</f>
        <v>6.21</v>
      </c>
      <c r="H634" s="5">
        <f>ROUND(G634*NOTAS!$B$2,2)</f>
        <v>4479.56</v>
      </c>
      <c r="I634" s="6">
        <f>ROUND(G634*NOTAS!$B$3,0)</f>
        <v>20175</v>
      </c>
      <c r="J634" s="2" t="n">
        <v>27</v>
      </c>
    </row>
    <row r="635">
      <c r="A635" s="2" t="inlineStr">
        <is>
          <t>92-05167</t>
        </is>
      </c>
      <c r="B635" s="2" t="inlineStr"/>
      <c r="C635" s="2" t="inlineStr">
        <is>
          <t>BRAZO AXIAL ROTULA CORSA 2PTAS 00/06</t>
        </is>
      </c>
      <c r="D635" s="2" t="inlineStr">
        <is>
          <t>RTS</t>
        </is>
      </c>
      <c r="E635" s="3" t="n">
        <v>8</v>
      </c>
      <c r="F635" s="4" t="n">
        <v>0.3</v>
      </c>
      <c r="G635" s="5">
        <f>ROUND(E635*(1+F635),2)</f>
        <v>10.40</v>
      </c>
      <c r="H635" s="5">
        <f>ROUND(G635*NOTAS!$B$2,2)</f>
        <v>7501.99</v>
      </c>
      <c r="I635" s="6">
        <f>ROUND(G635*NOTAS!$B$3,0)</f>
        <v>33788</v>
      </c>
      <c r="J635" s="2" t="n">
        <v>5</v>
      </c>
    </row>
    <row r="636">
      <c r="A636" s="2" t="inlineStr">
        <is>
          <t>CC866</t>
        </is>
      </c>
      <c r="B636" s="2" t="inlineStr"/>
      <c r="C636" s="2" t="inlineStr">
        <is>
          <t>BRAZO AXIAL ROTULA CORSA 2PTAS 00/06</t>
        </is>
      </c>
      <c r="D636" s="2" t="inlineStr">
        <is>
          <t>TNK</t>
        </is>
      </c>
      <c r="E636" s="3" t="n">
        <v>8</v>
      </c>
      <c r="F636" s="4" t="n">
        <v>0.3</v>
      </c>
      <c r="G636" s="5">
        <f>ROUND(E636*(1+F636),2)</f>
        <v>10.40</v>
      </c>
      <c r="H636" s="5">
        <f>ROUND(G636*NOTAS!$B$2,2)</f>
        <v>7501.99</v>
      </c>
      <c r="I636" s="6">
        <f>ROUND(G636*NOTAS!$B$3,0)</f>
        <v>33788</v>
      </c>
      <c r="J636" s="2" t="n">
        <v>4</v>
      </c>
    </row>
    <row r="637">
      <c r="A637" s="2" t="inlineStr">
        <is>
          <t>93296754</t>
        </is>
      </c>
      <c r="B637" s="2" t="inlineStr"/>
      <c r="C637" s="2" t="inlineStr">
        <is>
          <t>BRAZO AXIAL ROTULA CORSA 2PTAS 00/06</t>
        </is>
      </c>
      <c r="D637" s="2" t="inlineStr">
        <is>
          <t>YOKOMITSU</t>
        </is>
      </c>
      <c r="E637" s="3" t="n">
        <v>7</v>
      </c>
      <c r="F637" s="4" t="n">
        <v>0.3</v>
      </c>
      <c r="G637" s="5">
        <f>ROUND(E637*(1+F637),2)</f>
        <v>9.10</v>
      </c>
      <c r="H637" s="5">
        <f>ROUND(G637*NOTAS!$B$2,2)</f>
        <v>6564.24</v>
      </c>
      <c r="I637" s="6">
        <f>ROUND(G637*NOTAS!$B$3,0)</f>
        <v>29565</v>
      </c>
      <c r="J637" s="2" t="n">
        <v>21</v>
      </c>
    </row>
    <row r="638">
      <c r="A638" s="2" t="inlineStr">
        <is>
          <t>92-00333</t>
        </is>
      </c>
      <c r="B638" s="2" t="inlineStr"/>
      <c r="C638" s="2" t="inlineStr">
        <is>
          <t>BRAZO AXIAL ROTULA CORSA 4PTAS …/99</t>
        </is>
      </c>
      <c r="D638" s="2" t="inlineStr">
        <is>
          <t>RTS</t>
        </is>
      </c>
      <c r="E638" s="3" t="n">
        <v>8</v>
      </c>
      <c r="F638" s="4" t="n">
        <v>0.3</v>
      </c>
      <c r="G638" s="5">
        <f>ROUND(E638*(1+F638),2)</f>
        <v>10.40</v>
      </c>
      <c r="H638" s="5">
        <f>ROUND(G638*NOTAS!$B$2,2)</f>
        <v>7501.99</v>
      </c>
      <c r="I638" s="6">
        <f>ROUND(G638*NOTAS!$B$3,0)</f>
        <v>33788</v>
      </c>
      <c r="J638" s="2" t="n">
        <v>11</v>
      </c>
    </row>
    <row r="639">
      <c r="A639" s="2" t="inlineStr"/>
      <c r="B639" s="2" t="inlineStr"/>
      <c r="C639" s="2" t="inlineStr">
        <is>
          <t>BRAZO AXIAL ROTULA CORSA 4PTAS …/99</t>
        </is>
      </c>
      <c r="D639" s="2" t="inlineStr">
        <is>
          <t>OCAP</t>
        </is>
      </c>
      <c r="E639" s="3" t="n">
        <v>8</v>
      </c>
      <c r="F639" s="4" t="n">
        <v>0.3</v>
      </c>
      <c r="G639" s="5">
        <f>ROUND(E639*(1+F639),2)</f>
        <v>10.40</v>
      </c>
      <c r="H639" s="5">
        <f>ROUND(G639*NOTAS!$B$2,2)</f>
        <v>7501.99</v>
      </c>
      <c r="I639" s="6">
        <f>ROUND(G639*NOTAS!$B$3,0)</f>
        <v>33788</v>
      </c>
      <c r="J639" s="2" t="n">
        <v>2</v>
      </c>
    </row>
    <row r="640">
      <c r="A640" s="2" t="inlineStr">
        <is>
          <t>CC902</t>
        </is>
      </c>
      <c r="B640" s="2" t="inlineStr"/>
      <c r="C640" s="2" t="inlineStr">
        <is>
          <t>BRAZO AXIAL ROTULA CORSA 4PTAS …/99</t>
        </is>
      </c>
      <c r="D640" s="2" t="inlineStr">
        <is>
          <t>TNK</t>
        </is>
      </c>
      <c r="E640" s="3" t="n">
        <v>8</v>
      </c>
      <c r="F640" s="4" t="n">
        <v>0.3</v>
      </c>
      <c r="G640" s="5">
        <f>ROUND(E640*(1+F640),2)</f>
        <v>10.40</v>
      </c>
      <c r="H640" s="5">
        <f>ROUND(G640*NOTAS!$B$2,2)</f>
        <v>7501.99</v>
      </c>
      <c r="I640" s="6">
        <f>ROUND(G640*NOTAS!$B$3,0)</f>
        <v>33788</v>
      </c>
      <c r="J640" s="2" t="n">
        <v>2</v>
      </c>
    </row>
    <row r="641">
      <c r="A641" s="2" t="inlineStr">
        <is>
          <t>O-143</t>
        </is>
      </c>
      <c r="B641" s="2" t="inlineStr"/>
      <c r="C641" s="2" t="inlineStr">
        <is>
          <t>BRAZO AXIAL ROTULA CORSA 4PTAS …/99</t>
        </is>
      </c>
      <c r="D641" s="2" t="inlineStr">
        <is>
          <t>TEKNOROT</t>
        </is>
      </c>
      <c r="E641" s="3" t="n">
        <v>6</v>
      </c>
      <c r="F641" s="4" t="n">
        <v>0.3</v>
      </c>
      <c r="G641" s="5">
        <f>ROUND(E641*(1+F641),2)</f>
        <v>7.80</v>
      </c>
      <c r="H641" s="5">
        <f>ROUND(G641*NOTAS!$B$2,2)</f>
        <v>5626.50</v>
      </c>
      <c r="I641" s="6">
        <f>ROUND(G641*NOTAS!$B$3,0)</f>
        <v>25341</v>
      </c>
      <c r="J641" s="2" t="n">
        <v>4</v>
      </c>
    </row>
    <row r="642">
      <c r="A642" s="2" t="inlineStr">
        <is>
          <t>93296755</t>
        </is>
      </c>
      <c r="B642" s="2" t="inlineStr"/>
      <c r="C642" s="2" t="inlineStr">
        <is>
          <t>BRAZO AXIAL ROTULA CORSA 4PTAS 00/06</t>
        </is>
      </c>
      <c r="D642" s="2" t="inlineStr">
        <is>
          <t>CHEVROLET</t>
        </is>
      </c>
      <c r="E642" s="3" t="n">
        <v>8</v>
      </c>
      <c r="F642" s="4" t="n">
        <v>0.3</v>
      </c>
      <c r="G642" s="5">
        <f>ROUND(E642*(1+F642),2)</f>
        <v>10.40</v>
      </c>
      <c r="H642" s="5">
        <f>ROUND(G642*NOTAS!$B$2,2)</f>
        <v>7501.99</v>
      </c>
      <c r="I642" s="6">
        <f>ROUND(G642*NOTAS!$B$3,0)</f>
        <v>33788</v>
      </c>
      <c r="J642" s="2" t="n">
        <v>1</v>
      </c>
    </row>
    <row r="643">
      <c r="A643" s="2" t="inlineStr">
        <is>
          <t>93296755</t>
        </is>
      </c>
      <c r="B643" s="2" t="inlineStr"/>
      <c r="C643" s="2" t="inlineStr">
        <is>
          <t>BRAZO AXIAL ROTULA CORSA 4PTAS 00/06</t>
        </is>
      </c>
      <c r="D643" s="2" t="inlineStr">
        <is>
          <t>YOKOMITSU</t>
        </is>
      </c>
      <c r="E643" s="3" t="n">
        <v>6</v>
      </c>
      <c r="F643" s="4" t="n">
        <v>0.3</v>
      </c>
      <c r="G643" s="5">
        <f>ROUND(E643*(1+F643),2)</f>
        <v>7.80</v>
      </c>
      <c r="H643" s="5">
        <f>ROUND(G643*NOTAS!$B$2,2)</f>
        <v>5626.50</v>
      </c>
      <c r="I643" s="6">
        <f>ROUND(G643*NOTAS!$B$3,0)</f>
        <v>25341</v>
      </c>
      <c r="J643" s="2" t="n">
        <v>12</v>
      </c>
    </row>
    <row r="644">
      <c r="A644" s="2" t="inlineStr">
        <is>
          <t>CC865</t>
        </is>
      </c>
      <c r="B644" s="2" t="inlineStr"/>
      <c r="C644" s="2" t="inlineStr">
        <is>
          <t>BRAZO AXIAL ROTULA CORSA 4PTAS 00/06</t>
        </is>
      </c>
      <c r="D644" s="2" t="inlineStr">
        <is>
          <t>TNK</t>
        </is>
      </c>
      <c r="E644" s="3" t="n">
        <v>8</v>
      </c>
      <c r="F644" s="4" t="n">
        <v>0.3</v>
      </c>
      <c r="G644" s="5">
        <f>ROUND(E644*(1+F644),2)</f>
        <v>10.40</v>
      </c>
      <c r="H644" s="5">
        <f>ROUND(G644*NOTAS!$B$2,2)</f>
        <v>7501.99</v>
      </c>
      <c r="I644" s="6">
        <f>ROUND(G644*NOTAS!$B$3,0)</f>
        <v>33788</v>
      </c>
      <c r="J644" s="2" t="n">
        <v>4</v>
      </c>
    </row>
    <row r="645">
      <c r="A645" s="2" t="inlineStr">
        <is>
          <t>92-05151</t>
        </is>
      </c>
      <c r="B645" s="2" t="inlineStr"/>
      <c r="C645" s="2" t="inlineStr">
        <is>
          <t>BRAZO AXIAL ROTULA CORSA 4PTAS 00/06</t>
        </is>
      </c>
      <c r="D645" s="2" t="inlineStr">
        <is>
          <t>RTS</t>
        </is>
      </c>
      <c r="E645" s="3" t="n">
        <v>8</v>
      </c>
      <c r="F645" s="4" t="n">
        <v>0.3</v>
      </c>
      <c r="G645" s="5">
        <f>ROUND(E645*(1+F645),2)</f>
        <v>10.40</v>
      </c>
      <c r="H645" s="5">
        <f>ROUND(G645*NOTAS!$B$2,2)</f>
        <v>7501.99</v>
      </c>
      <c r="I645" s="6">
        <f>ROUND(G645*NOTAS!$B$3,0)</f>
        <v>33788</v>
      </c>
      <c r="J645" s="2" t="n">
        <v>21</v>
      </c>
    </row>
    <row r="646">
      <c r="A646" s="2" t="inlineStr">
        <is>
          <t>503502</t>
        </is>
      </c>
      <c r="B646" s="2" t="inlineStr"/>
      <c r="C646" s="2" t="inlineStr">
        <is>
          <t>BRAZO AXIAL ROTULA ESCORT</t>
        </is>
      </c>
      <c r="D646" s="2" t="inlineStr">
        <is>
          <t>OCAP</t>
        </is>
      </c>
      <c r="E646" s="3" t="n">
        <v>7</v>
      </c>
      <c r="F646" s="4" t="n">
        <v>0.3</v>
      </c>
      <c r="G646" s="5">
        <f>ROUND(E646*(1+F646),2)</f>
        <v>9.10</v>
      </c>
      <c r="H646" s="5">
        <f>ROUND(G646*NOTAS!$B$2,2)</f>
        <v>6564.24</v>
      </c>
      <c r="I646" s="6">
        <f>ROUND(G646*NOTAS!$B$3,0)</f>
        <v>29565</v>
      </c>
      <c r="J646" s="2" t="n">
        <v>2</v>
      </c>
    </row>
    <row r="647">
      <c r="A647" s="2" t="inlineStr">
        <is>
          <t>600408</t>
        </is>
      </c>
      <c r="B647" s="2" t="inlineStr"/>
      <c r="C647" s="2" t="inlineStr">
        <is>
          <t>BRAZO AXIAL ROTULA F-147/UNO/PREMIO CORTO</t>
        </is>
      </c>
      <c r="D647" s="2" t="inlineStr">
        <is>
          <t>OCAP</t>
        </is>
      </c>
      <c r="E647" s="3" t="n">
        <v>9</v>
      </c>
      <c r="F647" s="4" t="n">
        <v>0.3</v>
      </c>
      <c r="G647" s="5">
        <f>ROUND(E647*(1+F647),2)</f>
        <v>11.70</v>
      </c>
      <c r="H647" s="5">
        <f>ROUND(G647*NOTAS!$B$2,2)</f>
        <v>8439.74</v>
      </c>
      <c r="I647" s="6">
        <f>ROUND(G647*NOTAS!$B$3,0)</f>
        <v>38012</v>
      </c>
      <c r="J647" s="2" t="n">
        <v>25</v>
      </c>
    </row>
    <row r="648">
      <c r="A648" s="2" t="inlineStr">
        <is>
          <t>FI0026</t>
        </is>
      </c>
      <c r="B648" s="2" t="inlineStr"/>
      <c r="C648" s="2" t="inlineStr">
        <is>
          <t>BRAZO AXIAL ROTULA F-147/UNO/PREMIO CORTO</t>
        </is>
      </c>
      <c r="D648" s="2" t="inlineStr">
        <is>
          <t>DRIVEX</t>
        </is>
      </c>
      <c r="E648" s="3" t="n">
        <v>6</v>
      </c>
      <c r="F648" s="4" t="n">
        <v>0.3</v>
      </c>
      <c r="G648" s="5">
        <f>ROUND(E648*(1+F648),2)</f>
        <v>7.80</v>
      </c>
      <c r="H648" s="5">
        <f>ROUND(G648*NOTAS!$B$2,2)</f>
        <v>5626.50</v>
      </c>
      <c r="I648" s="6">
        <f>ROUND(G648*NOTAS!$B$3,0)</f>
        <v>25341</v>
      </c>
      <c r="J648" s="2" t="n">
        <v>4</v>
      </c>
    </row>
    <row r="649">
      <c r="A649" s="2" t="inlineStr">
        <is>
          <t>602215</t>
        </is>
      </c>
      <c r="B649" s="2" t="inlineStr"/>
      <c r="C649" s="2" t="inlineStr">
        <is>
          <t>BRAZO AXIAL ROTULA FESTIVA</t>
        </is>
      </c>
      <c r="D649" s="2" t="inlineStr">
        <is>
          <t>OCAP</t>
        </is>
      </c>
      <c r="E649" s="3" t="n">
        <v>8</v>
      </c>
      <c r="F649" s="4" t="n">
        <v>0.3</v>
      </c>
      <c r="G649" s="5">
        <f>ROUND(E649*(1+F649),2)</f>
        <v>10.40</v>
      </c>
      <c r="H649" s="5">
        <f>ROUND(G649*NOTAS!$B$2,2)</f>
        <v>7501.99</v>
      </c>
      <c r="I649" s="6">
        <f>ROUND(G649*NOTAS!$B$3,0)</f>
        <v>33788</v>
      </c>
      <c r="J649" s="2" t="n">
        <v>3</v>
      </c>
    </row>
    <row r="650">
      <c r="A650" s="2" t="inlineStr">
        <is>
          <t>92-05130</t>
        </is>
      </c>
      <c r="B650" s="2" t="inlineStr"/>
      <c r="C650" s="2" t="inlineStr">
        <is>
          <t>BRAZO AXIAL ROTULA FESTIVA</t>
        </is>
      </c>
      <c r="D650" s="2" t="inlineStr">
        <is>
          <t>RTS</t>
        </is>
      </c>
      <c r="E650" s="3" t="n">
        <v>8</v>
      </c>
      <c r="F650" s="4" t="n">
        <v>0.3</v>
      </c>
      <c r="G650" s="5">
        <f>ROUND(E650*(1+F650),2)</f>
        <v>10.40</v>
      </c>
      <c r="H650" s="5">
        <f>ROUND(G650*NOTAS!$B$2,2)</f>
        <v>7501.99</v>
      </c>
      <c r="I650" s="6">
        <f>ROUND(G650*NOTAS!$B$3,0)</f>
        <v>33788</v>
      </c>
      <c r="J650" s="2" t="n">
        <v>8</v>
      </c>
    </row>
    <row r="651">
      <c r="A651" s="2" t="inlineStr">
        <is>
          <t>92-00687</t>
        </is>
      </c>
      <c r="B651" s="2" t="inlineStr"/>
      <c r="C651" s="2" t="inlineStr">
        <is>
          <t>BRAZO AXIAL ROTULA FIESTA …/03</t>
        </is>
      </c>
      <c r="D651" s="2" t="inlineStr">
        <is>
          <t>RTS</t>
        </is>
      </c>
      <c r="E651" s="3" t="n">
        <v>10</v>
      </c>
      <c r="F651" s="4" t="n">
        <v>0.3</v>
      </c>
      <c r="G651" s="5">
        <f>ROUND(E651*(1+F651),2)</f>
        <v>13.00</v>
      </c>
      <c r="H651" s="5">
        <f>ROUND(G651*NOTAS!$B$2,2)</f>
        <v>9377.49</v>
      </c>
      <c r="I651" s="6">
        <f>ROUND(G651*NOTAS!$B$3,0)</f>
        <v>42235</v>
      </c>
      <c r="J651" s="2" t="n">
        <v>4</v>
      </c>
    </row>
    <row r="652">
      <c r="A652" s="2" t="inlineStr">
        <is>
          <t>KJO603964</t>
        </is>
      </c>
      <c r="B652" s="2" t="inlineStr"/>
      <c r="C652" s="2" t="inlineStr">
        <is>
          <t>BRAZO AXIAL ROTULA FIESTA …/03</t>
        </is>
      </c>
      <c r="D652" s="2" t="inlineStr">
        <is>
          <t>JOINT</t>
        </is>
      </c>
      <c r="E652" s="3" t="n">
        <v>6</v>
      </c>
      <c r="F652" s="4" t="n">
        <v>0.3</v>
      </c>
      <c r="G652" s="5">
        <f>ROUND(E652*(1+F652),2)</f>
        <v>7.80</v>
      </c>
      <c r="H652" s="5">
        <f>ROUND(G652*NOTAS!$B$2,2)</f>
        <v>5626.50</v>
      </c>
      <c r="I652" s="6">
        <f>ROUND(G652*NOTAS!$B$3,0)</f>
        <v>25341</v>
      </c>
      <c r="J652" s="2" t="n">
        <v>6</v>
      </c>
    </row>
    <row r="653">
      <c r="A653" s="2" t="inlineStr">
        <is>
          <t>FD0024</t>
        </is>
      </c>
      <c r="B653" s="2" t="inlineStr"/>
      <c r="C653" s="2" t="inlineStr">
        <is>
          <t>BRAZO AXIAL ROTULA FIESTA …/03</t>
        </is>
      </c>
      <c r="D653" s="2" t="inlineStr">
        <is>
          <t>DRIVEX</t>
        </is>
      </c>
      <c r="E653" s="3" t="n">
        <v>6</v>
      </c>
      <c r="F653" s="4" t="n">
        <v>0.3</v>
      </c>
      <c r="G653" s="5">
        <f>ROUND(E653*(1+F653),2)</f>
        <v>7.80</v>
      </c>
      <c r="H653" s="5">
        <f>ROUND(G653*NOTAS!$B$2,2)</f>
        <v>5626.50</v>
      </c>
      <c r="I653" s="6">
        <f>ROUND(G653*NOTAS!$B$3,0)</f>
        <v>25341</v>
      </c>
      <c r="J653" s="2" t="n">
        <v>6</v>
      </c>
    </row>
    <row r="654">
      <c r="A654" s="2" t="inlineStr">
        <is>
          <t>92-00678</t>
        </is>
      </c>
      <c r="B654" s="2" t="inlineStr"/>
      <c r="C654" s="2" t="inlineStr">
        <is>
          <t>BRAZO AXIAL ROTULA FIESTA 04/…-ECOSPORT</t>
        </is>
      </c>
      <c r="D654" s="2" t="inlineStr">
        <is>
          <t>RTS</t>
        </is>
      </c>
      <c r="E654" s="3" t="n">
        <v>10</v>
      </c>
      <c r="F654" s="4" t="n">
        <v>0.3</v>
      </c>
      <c r="G654" s="5">
        <f>ROUND(E654*(1+F654),2)</f>
        <v>13.00</v>
      </c>
      <c r="H654" s="5">
        <f>ROUND(G654*NOTAS!$B$2,2)</f>
        <v>9377.49</v>
      </c>
      <c r="I654" s="6">
        <f>ROUND(G654*NOTAS!$B$3,0)</f>
        <v>42235</v>
      </c>
      <c r="J654" s="2" t="n">
        <v>0</v>
      </c>
    </row>
    <row r="655">
      <c r="A655" s="2" t="inlineStr">
        <is>
          <t>FD0097</t>
        </is>
      </c>
      <c r="B655" s="2" t="inlineStr"/>
      <c r="C655" s="2" t="inlineStr">
        <is>
          <t>BRAZO AXIAL ROTULA FIESTA 04/…-ECOSPORT</t>
        </is>
      </c>
      <c r="D655" s="2" t="inlineStr">
        <is>
          <t>DRIVEX</t>
        </is>
      </c>
      <c r="E655" s="3" t="n">
        <v>6</v>
      </c>
      <c r="F655" s="4" t="n">
        <v>0.3</v>
      </c>
      <c r="G655" s="5">
        <f>ROUND(E655*(1+F655),2)</f>
        <v>7.80</v>
      </c>
      <c r="H655" s="5">
        <f>ROUND(G655*NOTAS!$B$2,2)</f>
        <v>5626.50</v>
      </c>
      <c r="I655" s="6">
        <f>ROUND(G655*NOTAS!$B$3,0)</f>
        <v>25341</v>
      </c>
      <c r="J655" s="2" t="n">
        <v>4</v>
      </c>
    </row>
    <row r="656">
      <c r="A656" s="2" t="inlineStr">
        <is>
          <t>4342539</t>
        </is>
      </c>
      <c r="B656" s="2" t="inlineStr"/>
      <c r="C656" s="2" t="inlineStr">
        <is>
          <t>BRAZO AXIAL ROTULA FIESTA 04/…-ECOSPORT</t>
        </is>
      </c>
      <c r="D656" s="2" t="inlineStr">
        <is>
          <t>DKIG</t>
        </is>
      </c>
      <c r="E656" s="3" t="n">
        <v>6</v>
      </c>
      <c r="F656" s="4" t="n">
        <v>0.3</v>
      </c>
      <c r="G656" s="5">
        <f>ROUND(E656*(1+F656),2)</f>
        <v>7.80</v>
      </c>
      <c r="H656" s="5">
        <f>ROUND(G656*NOTAS!$B$2,2)</f>
        <v>5626.50</v>
      </c>
      <c r="I656" s="6">
        <f>ROUND(G656*NOTAS!$B$3,0)</f>
        <v>25341</v>
      </c>
      <c r="J656" s="2" t="n">
        <v>4</v>
      </c>
    </row>
    <row r="657">
      <c r="A657" s="2" t="inlineStr">
        <is>
          <t>KJO7081851</t>
        </is>
      </c>
      <c r="B657" s="2" t="inlineStr"/>
      <c r="C657" s="2" t="inlineStr">
        <is>
          <t>BRAZO AXIAL ROTULA F-PAL/SIE 1.3 16V FIRE</t>
        </is>
      </c>
      <c r="D657" s="2" t="inlineStr">
        <is>
          <t>JOINT</t>
        </is>
      </c>
      <c r="E657" s="3" t="n">
        <v>6</v>
      </c>
      <c r="F657" s="4" t="n">
        <v>0.3</v>
      </c>
      <c r="G657" s="5">
        <f>ROUND(E657*(1+F657),2)</f>
        <v>7.80</v>
      </c>
      <c r="H657" s="5">
        <f>ROUND(G657*NOTAS!$B$2,2)</f>
        <v>5626.50</v>
      </c>
      <c r="I657" s="6">
        <f>ROUND(G657*NOTAS!$B$3,0)</f>
        <v>25341</v>
      </c>
      <c r="J657" s="2" t="n">
        <v>5</v>
      </c>
    </row>
    <row r="658">
      <c r="A658" s="2" t="inlineStr">
        <is>
          <t>7081851</t>
        </is>
      </c>
      <c r="B658" s="2" t="inlineStr"/>
      <c r="C658" s="2" t="inlineStr">
        <is>
          <t>BRAZO AXIAL ROTULA F-PAL/SIE 1.3 16V FIRE</t>
        </is>
      </c>
      <c r="D658" s="2" t="inlineStr">
        <is>
          <t>SKP</t>
        </is>
      </c>
      <c r="E658" s="3" t="n">
        <v>6</v>
      </c>
      <c r="F658" s="4" t="n">
        <v>0.3</v>
      </c>
      <c r="G658" s="5">
        <f>ROUND(E658*(1+F658),2)</f>
        <v>7.80</v>
      </c>
      <c r="H658" s="5">
        <f>ROUND(G658*NOTAS!$B$2,2)</f>
        <v>5626.50</v>
      </c>
      <c r="I658" s="6">
        <f>ROUND(G658*NOTAS!$B$3,0)</f>
        <v>25341</v>
      </c>
      <c r="J658" s="2" t="n">
        <v>2</v>
      </c>
    </row>
    <row r="659">
      <c r="A659" s="2" t="inlineStr">
        <is>
          <t>FI0041</t>
        </is>
      </c>
      <c r="B659" s="2" t="inlineStr"/>
      <c r="C659" s="2" t="inlineStr">
        <is>
          <t>BRAZO AXIAL ROTULA F-PAL/SIE 1.3 16V FIRE</t>
        </is>
      </c>
      <c r="D659" s="2" t="inlineStr">
        <is>
          <t>DRIVEX</t>
        </is>
      </c>
      <c r="E659" s="3" t="n">
        <v>6</v>
      </c>
      <c r="F659" s="4" t="n">
        <v>0.3</v>
      </c>
      <c r="G659" s="5">
        <f>ROUND(E659*(1+F659),2)</f>
        <v>7.80</v>
      </c>
      <c r="H659" s="5">
        <f>ROUND(G659*NOTAS!$B$2,2)</f>
        <v>5626.50</v>
      </c>
      <c r="I659" s="6">
        <f>ROUND(G659*NOTAS!$B$3,0)</f>
        <v>25341</v>
      </c>
      <c r="J659" s="2" t="n">
        <v>6</v>
      </c>
    </row>
    <row r="660">
      <c r="A660" s="2" t="inlineStr">
        <is>
          <t>FI0045</t>
        </is>
      </c>
      <c r="B660" s="2" t="inlineStr"/>
      <c r="C660" s="2" t="inlineStr">
        <is>
          <t>BRAZO AXIAL ROTULA F-REGATA</t>
        </is>
      </c>
      <c r="D660" s="2" t="inlineStr">
        <is>
          <t>DRIVEX</t>
        </is>
      </c>
      <c r="E660" s="3" t="n">
        <v>5</v>
      </c>
      <c r="F660" s="4" t="n">
        <v>0.3</v>
      </c>
      <c r="G660" s="5">
        <f>ROUND(E660*(1+F660),2)</f>
        <v>6.50</v>
      </c>
      <c r="H660" s="5">
        <f>ROUND(G660*NOTAS!$B$2,2)</f>
        <v>4688.75</v>
      </c>
      <c r="I660" s="6">
        <f>ROUND(G660*NOTAS!$B$3,0)</f>
        <v>21118</v>
      </c>
      <c r="J660" s="2" t="n">
        <v>1</v>
      </c>
    </row>
    <row r="661">
      <c r="A661" s="2" t="inlineStr">
        <is>
          <t>92-00178</t>
        </is>
      </c>
      <c r="B661" s="2" t="inlineStr"/>
      <c r="C661" s="2" t="inlineStr">
        <is>
          <t>BRAZO AXIAL ROTULA F-REGATA</t>
        </is>
      </c>
      <c r="D661" s="2" t="inlineStr">
        <is>
          <t>RTS</t>
        </is>
      </c>
      <c r="E661" s="3" t="n">
        <v>7</v>
      </c>
      <c r="F661" s="4" t="n">
        <v>0.3</v>
      </c>
      <c r="G661" s="5">
        <f>ROUND(E661*(1+F661),2)</f>
        <v>9.10</v>
      </c>
      <c r="H661" s="5">
        <f>ROUND(G661*NOTAS!$B$2,2)</f>
        <v>6564.24</v>
      </c>
      <c r="I661" s="6">
        <f>ROUND(G661*NOTAS!$B$3,0)</f>
        <v>29565</v>
      </c>
      <c r="J661" s="2" t="n">
        <v>6</v>
      </c>
    </row>
    <row r="662">
      <c r="A662" s="2" t="inlineStr">
        <is>
          <t>FI0042</t>
        </is>
      </c>
      <c r="B662" s="2" t="inlineStr"/>
      <c r="C662" s="2" t="inlineStr">
        <is>
          <t>BRAZO AXIAL ROTULA F-REGATA</t>
        </is>
      </c>
      <c r="D662" s="2" t="inlineStr">
        <is>
          <t>DRIVEX</t>
        </is>
      </c>
      <c r="E662" s="3" t="n">
        <v>5</v>
      </c>
      <c r="F662" s="4" t="n">
        <v>0.3</v>
      </c>
      <c r="G662" s="5">
        <f>ROUND(E662*(1+F662),2)</f>
        <v>6.50</v>
      </c>
      <c r="H662" s="5">
        <f>ROUND(G662*NOTAS!$B$2,2)</f>
        <v>4688.75</v>
      </c>
      <c r="I662" s="6">
        <f>ROUND(G662*NOTAS!$B$3,0)</f>
        <v>21118</v>
      </c>
      <c r="J662" s="2" t="n">
        <v>1</v>
      </c>
    </row>
    <row r="663">
      <c r="A663" s="2" t="inlineStr">
        <is>
          <t>FI0043</t>
        </is>
      </c>
      <c r="B663" s="2" t="inlineStr"/>
      <c r="C663" s="2" t="inlineStr">
        <is>
          <t>BRAZO AXIAL ROTULA F-TEMPRA</t>
        </is>
      </c>
      <c r="D663" s="2" t="inlineStr">
        <is>
          <t>DRIVEX</t>
        </is>
      </c>
      <c r="E663" s="3" t="n">
        <v>5</v>
      </c>
      <c r="F663" s="4" t="n">
        <v>0.3</v>
      </c>
      <c r="G663" s="5">
        <f>ROUND(E663*(1+F663),2)</f>
        <v>6.50</v>
      </c>
      <c r="H663" s="5">
        <f>ROUND(G663*NOTAS!$B$2,2)</f>
        <v>4688.75</v>
      </c>
      <c r="I663" s="6">
        <f>ROUND(G663*NOTAS!$B$3,0)</f>
        <v>21118</v>
      </c>
      <c r="J663" s="2" t="n">
        <v>2</v>
      </c>
    </row>
    <row r="664">
      <c r="A664" s="2" t="inlineStr">
        <is>
          <t>F-406</t>
        </is>
      </c>
      <c r="B664" s="2" t="inlineStr"/>
      <c r="C664" s="2" t="inlineStr">
        <is>
          <t>BRAZO AXIAL ROTULA F-TEMPRA</t>
        </is>
      </c>
      <c r="D664" s="2" t="inlineStr">
        <is>
          <t>TEKNOROT</t>
        </is>
      </c>
      <c r="E664" s="3" t="n">
        <v>6</v>
      </c>
      <c r="F664" s="4" t="n">
        <v>0.3</v>
      </c>
      <c r="G664" s="5">
        <f>ROUND(E664*(1+F664),2)</f>
        <v>7.80</v>
      </c>
      <c r="H664" s="5">
        <f>ROUND(G664*NOTAS!$B$2,2)</f>
        <v>5626.50</v>
      </c>
      <c r="I664" s="6">
        <f>ROUND(G664*NOTAS!$B$3,0)</f>
        <v>25341</v>
      </c>
      <c r="J664" s="2" t="n">
        <v>8</v>
      </c>
    </row>
    <row r="665">
      <c r="A665" s="2" t="inlineStr">
        <is>
          <t>FI0027</t>
        </is>
      </c>
      <c r="B665" s="2" t="inlineStr"/>
      <c r="C665" s="2" t="inlineStr">
        <is>
          <t>BRAZO AXIAL ROTULA F-UNO/PREMIO LARGO</t>
        </is>
      </c>
      <c r="D665" s="2" t="inlineStr">
        <is>
          <t>DRIVEX</t>
        </is>
      </c>
      <c r="E665" s="3" t="n">
        <v>5</v>
      </c>
      <c r="F665" s="4" t="n">
        <v>0.3</v>
      </c>
      <c r="G665" s="5">
        <f>ROUND(E665*(1+F665),2)</f>
        <v>6.50</v>
      </c>
      <c r="H665" s="5">
        <f>ROUND(G665*NOTAS!$B$2,2)</f>
        <v>4688.75</v>
      </c>
      <c r="I665" s="6">
        <f>ROUND(G665*NOTAS!$B$3,0)</f>
        <v>21118</v>
      </c>
      <c r="J665" s="2" t="n">
        <v>1</v>
      </c>
    </row>
    <row r="666">
      <c r="A666" s="2" t="inlineStr">
        <is>
          <t>601186</t>
        </is>
      </c>
      <c r="B666" s="2" t="inlineStr"/>
      <c r="C666" s="2" t="inlineStr">
        <is>
          <t>BRAZO AXIAL ROTULA F-UNO/PREMIO LARGO</t>
        </is>
      </c>
      <c r="D666" s="2" t="inlineStr">
        <is>
          <t>OCAP</t>
        </is>
      </c>
      <c r="E666" s="3" t="n">
        <v>9</v>
      </c>
      <c r="F666" s="4" t="n">
        <v>0.3</v>
      </c>
      <c r="G666" s="5">
        <f>ROUND(E666*(1+F666),2)</f>
        <v>11.70</v>
      </c>
      <c r="H666" s="5">
        <f>ROUND(G666*NOTAS!$B$2,2)</f>
        <v>8439.74</v>
      </c>
      <c r="I666" s="6">
        <f>ROUND(G666*NOTAS!$B$3,0)</f>
        <v>38012</v>
      </c>
      <c r="J666" s="2" t="n">
        <v>7</v>
      </c>
    </row>
    <row r="667">
      <c r="A667" s="2" t="inlineStr">
        <is>
          <t>603365</t>
        </is>
      </c>
      <c r="B667" s="2" t="inlineStr"/>
      <c r="C667" s="2" t="inlineStr">
        <is>
          <t>BRAZO AXIAL ROTULA HYUNDAI EXCEL/ACCENT 98/02</t>
        </is>
      </c>
      <c r="D667" s="2" t="inlineStr">
        <is>
          <t>OCAP</t>
        </is>
      </c>
      <c r="E667" s="3" t="n">
        <v>7</v>
      </c>
      <c r="F667" s="4" t="n">
        <v>0.3</v>
      </c>
      <c r="G667" s="5">
        <f>ROUND(E667*(1+F667),2)</f>
        <v>9.10</v>
      </c>
      <c r="H667" s="5">
        <f>ROUND(G667*NOTAS!$B$2,2)</f>
        <v>6564.24</v>
      </c>
      <c r="I667" s="6">
        <f>ROUND(G667*NOTAS!$B$3,0)</f>
        <v>29565</v>
      </c>
      <c r="J667" s="2" t="n">
        <v>2</v>
      </c>
    </row>
    <row r="668">
      <c r="A668" s="2" t="inlineStr">
        <is>
          <t>92-00657</t>
        </is>
      </c>
      <c r="B668" s="2" t="inlineStr">
        <is>
          <t>92-90616</t>
        </is>
      </c>
      <c r="C668" s="2" t="inlineStr">
        <is>
          <t>BRAZO AXIAL ROTULA KA</t>
        </is>
      </c>
      <c r="D668" s="2" t="inlineStr">
        <is>
          <t>RTS</t>
        </is>
      </c>
      <c r="E668" s="3" t="n">
        <v>10</v>
      </c>
      <c r="F668" s="4" t="n">
        <v>0.3</v>
      </c>
      <c r="G668" s="5">
        <f>ROUND(E668*(1+F668),2)</f>
        <v>13.00</v>
      </c>
      <c r="H668" s="5">
        <f>ROUND(G668*NOTAS!$B$2,2)</f>
        <v>9377.49</v>
      </c>
      <c r="I668" s="6">
        <f>ROUND(G668*NOTAS!$B$3,0)</f>
        <v>42235</v>
      </c>
      <c r="J668" s="2" t="n">
        <v>15</v>
      </c>
    </row>
    <row r="669">
      <c r="A669" s="2" t="inlineStr">
        <is>
          <t>KI0010</t>
        </is>
      </c>
      <c r="B669" s="2" t="inlineStr"/>
      <c r="C669" s="2" t="inlineStr">
        <is>
          <t xml:space="preserve">BRAZO AXIAL ROTULA KIA RIO </t>
        </is>
      </c>
      <c r="D669" s="2" t="inlineStr">
        <is>
          <t>DRIVEX</t>
        </is>
      </c>
      <c r="E669" s="3" t="n">
        <v>6</v>
      </c>
      <c r="F669" s="4" t="n">
        <v>0.3</v>
      </c>
      <c r="G669" s="5">
        <f>ROUND(E669*(1+F669),2)</f>
        <v>7.80</v>
      </c>
      <c r="H669" s="5">
        <f>ROUND(G669*NOTAS!$B$2,2)</f>
        <v>5626.50</v>
      </c>
      <c r="I669" s="6">
        <f>ROUND(G669*NOTAS!$B$3,0)</f>
        <v>25341</v>
      </c>
      <c r="J669" s="2" t="n">
        <v>4</v>
      </c>
    </row>
    <row r="670">
      <c r="A670" s="2" t="inlineStr">
        <is>
          <t>KDX53-32-240B</t>
        </is>
      </c>
      <c r="B670" s="2" t="inlineStr"/>
      <c r="C670" s="2" t="inlineStr">
        <is>
          <t xml:space="preserve">BRAZO AXIAL ROTULA KIA RIO </t>
        </is>
      </c>
      <c r="D670" s="2" t="inlineStr">
        <is>
          <t>PHIA</t>
        </is>
      </c>
      <c r="E670" s="3" t="n">
        <v>6</v>
      </c>
      <c r="F670" s="4" t="n">
        <v>0.3</v>
      </c>
      <c r="G670" s="5">
        <f>ROUND(E670*(1+F670),2)</f>
        <v>7.80</v>
      </c>
      <c r="H670" s="5">
        <f>ROUND(G670*NOTAS!$B$2,2)</f>
        <v>5626.50</v>
      </c>
      <c r="I670" s="6">
        <f>ROUND(G670*NOTAS!$B$3,0)</f>
        <v>25341</v>
      </c>
      <c r="J670" s="2" t="n">
        <v>2</v>
      </c>
    </row>
    <row r="671">
      <c r="A671" s="2" t="inlineStr">
        <is>
          <t>92-03157</t>
        </is>
      </c>
      <c r="B671" s="2" t="inlineStr"/>
      <c r="C671" s="2" t="inlineStr">
        <is>
          <t>BRAZO AXIAL ROTULA OPTRA/NUBIRA</t>
        </is>
      </c>
      <c r="D671" s="2" t="inlineStr">
        <is>
          <t>RTS</t>
        </is>
      </c>
      <c r="E671" s="3" t="n">
        <v>10</v>
      </c>
      <c r="F671" s="4" t="n">
        <v>0.3</v>
      </c>
      <c r="G671" s="5">
        <f>ROUND(E671*(1+F671),2)</f>
        <v>13.00</v>
      </c>
      <c r="H671" s="5">
        <f>ROUND(G671*NOTAS!$B$2,2)</f>
        <v>9377.49</v>
      </c>
      <c r="I671" s="6">
        <f>ROUND(G671*NOTAS!$B$3,0)</f>
        <v>42235</v>
      </c>
      <c r="J671" s="2" t="n">
        <v>1</v>
      </c>
    </row>
    <row r="672">
      <c r="A672" s="2" t="inlineStr">
        <is>
          <t>M11-3401300-S03</t>
        </is>
      </c>
      <c r="B672" s="2" t="inlineStr"/>
      <c r="C672" s="2" t="inlineStr">
        <is>
          <t>BRAZO AXIAL ROTULA ORINOCO</t>
        </is>
      </c>
      <c r="D672" s="2" t="inlineStr">
        <is>
          <t>JOINT</t>
        </is>
      </c>
      <c r="E672" s="3" t="n">
        <v>7</v>
      </c>
      <c r="F672" s="4" t="n">
        <v>0.3</v>
      </c>
      <c r="G672" s="5">
        <f>ROUND(E672*(1+F672),2)</f>
        <v>9.10</v>
      </c>
      <c r="H672" s="5">
        <f>ROUND(G672*NOTAS!$B$2,2)</f>
        <v>6564.24</v>
      </c>
      <c r="I672" s="6">
        <f>ROUND(G672*NOTAS!$B$3,0)</f>
        <v>29565</v>
      </c>
      <c r="J672" s="2" t="n">
        <v>2</v>
      </c>
    </row>
    <row r="673">
      <c r="A673" s="2" t="inlineStr">
        <is>
          <t>600927</t>
        </is>
      </c>
      <c r="B673" s="2" t="inlineStr"/>
      <c r="C673" s="2" t="inlineStr">
        <is>
          <t>BRAZO AXIAL ROTULA R-11</t>
        </is>
      </c>
      <c r="D673" s="2" t="inlineStr">
        <is>
          <t>OCAP</t>
        </is>
      </c>
      <c r="E673" s="3" t="n">
        <v>8</v>
      </c>
      <c r="F673" s="4" t="n">
        <v>0.3</v>
      </c>
      <c r="G673" s="5">
        <f>ROUND(E673*(1+F673),2)</f>
        <v>10.40</v>
      </c>
      <c r="H673" s="5">
        <f>ROUND(G673*NOTAS!$B$2,2)</f>
        <v>7501.99</v>
      </c>
      <c r="I673" s="6">
        <f>ROUND(G673*NOTAS!$B$3,0)</f>
        <v>33788</v>
      </c>
      <c r="J673" s="2" t="n">
        <v>15</v>
      </c>
    </row>
    <row r="674">
      <c r="A674" s="2" t="inlineStr">
        <is>
          <t>RE0001</t>
        </is>
      </c>
      <c r="B674" s="2" t="inlineStr"/>
      <c r="C674" s="2" t="inlineStr">
        <is>
          <t>BRAZO AXIAL ROTULA R-11</t>
        </is>
      </c>
      <c r="D674" s="2" t="inlineStr">
        <is>
          <t>DRIVEX</t>
        </is>
      </c>
      <c r="E674" s="3" t="n">
        <v>5</v>
      </c>
      <c r="F674" s="4" t="n">
        <v>0.3</v>
      </c>
      <c r="G674" s="5">
        <f>ROUND(E674*(1+F674),2)</f>
        <v>6.50</v>
      </c>
      <c r="H674" s="5">
        <f>ROUND(G674*NOTAS!$B$2,2)</f>
        <v>4688.75</v>
      </c>
      <c r="I674" s="6">
        <f>ROUND(G674*NOTAS!$B$3,0)</f>
        <v>21118</v>
      </c>
      <c r="J674" s="2" t="n">
        <v>12</v>
      </c>
    </row>
    <row r="675">
      <c r="A675" s="2" t="inlineStr">
        <is>
          <t>7701462170</t>
        </is>
      </c>
      <c r="B675" s="2" t="inlineStr"/>
      <c r="C675" s="2" t="inlineStr">
        <is>
          <t>BRAZO AXIAL ROTULA R-11</t>
        </is>
      </c>
      <c r="D675" s="2" t="inlineStr">
        <is>
          <t>SKP</t>
        </is>
      </c>
      <c r="E675" s="3" t="n">
        <v>5</v>
      </c>
      <c r="F675" s="4" t="n">
        <v>0.3</v>
      </c>
      <c r="G675" s="5">
        <f>ROUND(E675*(1+F675),2)</f>
        <v>6.50</v>
      </c>
      <c r="H675" s="5">
        <f>ROUND(G675*NOTAS!$B$2,2)</f>
        <v>4688.75</v>
      </c>
      <c r="I675" s="6">
        <f>ROUND(G675*NOTAS!$B$3,0)</f>
        <v>21118</v>
      </c>
      <c r="J675" s="2" t="n">
        <v>3</v>
      </c>
    </row>
    <row r="676">
      <c r="A676" s="2" t="inlineStr">
        <is>
          <t>RE0109</t>
        </is>
      </c>
      <c r="B676" s="2" t="inlineStr"/>
      <c r="C676" s="2" t="inlineStr">
        <is>
          <t>BRAZO AXIAL ROTULA R-18/FUEGO</t>
        </is>
      </c>
      <c r="D676" s="2" t="inlineStr">
        <is>
          <t>DRIVEX</t>
        </is>
      </c>
      <c r="E676" s="3" t="n">
        <v>5</v>
      </c>
      <c r="F676" s="4" t="n">
        <v>0.3</v>
      </c>
      <c r="G676" s="5">
        <f>ROUND(E676*(1+F676),2)</f>
        <v>6.50</v>
      </c>
      <c r="H676" s="5">
        <f>ROUND(G676*NOTAS!$B$2,2)</f>
        <v>4688.75</v>
      </c>
      <c r="I676" s="6">
        <f>ROUND(G676*NOTAS!$B$3,0)</f>
        <v>21118</v>
      </c>
      <c r="J676" s="2" t="n">
        <v>4</v>
      </c>
    </row>
    <row r="677">
      <c r="A677" s="2" t="inlineStr">
        <is>
          <t>600937</t>
        </is>
      </c>
      <c r="B677" s="2" t="inlineStr"/>
      <c r="C677" s="2" t="inlineStr">
        <is>
          <t>BRAZO AXIAL ROTULA R-18/FUEGO</t>
        </is>
      </c>
      <c r="D677" s="2" t="inlineStr">
        <is>
          <t>OCAP</t>
        </is>
      </c>
      <c r="E677" s="3" t="n">
        <v>8</v>
      </c>
      <c r="F677" s="4" t="n">
        <v>0.3</v>
      </c>
      <c r="G677" s="5">
        <f>ROUND(E677*(1+F677),2)</f>
        <v>10.40</v>
      </c>
      <c r="H677" s="5">
        <f>ROUND(G677*NOTAS!$B$2,2)</f>
        <v>7501.99</v>
      </c>
      <c r="I677" s="6">
        <f>ROUND(G677*NOTAS!$B$3,0)</f>
        <v>33788</v>
      </c>
      <c r="J677" s="2" t="n">
        <v>4</v>
      </c>
    </row>
    <row r="678">
      <c r="A678" s="2" t="inlineStr">
        <is>
          <t>P-504</t>
        </is>
      </c>
      <c r="B678" s="2" t="inlineStr"/>
      <c r="C678" s="2" t="inlineStr">
        <is>
          <t>BRAZO AXIAL ROTULA R-18/FUEGO</t>
        </is>
      </c>
      <c r="D678" s="2" t="inlineStr">
        <is>
          <t>TEKNOROT</t>
        </is>
      </c>
      <c r="E678" s="3" t="n">
        <v>6</v>
      </c>
      <c r="F678" s="4" t="n">
        <v>0.3</v>
      </c>
      <c r="G678" s="5">
        <f>ROUND(E678*(1+F678),2)</f>
        <v>7.80</v>
      </c>
      <c r="H678" s="5">
        <f>ROUND(G678*NOTAS!$B$2,2)</f>
        <v>5626.50</v>
      </c>
      <c r="I678" s="6">
        <f>ROUND(G678*NOTAS!$B$3,0)</f>
        <v>25341</v>
      </c>
      <c r="J678" s="2" t="n">
        <v>7</v>
      </c>
    </row>
    <row r="679">
      <c r="A679" s="2" t="inlineStr">
        <is>
          <t>7700656723</t>
        </is>
      </c>
      <c r="B679" s="2" t="inlineStr"/>
      <c r="C679" s="2" t="inlineStr">
        <is>
          <t>BRAZO AXIAL ROTULA R-19</t>
        </is>
      </c>
      <c r="D679" s="2" t="inlineStr">
        <is>
          <t>OKIG</t>
        </is>
      </c>
      <c r="E679" s="3" t="n">
        <v>6</v>
      </c>
      <c r="F679" s="4" t="n">
        <v>0.3</v>
      </c>
      <c r="G679" s="5">
        <f>ROUND(E679*(1+F679),2)</f>
        <v>7.80</v>
      </c>
      <c r="H679" s="5">
        <f>ROUND(G679*NOTAS!$B$2,2)</f>
        <v>5626.50</v>
      </c>
      <c r="I679" s="6">
        <f>ROUND(G679*NOTAS!$B$3,0)</f>
        <v>25341</v>
      </c>
      <c r="J679" s="2" t="n">
        <v>4</v>
      </c>
    </row>
    <row r="680">
      <c r="A680" s="2" t="inlineStr"/>
      <c r="B680" s="2" t="inlineStr"/>
      <c r="C680" s="2" t="inlineStr">
        <is>
          <t>BRAZO AXIAL ROTULA R-19</t>
        </is>
      </c>
      <c r="D680" s="2" t="inlineStr">
        <is>
          <t>OS SUSPENSION</t>
        </is>
      </c>
      <c r="E680" s="3" t="n">
        <v>6</v>
      </c>
      <c r="F680" s="4" t="n">
        <v>0.3</v>
      </c>
      <c r="G680" s="5">
        <f>ROUND(E680*(1+F680),2)</f>
        <v>7.80</v>
      </c>
      <c r="H680" s="5">
        <f>ROUND(G680*NOTAS!$B$2,2)</f>
        <v>5626.50</v>
      </c>
      <c r="I680" s="6">
        <f>ROUND(G680*NOTAS!$B$3,0)</f>
        <v>25341</v>
      </c>
      <c r="J680" s="2" t="n">
        <v>2</v>
      </c>
    </row>
    <row r="681">
      <c r="A681" s="2" t="inlineStr">
        <is>
          <t>602451</t>
        </is>
      </c>
      <c r="B681" s="2" t="inlineStr"/>
      <c r="C681" s="2" t="inlineStr">
        <is>
          <t>BRAZO AXIAL ROTULA R-LOGAN</t>
        </is>
      </c>
      <c r="D681" s="2" t="inlineStr">
        <is>
          <t>OCAP</t>
        </is>
      </c>
      <c r="E681" s="3" t="n">
        <v>10</v>
      </c>
      <c r="F681" s="4" t="n">
        <v>0.3</v>
      </c>
      <c r="G681" s="5">
        <f>ROUND(E681*(1+F681),2)</f>
        <v>13.00</v>
      </c>
      <c r="H681" s="5">
        <f>ROUND(G681*NOTAS!$B$2,2)</f>
        <v>9377.49</v>
      </c>
      <c r="I681" s="6">
        <f>ROUND(G681*NOTAS!$B$3,0)</f>
        <v>42235</v>
      </c>
      <c r="J681" s="2" t="n">
        <v>2</v>
      </c>
    </row>
    <row r="682">
      <c r="A682" s="2" t="inlineStr">
        <is>
          <t>6001547606-2</t>
        </is>
      </c>
      <c r="B682" s="2" t="inlineStr"/>
      <c r="C682" s="2" t="inlineStr">
        <is>
          <t>BRAZO AXIAL ROTULA R-LOGAN</t>
        </is>
      </c>
      <c r="D682" s="2" t="inlineStr">
        <is>
          <t>SKP</t>
        </is>
      </c>
      <c r="E682" s="3" t="n">
        <v>6</v>
      </c>
      <c r="F682" s="4" t="n">
        <v>0.3</v>
      </c>
      <c r="G682" s="5">
        <f>ROUND(E682*(1+F682),2)</f>
        <v>7.80</v>
      </c>
      <c r="H682" s="5">
        <f>ROUND(G682*NOTAS!$B$2,2)</f>
        <v>5626.50</v>
      </c>
      <c r="I682" s="6">
        <f>ROUND(G682*NOTAS!$B$3,0)</f>
        <v>25341</v>
      </c>
      <c r="J682" s="2" t="n">
        <v>2</v>
      </c>
    </row>
    <row r="683">
      <c r="A683" s="2" t="inlineStr">
        <is>
          <t>RCX522</t>
        </is>
      </c>
      <c r="B683" s="2" t="inlineStr"/>
      <c r="C683" s="2" t="inlineStr">
        <is>
          <t>BRAZO AXIAL ROTULA R-LOGAN</t>
        </is>
      </c>
      <c r="D683" s="2" t="inlineStr">
        <is>
          <t>TNK</t>
        </is>
      </c>
      <c r="E683" s="3" t="n">
        <v>10</v>
      </c>
      <c r="F683" s="4" t="n">
        <v>0.3</v>
      </c>
      <c r="G683" s="5">
        <f>ROUND(E683*(1+F683),2)</f>
        <v>13.00</v>
      </c>
      <c r="H683" s="5">
        <f>ROUND(G683*NOTAS!$B$2,2)</f>
        <v>9377.49</v>
      </c>
      <c r="I683" s="6">
        <f>ROUND(G683*NOTAS!$B$3,0)</f>
        <v>42235</v>
      </c>
      <c r="J683" s="2" t="n">
        <v>11</v>
      </c>
    </row>
    <row r="684">
      <c r="A684" s="2" t="inlineStr">
        <is>
          <t>RE0174</t>
        </is>
      </c>
      <c r="B684" s="2" t="inlineStr"/>
      <c r="C684" s="2" t="inlineStr">
        <is>
          <t>BRAZO AXIAL ROTULA R-SYMBO/KANGOO</t>
        </is>
      </c>
      <c r="D684" s="2" t="inlineStr">
        <is>
          <t>DRIVEX</t>
        </is>
      </c>
      <c r="E684" s="3" t="n">
        <v>5.21</v>
      </c>
      <c r="F684" s="4" t="n">
        <v>0.3</v>
      </c>
      <c r="G684" s="5">
        <f>ROUND(E684*(1+F684),2)</f>
        <v>6.77</v>
      </c>
      <c r="H684" s="5">
        <f>ROUND(G684*NOTAS!$B$2,2)</f>
        <v>4883.51</v>
      </c>
      <c r="I684" s="6">
        <f>ROUND(G684*NOTAS!$B$3,0)</f>
        <v>21995</v>
      </c>
      <c r="J684" s="2" t="n">
        <v>2</v>
      </c>
    </row>
    <row r="685">
      <c r="A685" s="2" t="inlineStr">
        <is>
          <t>92-90411</t>
        </is>
      </c>
      <c r="B685" s="2" t="inlineStr"/>
      <c r="C685" s="2" t="inlineStr">
        <is>
          <t>BRAZO AXIAL ROTULA R-SYMBO/KANGOO</t>
        </is>
      </c>
      <c r="D685" s="2" t="inlineStr">
        <is>
          <t>RTS</t>
        </is>
      </c>
      <c r="E685" s="3" t="n">
        <v>10</v>
      </c>
      <c r="F685" s="4" t="n">
        <v>0.3</v>
      </c>
      <c r="G685" s="5">
        <f>ROUND(E685*(1+F685),2)</f>
        <v>13.00</v>
      </c>
      <c r="H685" s="5">
        <f>ROUND(G685*NOTAS!$B$2,2)</f>
        <v>9377.49</v>
      </c>
      <c r="I685" s="6">
        <f>ROUND(G685*NOTAS!$B$3,0)</f>
        <v>42235</v>
      </c>
      <c r="J685" s="2" t="n">
        <v>6</v>
      </c>
    </row>
    <row r="686">
      <c r="A686" s="2" t="inlineStr">
        <is>
          <t>R-574</t>
        </is>
      </c>
      <c r="B686" s="2" t="inlineStr"/>
      <c r="C686" s="2" t="inlineStr">
        <is>
          <t>BRAZO AXIAL ROTULA R-SYMBOL</t>
        </is>
      </c>
      <c r="D686" s="2" t="inlineStr">
        <is>
          <t>TEKNOROT</t>
        </is>
      </c>
      <c r="E686" s="3" t="n">
        <v>7</v>
      </c>
      <c r="F686" s="4" t="n">
        <v>0.3</v>
      </c>
      <c r="G686" s="5">
        <f>ROUND(E686*(1+F686),2)</f>
        <v>9.10</v>
      </c>
      <c r="H686" s="5">
        <f>ROUND(G686*NOTAS!$B$2,2)</f>
        <v>6564.24</v>
      </c>
      <c r="I686" s="6">
        <f>ROUND(G686*NOTAS!$B$3,0)</f>
        <v>29565</v>
      </c>
      <c r="J686" s="2" t="n">
        <v>4</v>
      </c>
    </row>
    <row r="687">
      <c r="A687" s="2" t="inlineStr">
        <is>
          <t>RC5010</t>
        </is>
      </c>
      <c r="B687" s="2" t="inlineStr"/>
      <c r="C687" s="2" t="inlineStr">
        <is>
          <t>BRAZO AXIAL ROTULA R-SYMBOL</t>
        </is>
      </c>
      <c r="D687" s="2" t="inlineStr">
        <is>
          <t>TNK</t>
        </is>
      </c>
      <c r="E687" s="3" t="n">
        <v>10</v>
      </c>
      <c r="F687" s="4" t="n">
        <v>0.3</v>
      </c>
      <c r="G687" s="5">
        <f>ROUND(E687*(1+F687),2)</f>
        <v>13.00</v>
      </c>
      <c r="H687" s="5">
        <f>ROUND(G687*NOTAS!$B$2,2)</f>
        <v>9377.49</v>
      </c>
      <c r="I687" s="6">
        <f>ROUND(G687*NOTAS!$B$3,0)</f>
        <v>42235</v>
      </c>
      <c r="J687" s="2" t="n">
        <v>18</v>
      </c>
    </row>
    <row r="688">
      <c r="A688" s="2" t="inlineStr">
        <is>
          <t>RE0174</t>
        </is>
      </c>
      <c r="B688" s="2" t="inlineStr"/>
      <c r="C688" s="2" t="inlineStr">
        <is>
          <t>BRAZO AXIAL ROTULA R-SYMBOL</t>
        </is>
      </c>
      <c r="D688" s="2" t="inlineStr">
        <is>
          <t>DRIVEX</t>
        </is>
      </c>
      <c r="E688" s="3" t="n">
        <v>5.21</v>
      </c>
      <c r="F688" s="4" t="n">
        <v>0.3</v>
      </c>
      <c r="G688" s="5">
        <f>ROUND(E688*(1+F688),2)</f>
        <v>6.77</v>
      </c>
      <c r="H688" s="5">
        <f>ROUND(G688*NOTAS!$B$2,2)</f>
        <v>4883.51</v>
      </c>
      <c r="I688" s="6">
        <f>ROUND(G688*NOTAS!$B$3,0)</f>
        <v>21995</v>
      </c>
      <c r="J688" s="2" t="n">
        <v>2</v>
      </c>
    </row>
    <row r="689">
      <c r="A689" s="2" t="inlineStr">
        <is>
          <t>92-90445</t>
        </is>
      </c>
      <c r="B689" s="2" t="inlineStr"/>
      <c r="C689" s="2" t="inlineStr">
        <is>
          <t>BRAZO AXIAL ROTULA R-SYMBOL</t>
        </is>
      </c>
      <c r="D689" s="2" t="inlineStr">
        <is>
          <t>RTS</t>
        </is>
      </c>
      <c r="E689" s="3" t="n">
        <v>10</v>
      </c>
      <c r="F689" s="4" t="n">
        <v>0.3</v>
      </c>
      <c r="G689" s="5">
        <f>ROUND(E689*(1+F689),2)</f>
        <v>13.00</v>
      </c>
      <c r="H689" s="5">
        <f>ROUND(G689*NOTAS!$B$2,2)</f>
        <v>9377.49</v>
      </c>
      <c r="I689" s="6">
        <f>ROUND(G689*NOTAS!$B$3,0)</f>
        <v>42235</v>
      </c>
      <c r="J689" s="2" t="n">
        <v>14</v>
      </c>
    </row>
    <row r="690">
      <c r="A690" s="2" t="inlineStr">
        <is>
          <t>RC2010</t>
        </is>
      </c>
      <c r="B690" s="2" t="inlineStr"/>
      <c r="C690" s="2" t="inlineStr">
        <is>
          <t>BRAZO AXIAL ROTULA R-TWINGO</t>
        </is>
      </c>
      <c r="D690" s="2" t="inlineStr">
        <is>
          <t>TNK</t>
        </is>
      </c>
      <c r="E690" s="3" t="n">
        <v>10</v>
      </c>
      <c r="F690" s="4" t="n">
        <v>0.3</v>
      </c>
      <c r="G690" s="5">
        <f>ROUND(E690*(1+F690),2)</f>
        <v>13.00</v>
      </c>
      <c r="H690" s="5">
        <f>ROUND(G690*NOTAS!$B$2,2)</f>
        <v>9377.49</v>
      </c>
      <c r="I690" s="6">
        <f>ROUND(G690*NOTAS!$B$3,0)</f>
        <v>42235</v>
      </c>
      <c r="J690" s="2" t="n">
        <v>4</v>
      </c>
    </row>
    <row r="691">
      <c r="A691" s="2" t="inlineStr">
        <is>
          <t>R-716</t>
        </is>
      </c>
      <c r="B691" s="2" t="inlineStr"/>
      <c r="C691" s="2" t="inlineStr">
        <is>
          <t>BRAZO AXIAL ROTULA R-TWINGO</t>
        </is>
      </c>
      <c r="D691" s="2" t="inlineStr">
        <is>
          <t>TEKNOROT</t>
        </is>
      </c>
      <c r="E691" s="3" t="n">
        <v>7</v>
      </c>
      <c r="F691" s="4" t="n">
        <v>0.3</v>
      </c>
      <c r="G691" s="5">
        <f>ROUND(E691*(1+F691),2)</f>
        <v>9.10</v>
      </c>
      <c r="H691" s="5">
        <f>ROUND(G691*NOTAS!$B$2,2)</f>
        <v>6564.24</v>
      </c>
      <c r="I691" s="6">
        <f>ROUND(G691*NOTAS!$B$3,0)</f>
        <v>29565</v>
      </c>
      <c r="J691" s="2" t="n">
        <v>5</v>
      </c>
    </row>
    <row r="692">
      <c r="A692" s="2" t="inlineStr">
        <is>
          <t>4883060800</t>
        </is>
      </c>
      <c r="B692" s="2" t="inlineStr"/>
      <c r="C692" s="2" t="inlineStr">
        <is>
          <t>BRAZO AXIAL ROTULA SWIFT</t>
        </is>
      </c>
      <c r="D692" s="2" t="inlineStr">
        <is>
          <t>GUTTMANN</t>
        </is>
      </c>
      <c r="E692" s="3" t="n">
        <v>5</v>
      </c>
      <c r="F692" s="4" t="n">
        <v>0.3</v>
      </c>
      <c r="G692" s="5">
        <f>ROUND(E692*(1+F692),2)</f>
        <v>6.50</v>
      </c>
      <c r="H692" s="5">
        <f>ROUND(G692*NOTAS!$B$2,2)</f>
        <v>4688.75</v>
      </c>
      <c r="I692" s="6">
        <f>ROUND(G692*NOTAS!$B$3,0)</f>
        <v>21118</v>
      </c>
      <c r="J692" s="2" t="n">
        <v>1</v>
      </c>
    </row>
    <row r="693">
      <c r="A693" s="2" t="inlineStr">
        <is>
          <t>603084</t>
        </is>
      </c>
      <c r="B693" s="2" t="inlineStr"/>
      <c r="C693" s="2" t="inlineStr">
        <is>
          <t>BRAZO AXIAL ROTULA SWIFT</t>
        </is>
      </c>
      <c r="D693" s="2" t="inlineStr">
        <is>
          <t>OCAP</t>
        </is>
      </c>
      <c r="E693" s="3" t="n">
        <v>8</v>
      </c>
      <c r="F693" s="4" t="n">
        <v>0.3</v>
      </c>
      <c r="G693" s="5">
        <f>ROUND(E693*(1+F693),2)</f>
        <v>10.40</v>
      </c>
      <c r="H693" s="5">
        <f>ROUND(G693*NOTAS!$B$2,2)</f>
        <v>7501.99</v>
      </c>
      <c r="I693" s="6">
        <f>ROUND(G693*NOTAS!$B$3,0)</f>
        <v>33788</v>
      </c>
      <c r="J693" s="2" t="n">
        <v>1</v>
      </c>
    </row>
    <row r="694">
      <c r="A694" s="2" t="inlineStr">
        <is>
          <t>382060</t>
        </is>
      </c>
      <c r="B694" s="2" t="inlineStr"/>
      <c r="C694" s="2" t="inlineStr">
        <is>
          <t>BRAZO MUNON DERECHA SIERRA</t>
        </is>
      </c>
      <c r="D694" s="2" t="inlineStr">
        <is>
          <t>OCAP</t>
        </is>
      </c>
      <c r="E694" s="3" t="n">
        <v>10</v>
      </c>
      <c r="F694" s="4" t="n">
        <v>0.3</v>
      </c>
      <c r="G694" s="5">
        <f>ROUND(E694*(1+F694),2)</f>
        <v>13.00</v>
      </c>
      <c r="H694" s="5">
        <f>ROUND(G694*NOTAS!$B$2,2)</f>
        <v>9377.49</v>
      </c>
      <c r="I694" s="6">
        <f>ROUND(G694*NOTAS!$B$3,0)</f>
        <v>42235</v>
      </c>
      <c r="J694" s="2" t="n">
        <v>1</v>
      </c>
    </row>
    <row r="695">
      <c r="A695" s="2" t="inlineStr">
        <is>
          <t>KI0006</t>
        </is>
      </c>
      <c r="B695" s="2" t="inlineStr"/>
      <c r="C695" s="2" t="inlineStr">
        <is>
          <t>BRAZO MUNON DERECHO KIA RIO</t>
        </is>
      </c>
      <c r="D695" s="2" t="inlineStr">
        <is>
          <t>DRIVEX</t>
        </is>
      </c>
      <c r="E695" s="3" t="n">
        <v>10</v>
      </c>
      <c r="F695" s="4" t="n">
        <v>0.3</v>
      </c>
      <c r="G695" s="5">
        <f>ROUND(E695*(1+F695),2)</f>
        <v>13.00</v>
      </c>
      <c r="H695" s="5">
        <f>ROUND(G695*NOTAS!$B$2,2)</f>
        <v>9377.49</v>
      </c>
      <c r="I695" s="6">
        <f>ROUND(G695*NOTAS!$B$3,0)</f>
        <v>42235</v>
      </c>
      <c r="J695" s="2" t="n">
        <v>4</v>
      </c>
    </row>
    <row r="696">
      <c r="A696" s="2" t="inlineStr"/>
      <c r="B696" s="2" t="inlineStr"/>
      <c r="C696" s="2" t="inlineStr">
        <is>
          <t>BRAZO MUNON ESCORT ORION</t>
        </is>
      </c>
      <c r="D696" s="2" t="inlineStr">
        <is>
          <t>OCAP</t>
        </is>
      </c>
      <c r="E696" s="3" t="n">
        <v>10</v>
      </c>
      <c r="F696" s="4" t="n">
        <v>0.3</v>
      </c>
      <c r="G696" s="5">
        <f>ROUND(E696*(1+F696),2)</f>
        <v>13.00</v>
      </c>
      <c r="H696" s="5">
        <f>ROUND(G696*NOTAS!$B$2,2)</f>
        <v>9377.49</v>
      </c>
      <c r="I696" s="6">
        <f>ROUND(G696*NOTAS!$B$3,0)</f>
        <v>42235</v>
      </c>
      <c r="J696" s="2" t="n">
        <v>1</v>
      </c>
    </row>
    <row r="697">
      <c r="A697" s="2" t="inlineStr">
        <is>
          <t>300401</t>
        </is>
      </c>
      <c r="B697" s="2" t="inlineStr"/>
      <c r="C697" s="2" t="inlineStr">
        <is>
          <t>BRAZO MUNON F-131</t>
        </is>
      </c>
      <c r="D697" s="2" t="inlineStr">
        <is>
          <t>OCAP</t>
        </is>
      </c>
      <c r="E697" s="3" t="n">
        <v>10</v>
      </c>
      <c r="F697" s="4" t="n">
        <v>0.3</v>
      </c>
      <c r="G697" s="5">
        <f>ROUND(E697*(1+F697),2)</f>
        <v>13.00</v>
      </c>
      <c r="H697" s="5">
        <f>ROUND(G697*NOTAS!$B$2,2)</f>
        <v>9377.49</v>
      </c>
      <c r="I697" s="6">
        <f>ROUND(G697*NOTAS!$B$3,0)</f>
        <v>42235</v>
      </c>
      <c r="J697" s="2" t="n">
        <v>4</v>
      </c>
    </row>
    <row r="698">
      <c r="A698" s="2" t="inlineStr"/>
      <c r="B698" s="2" t="inlineStr"/>
      <c r="C698" s="2" t="inlineStr">
        <is>
          <t>BRAZO MUNON F-147/SPAZIO</t>
        </is>
      </c>
      <c r="D698" s="2" t="inlineStr">
        <is>
          <t>RICAMBI</t>
        </is>
      </c>
      <c r="E698" s="3" t="n">
        <v>10</v>
      </c>
      <c r="F698" s="4" t="n">
        <v>0.3</v>
      </c>
      <c r="G698" s="5">
        <f>ROUND(E698*(1+F698),2)</f>
        <v>13.00</v>
      </c>
      <c r="H698" s="5">
        <f>ROUND(G698*NOTAS!$B$2,2)</f>
        <v>9377.49</v>
      </c>
      <c r="I698" s="6">
        <f>ROUND(G698*NOTAS!$B$3,0)</f>
        <v>42235</v>
      </c>
      <c r="J698" s="2" t="n">
        <v>1</v>
      </c>
    </row>
    <row r="699">
      <c r="A699" s="2" t="inlineStr">
        <is>
          <t>95-00194</t>
        </is>
      </c>
      <c r="B699" s="2" t="inlineStr"/>
      <c r="C699" s="2" t="inlineStr">
        <is>
          <t>BRAZO MUNON F-147/SPAZIO</t>
        </is>
      </c>
      <c r="D699" s="2" t="inlineStr">
        <is>
          <t>RTS</t>
        </is>
      </c>
      <c r="E699" s="3" t="n">
        <v>12</v>
      </c>
      <c r="F699" s="4" t="n">
        <v>0.3</v>
      </c>
      <c r="G699" s="5">
        <f>ROUND(E699*(1+F699),2)</f>
        <v>15.60</v>
      </c>
      <c r="H699" s="5">
        <f>ROUND(G699*NOTAS!$B$2,2)</f>
        <v>11252.99</v>
      </c>
      <c r="I699" s="6">
        <f>ROUND(G699*NOTAS!$B$3,0)</f>
        <v>50682</v>
      </c>
      <c r="J699" s="2" t="n">
        <v>6</v>
      </c>
    </row>
    <row r="700">
      <c r="A700" s="2" t="inlineStr">
        <is>
          <t>FI0006</t>
        </is>
      </c>
      <c r="B700" s="2" t="inlineStr"/>
      <c r="C700" s="2" t="inlineStr">
        <is>
          <t>BRAZO MUNON F-147/SPAZIO</t>
        </is>
      </c>
      <c r="D700" s="2" t="inlineStr">
        <is>
          <t>DRIVEX</t>
        </is>
      </c>
      <c r="E700" s="3" t="n">
        <v>10</v>
      </c>
      <c r="F700" s="4" t="n">
        <v>0.3</v>
      </c>
      <c r="G700" s="5">
        <f>ROUND(E700*(1+F700),2)</f>
        <v>13.00</v>
      </c>
      <c r="H700" s="5">
        <f>ROUND(G700*NOTAS!$B$2,2)</f>
        <v>9377.49</v>
      </c>
      <c r="I700" s="6">
        <f>ROUND(G700*NOTAS!$B$3,0)</f>
        <v>42235</v>
      </c>
      <c r="J700" s="2" t="n">
        <v>15</v>
      </c>
    </row>
    <row r="701">
      <c r="A701" s="2" t="inlineStr">
        <is>
          <t>95-05131</t>
        </is>
      </c>
      <c r="B701" s="2" t="inlineStr"/>
      <c r="C701" s="2" t="inlineStr">
        <is>
          <t>BRAZO MUNON FESTIVA</t>
        </is>
      </c>
      <c r="D701" s="2" t="inlineStr">
        <is>
          <t>RTS</t>
        </is>
      </c>
      <c r="E701" s="3" t="n">
        <v>12</v>
      </c>
      <c r="F701" s="4" t="n">
        <v>0.3</v>
      </c>
      <c r="G701" s="5">
        <f>ROUND(E701*(1+F701),2)</f>
        <v>15.60</v>
      </c>
      <c r="H701" s="5">
        <f>ROUND(G701*NOTAS!$B$2,2)</f>
        <v>11252.99</v>
      </c>
      <c r="I701" s="6">
        <f>ROUND(G701*NOTAS!$B$3,0)</f>
        <v>50682</v>
      </c>
      <c r="J701" s="2" t="n">
        <v>2</v>
      </c>
    </row>
    <row r="702">
      <c r="A702" s="2" t="inlineStr">
        <is>
          <t>FD0005</t>
        </is>
      </c>
      <c r="B702" s="2" t="inlineStr"/>
      <c r="C702" s="2" t="inlineStr">
        <is>
          <t>BRAZO MUNON FESTIVA</t>
        </is>
      </c>
      <c r="D702" s="2" t="inlineStr">
        <is>
          <t>DRIVEX</t>
        </is>
      </c>
      <c r="E702" s="3" t="n">
        <v>10</v>
      </c>
      <c r="F702" s="4" t="n">
        <v>0.3</v>
      </c>
      <c r="G702" s="5">
        <f>ROUND(E702*(1+F702),2)</f>
        <v>13.00</v>
      </c>
      <c r="H702" s="5">
        <f>ROUND(G702*NOTAS!$B$2,2)</f>
        <v>9377.49</v>
      </c>
      <c r="I702" s="6">
        <f>ROUND(G702*NOTAS!$B$3,0)</f>
        <v>42235</v>
      </c>
      <c r="J702" s="2" t="n">
        <v>4</v>
      </c>
    </row>
    <row r="703">
      <c r="A703" s="2" t="inlineStr">
        <is>
          <t>300004</t>
        </is>
      </c>
      <c r="B703" s="2" t="inlineStr"/>
      <c r="C703" s="2" t="inlineStr">
        <is>
          <t>BRAZO MUNON F-REGATA/RITMO</t>
        </is>
      </c>
      <c r="D703" s="2" t="inlineStr">
        <is>
          <t>OCAP</t>
        </is>
      </c>
      <c r="E703" s="3" t="n">
        <v>11</v>
      </c>
      <c r="F703" s="4" t="n">
        <v>0.3</v>
      </c>
      <c r="G703" s="5">
        <f>ROUND(E703*(1+F703),2)</f>
        <v>14.30</v>
      </c>
      <c r="H703" s="5">
        <f>ROUND(G703*NOTAS!$B$2,2)</f>
        <v>10315.24</v>
      </c>
      <c r="I703" s="6">
        <f>ROUND(G703*NOTAS!$B$3,0)</f>
        <v>46459</v>
      </c>
      <c r="J703" s="2" t="n">
        <v>1</v>
      </c>
    </row>
    <row r="704">
      <c r="A704" s="2" t="inlineStr">
        <is>
          <t>301174</t>
        </is>
      </c>
      <c r="B704" s="2" t="inlineStr"/>
      <c r="C704" s="2" t="inlineStr">
        <is>
          <t>BRAZO MUNON F-UNO/PREMIO</t>
        </is>
      </c>
      <c r="D704" s="2" t="inlineStr">
        <is>
          <t>OCAP</t>
        </is>
      </c>
      <c r="E704" s="3" t="n">
        <v>13</v>
      </c>
      <c r="F704" s="4" t="n">
        <v>0.3</v>
      </c>
      <c r="G704" s="5">
        <f>ROUND(E704*(1+F704),2)</f>
        <v>16.90</v>
      </c>
      <c r="H704" s="5">
        <f>ROUND(G704*NOTAS!$B$2,2)</f>
        <v>12190.74</v>
      </c>
      <c r="I704" s="6">
        <f>ROUND(G704*NOTAS!$B$3,0)</f>
        <v>54906</v>
      </c>
      <c r="J704" s="2" t="n">
        <v>11</v>
      </c>
    </row>
    <row r="705">
      <c r="A705" s="2" t="inlineStr">
        <is>
          <t>FI0007</t>
        </is>
      </c>
      <c r="B705" s="2" t="inlineStr"/>
      <c r="C705" s="2" t="inlineStr">
        <is>
          <t>BRAZO MUNON F-UNO/PREMIO</t>
        </is>
      </c>
      <c r="D705" s="2" t="inlineStr">
        <is>
          <t>DRIVEX</t>
        </is>
      </c>
      <c r="E705" s="3" t="n">
        <v>10</v>
      </c>
      <c r="F705" s="4" t="n">
        <v>0.3</v>
      </c>
      <c r="G705" s="5">
        <f>ROUND(E705*(1+F705),2)</f>
        <v>13.00</v>
      </c>
      <c r="H705" s="5">
        <f>ROUND(G705*NOTAS!$B$2,2)</f>
        <v>9377.49</v>
      </c>
      <c r="I705" s="6">
        <f>ROUND(G705*NOTAS!$B$3,0)</f>
        <v>42235</v>
      </c>
      <c r="J705" s="2" t="n">
        <v>13</v>
      </c>
    </row>
    <row r="706">
      <c r="A706" s="2" t="inlineStr">
        <is>
          <t>KI0005</t>
        </is>
      </c>
      <c r="B706" s="2" t="inlineStr"/>
      <c r="C706" s="2" t="inlineStr">
        <is>
          <t>BRAZO MUNON IZQUIERDO KIA RIO</t>
        </is>
      </c>
      <c r="D706" s="2" t="inlineStr">
        <is>
          <t>DRIVEX</t>
        </is>
      </c>
      <c r="E706" s="3" t="n">
        <v>10</v>
      </c>
      <c r="F706" s="4" t="n">
        <v>0.3</v>
      </c>
      <c r="G706" s="5">
        <f>ROUND(E706*(1+F706),2)</f>
        <v>13.00</v>
      </c>
      <c r="H706" s="5">
        <f>ROUND(G706*NOTAS!$B$2,2)</f>
        <v>9377.49</v>
      </c>
      <c r="I706" s="6">
        <f>ROUND(G706*NOTAS!$B$3,0)</f>
        <v>42235</v>
      </c>
      <c r="J706" s="2" t="n">
        <v>2</v>
      </c>
    </row>
    <row r="707">
      <c r="A707" s="2" t="inlineStr">
        <is>
          <t>P96611265</t>
        </is>
      </c>
      <c r="B707" s="2" t="inlineStr"/>
      <c r="C707" s="2" t="inlineStr">
        <is>
          <t>BRAZO MUNON MESETA SPARK/MATIZ/TICO/WAGON R</t>
        </is>
      </c>
      <c r="D707" s="2" t="inlineStr">
        <is>
          <t>PARTS-MALL</t>
        </is>
      </c>
      <c r="E707" s="3" t="n">
        <v>13.5</v>
      </c>
      <c r="F707" s="4" t="n">
        <v>0.3</v>
      </c>
      <c r="G707" s="5">
        <f>ROUND(E707*(1+F707),2)</f>
        <v>17.55</v>
      </c>
      <c r="H707" s="5">
        <f>ROUND(G707*NOTAS!$B$2,2)</f>
        <v>12659.62</v>
      </c>
      <c r="I707" s="6">
        <f>ROUND(G707*NOTAS!$B$3,0)</f>
        <v>57018</v>
      </c>
      <c r="J707" s="2" t="n">
        <v>2</v>
      </c>
    </row>
    <row r="708">
      <c r="A708" s="2" t="inlineStr">
        <is>
          <t>96316765-S03</t>
        </is>
      </c>
      <c r="B708" s="2" t="inlineStr"/>
      <c r="C708" s="2" t="inlineStr">
        <is>
          <t>BRAZO MUNON MESETA SPARK/MATIZ/TICO/WAGON R</t>
        </is>
      </c>
      <c r="D708" s="2" t="inlineStr">
        <is>
          <t>JOINT</t>
        </is>
      </c>
      <c r="E708" s="3" t="n">
        <v>11.23</v>
      </c>
      <c r="F708" s="4" t="n">
        <v>0.3</v>
      </c>
      <c r="G708" s="5">
        <f>ROUND(E708*(1+F708),2)</f>
        <v>14.60</v>
      </c>
      <c r="H708" s="5">
        <f>ROUND(G708*NOTAS!$B$2,2)</f>
        <v>10531.65</v>
      </c>
      <c r="I708" s="6">
        <f>ROUND(G708*NOTAS!$B$3,0)</f>
        <v>47434</v>
      </c>
      <c r="J708" s="2" t="n">
        <v>1</v>
      </c>
    </row>
    <row r="709">
      <c r="A709" s="2" t="inlineStr">
        <is>
          <t>96611265</t>
        </is>
      </c>
      <c r="B709" s="2" t="inlineStr"/>
      <c r="C709" s="2" t="inlineStr">
        <is>
          <t>BRAZO MUNON MESETA SPARK/MATIZ/TICO/WAGON R</t>
        </is>
      </c>
      <c r="D709" s="2" t="inlineStr">
        <is>
          <t>GM</t>
        </is>
      </c>
      <c r="E709" s="3" t="n">
        <v>7</v>
      </c>
      <c r="F709" s="4" t="n">
        <v>0.3</v>
      </c>
      <c r="G709" s="5">
        <f>ROUND(E709*(1+F709),2)</f>
        <v>9.10</v>
      </c>
      <c r="H709" s="5">
        <f>ROUND(G709*NOTAS!$B$2,2)</f>
        <v>6564.24</v>
      </c>
      <c r="I709" s="6">
        <f>ROUND(G709*NOTAS!$B$3,0)</f>
        <v>29565</v>
      </c>
      <c r="J709" s="2" t="n">
        <v>2</v>
      </c>
    </row>
    <row r="710">
      <c r="A710" s="2" t="inlineStr">
        <is>
          <t>51001</t>
        </is>
      </c>
      <c r="B710" s="2" t="inlineStr"/>
      <c r="C710" s="2" t="inlineStr">
        <is>
          <t>BUJE BARRA TENSORA CORCEL</t>
        </is>
      </c>
      <c r="D710" s="2" t="inlineStr">
        <is>
          <t>SANFOR</t>
        </is>
      </c>
      <c r="E710" s="3" t="n">
        <v>1</v>
      </c>
      <c r="F710" s="4" t="n">
        <v>0.3</v>
      </c>
      <c r="G710" s="5">
        <f>ROUND(E710*(1+F710),2)</f>
        <v>1.30</v>
      </c>
      <c r="H710" s="5">
        <f>ROUND(G710*NOTAS!$B$2,2)</f>
        <v>937.75</v>
      </c>
      <c r="I710" s="6">
        <f>ROUND(G710*NOTAS!$B$3,0)</f>
        <v>4224</v>
      </c>
      <c r="J710" s="2" t="n">
        <v>5</v>
      </c>
    </row>
    <row r="711">
      <c r="A711" s="2" t="inlineStr">
        <is>
          <t>3001</t>
        </is>
      </c>
      <c r="B711" s="2" t="inlineStr"/>
      <c r="C711" s="2" t="inlineStr">
        <is>
          <t>BUJE BARRA TENSORA CORSA …/99</t>
        </is>
      </c>
      <c r="D711" s="2" t="inlineStr">
        <is>
          <t>SAMPEL</t>
        </is>
      </c>
      <c r="E711" s="3" t="n">
        <v>5</v>
      </c>
      <c r="F711" s="4" t="n">
        <v>0.3</v>
      </c>
      <c r="G711" s="5">
        <f>ROUND(E711*(1+F711),2)</f>
        <v>6.50</v>
      </c>
      <c r="H711" s="5">
        <f>ROUND(G711*NOTAS!$B$2,2)</f>
        <v>4688.75</v>
      </c>
      <c r="I711" s="6">
        <f>ROUND(G711*NOTAS!$B$3,0)</f>
        <v>21118</v>
      </c>
      <c r="J711" s="2" t="n">
        <v>1</v>
      </c>
    </row>
    <row r="712">
      <c r="A712" s="2" t="inlineStr">
        <is>
          <t>2493</t>
        </is>
      </c>
      <c r="B712" s="2" t="inlineStr"/>
      <c r="C712" s="2" t="inlineStr">
        <is>
          <t>BUJE BARRA TENSORA CORSA …/99</t>
        </is>
      </c>
      <c r="D712" s="2" t="inlineStr">
        <is>
          <t>METALCAUCHO</t>
        </is>
      </c>
      <c r="E712" s="3" t="n">
        <v>5</v>
      </c>
      <c r="F712" s="4" t="n">
        <v>0.3</v>
      </c>
      <c r="G712" s="5">
        <f>ROUND(E712*(1+F712),2)</f>
        <v>6.50</v>
      </c>
      <c r="H712" s="5">
        <f>ROUND(G712*NOTAS!$B$2,2)</f>
        <v>4688.75</v>
      </c>
      <c r="I712" s="6">
        <f>ROUND(G712*NOTAS!$B$3,0)</f>
        <v>21118</v>
      </c>
      <c r="J712" s="2" t="n">
        <v>1</v>
      </c>
    </row>
    <row r="713">
      <c r="A713" s="2" t="inlineStr">
        <is>
          <t>90445098</t>
        </is>
      </c>
      <c r="B713" s="2" t="inlineStr"/>
      <c r="C713" s="2" t="inlineStr">
        <is>
          <t>BUJE BARRA TENSORA CORSA …/99</t>
        </is>
      </c>
      <c r="D713" s="2" t="inlineStr">
        <is>
          <t>GM</t>
        </is>
      </c>
      <c r="E713" s="3" t="n">
        <v>5</v>
      </c>
      <c r="F713" s="4" t="n">
        <v>0.3</v>
      </c>
      <c r="G713" s="5">
        <f>ROUND(E713*(1+F713),2)</f>
        <v>6.50</v>
      </c>
      <c r="H713" s="5">
        <f>ROUND(G713*NOTAS!$B$2,2)</f>
        <v>4688.75</v>
      </c>
      <c r="I713" s="6">
        <f>ROUND(G713*NOTAS!$B$3,0)</f>
        <v>21118</v>
      </c>
      <c r="J713" s="2" t="n">
        <v>7</v>
      </c>
    </row>
    <row r="714">
      <c r="A714" s="2" t="inlineStr">
        <is>
          <t>3240</t>
        </is>
      </c>
      <c r="B714" s="2" t="inlineStr"/>
      <c r="C714" s="2" t="inlineStr">
        <is>
          <t>BUJE BARRA TENSORA CORSA 00/06</t>
        </is>
      </c>
      <c r="D714" s="2" t="inlineStr">
        <is>
          <t>SAMPEL</t>
        </is>
      </c>
      <c r="E714" s="3" t="n">
        <v>10</v>
      </c>
      <c r="F714" s="4" t="n">
        <v>0.3</v>
      </c>
      <c r="G714" s="5">
        <f>ROUND(E714*(1+F714),2)</f>
        <v>13.00</v>
      </c>
      <c r="H714" s="5">
        <f>ROUND(G714*NOTAS!$B$2,2)</f>
        <v>9377.49</v>
      </c>
      <c r="I714" s="6">
        <f>ROUND(G714*NOTAS!$B$3,0)</f>
        <v>42235</v>
      </c>
      <c r="J714" s="2" t="n">
        <v>2</v>
      </c>
    </row>
    <row r="715">
      <c r="A715" s="2" t="inlineStr">
        <is>
          <t>SBG-019U STD</t>
        </is>
      </c>
      <c r="B715" s="2" t="inlineStr"/>
      <c r="C715" s="2" t="inlineStr">
        <is>
          <t>BUJE BIELA FIAT 1.3</t>
        </is>
      </c>
      <c r="D715" s="2" t="inlineStr">
        <is>
          <t>METAL LEVE</t>
        </is>
      </c>
      <c r="E715" s="3" t="n">
        <v>6.1538</v>
      </c>
      <c r="F715" s="4" t="n">
        <v>0.3</v>
      </c>
      <c r="G715" s="5">
        <f>ROUND(E715*(1+F715),2)</f>
        <v>8.00</v>
      </c>
      <c r="H715" s="5">
        <f>ROUND(G715*NOTAS!$B$2,2)</f>
        <v>5770.76</v>
      </c>
      <c r="I715" s="6">
        <f>ROUND(G715*NOTAS!$B$3,0)</f>
        <v>25991</v>
      </c>
      <c r="J715" s="2" t="n">
        <v>100</v>
      </c>
    </row>
    <row r="716">
      <c r="A716" s="2" t="inlineStr">
        <is>
          <t>SK3801</t>
        </is>
      </c>
      <c r="B716" s="2" t="inlineStr"/>
      <c r="C716" s="2" t="inlineStr">
        <is>
          <t>BUJE CAJA DIRECCION CHEVETTE</t>
        </is>
      </c>
      <c r="D716" s="2" t="inlineStr">
        <is>
          <t>SAMPEL</t>
        </is>
      </c>
      <c r="E716" s="3" t="n">
        <v>6.1538</v>
      </c>
      <c r="F716" s="4" t="n">
        <v>0.3</v>
      </c>
      <c r="G716" s="5">
        <f>ROUND(E716*(1+F716),2)</f>
        <v>8.00</v>
      </c>
      <c r="H716" s="5">
        <f>ROUND(G716*NOTAS!$B$2,2)</f>
        <v>5770.76</v>
      </c>
      <c r="I716" s="6">
        <f>ROUND(G716*NOTAS!$B$3,0)</f>
        <v>25991</v>
      </c>
      <c r="J716" s="2" t="n">
        <v>2</v>
      </c>
    </row>
    <row r="717">
      <c r="A717" s="2" t="inlineStr">
        <is>
          <t>93280805</t>
        </is>
      </c>
      <c r="B717" s="2" t="inlineStr"/>
      <c r="C717" s="2" t="inlineStr">
        <is>
          <t>BUJE CAJA DIRECCION CORSA</t>
        </is>
      </c>
      <c r="D717" s="2" t="inlineStr">
        <is>
          <t>GM</t>
        </is>
      </c>
      <c r="E717" s="3" t="n">
        <v>6.1538</v>
      </c>
      <c r="F717" s="4" t="n">
        <v>0.3</v>
      </c>
      <c r="G717" s="5">
        <f>ROUND(E717*(1+F717),2)</f>
        <v>8.00</v>
      </c>
      <c r="H717" s="5">
        <f>ROUND(G717*NOTAS!$B$2,2)</f>
        <v>5770.76</v>
      </c>
      <c r="I717" s="6">
        <f>ROUND(G717*NOTAS!$B$3,0)</f>
        <v>25991</v>
      </c>
      <c r="J717" s="2" t="n">
        <v>5</v>
      </c>
    </row>
    <row r="718">
      <c r="A718" s="2" t="inlineStr">
        <is>
          <t>9321</t>
        </is>
      </c>
      <c r="B718" s="2" t="inlineStr"/>
      <c r="C718" s="2" t="inlineStr">
        <is>
          <t>BUJE CAJA DIRECCION R-12</t>
        </is>
      </c>
      <c r="D718" s="2" t="inlineStr">
        <is>
          <t>LION</t>
        </is>
      </c>
      <c r="E718" s="3" t="n">
        <v>6.1538</v>
      </c>
      <c r="F718" s="4" t="n">
        <v>0.3</v>
      </c>
      <c r="G718" s="5">
        <f>ROUND(E718*(1+F718),2)</f>
        <v>8.00</v>
      </c>
      <c r="H718" s="5">
        <f>ROUND(G718*NOTAS!$B$2,2)</f>
        <v>5770.76</v>
      </c>
      <c r="I718" s="6">
        <f>ROUND(G718*NOTAS!$B$3,0)</f>
        <v>25991</v>
      </c>
      <c r="J718" s="2" t="n">
        <v>1</v>
      </c>
    </row>
    <row r="719">
      <c r="A719" s="2" t="inlineStr">
        <is>
          <t>5WEV2NQ</t>
        </is>
      </c>
      <c r="B719" s="2" t="inlineStr"/>
      <c r="C719" s="2" t="inlineStr">
        <is>
          <t>BUJE CAJA DIRECCION R-TWINGO</t>
        </is>
      </c>
      <c r="D719" s="2" t="inlineStr">
        <is>
          <t>RENAULT</t>
        </is>
      </c>
      <c r="E719" s="3" t="n">
        <v>6.1538</v>
      </c>
      <c r="F719" s="4" t="n">
        <v>0.3</v>
      </c>
      <c r="G719" s="5">
        <f>ROUND(E719*(1+F719),2)</f>
        <v>8.00</v>
      </c>
      <c r="H719" s="5">
        <f>ROUND(G719*NOTAS!$B$2,2)</f>
        <v>5770.76</v>
      </c>
      <c r="I719" s="6">
        <f>ROUND(G719*NOTAS!$B$3,0)</f>
        <v>25991</v>
      </c>
      <c r="J719" s="2" t="n">
        <v>2</v>
      </c>
    </row>
    <row r="720">
      <c r="A720" s="2" t="inlineStr">
        <is>
          <t>30342</t>
        </is>
      </c>
      <c r="B720" s="2" t="inlineStr"/>
      <c r="C720" s="2" t="inlineStr">
        <is>
          <t>BUJE CUNA DELANTERO R-11</t>
        </is>
      </c>
      <c r="D720" s="2" t="inlineStr">
        <is>
          <t>IMPERGOM</t>
        </is>
      </c>
      <c r="E720" s="3" t="n">
        <v>8</v>
      </c>
      <c r="F720" s="4" t="n">
        <v>0.3</v>
      </c>
      <c r="G720" s="5">
        <f>ROUND(E720*(1+F720),2)</f>
        <v>10.40</v>
      </c>
      <c r="H720" s="5">
        <f>ROUND(G720*NOTAS!$B$2,2)</f>
        <v>7501.99</v>
      </c>
      <c r="I720" s="6">
        <f>ROUND(G720*NOTAS!$B$3,0)</f>
        <v>33788</v>
      </c>
      <c r="J720" s="2" t="n">
        <v>4</v>
      </c>
    </row>
    <row r="721">
      <c r="A721" s="2" t="inlineStr"/>
      <c r="B721" s="2" t="inlineStr"/>
      <c r="C721" s="2" t="inlineStr">
        <is>
          <t>BUJE CUNA R-19</t>
        </is>
      </c>
      <c r="D721" s="2" t="inlineStr">
        <is>
          <t>SANFOR</t>
        </is>
      </c>
      <c r="E721" s="3" t="n">
        <v>4</v>
      </c>
      <c r="F721" s="4" t="n">
        <v>0.3</v>
      </c>
      <c r="G721" s="5">
        <f>ROUND(E721*(1+F721),2)</f>
        <v>5.20</v>
      </c>
      <c r="H721" s="5">
        <f>ROUND(G721*NOTAS!$B$2,2)</f>
        <v>3751.00</v>
      </c>
      <c r="I721" s="6">
        <f>ROUND(G721*NOTAS!$B$3,0)</f>
        <v>16894</v>
      </c>
      <c r="J721" s="2" t="n">
        <v>3</v>
      </c>
    </row>
    <row r="722">
      <c r="A722" s="2" t="inlineStr">
        <is>
          <t>90305912</t>
        </is>
      </c>
      <c r="B722" s="2" t="inlineStr"/>
      <c r="C722" s="2" t="inlineStr">
        <is>
          <t>BUJE EJE EMBRAGUE CIELO/LANOS/AVEO/OPTRA</t>
        </is>
      </c>
      <c r="D722" s="2" t="inlineStr">
        <is>
          <t>GM</t>
        </is>
      </c>
      <c r="E722" s="3" t="n">
        <v>1</v>
      </c>
      <c r="F722" s="4" t="n">
        <v>0.3</v>
      </c>
      <c r="G722" s="5">
        <f>ROUND(E722*(1+F722),2)</f>
        <v>1.30</v>
      </c>
      <c r="H722" s="5">
        <f>ROUND(G722*NOTAS!$B$2,2)</f>
        <v>937.75</v>
      </c>
      <c r="I722" s="6">
        <f>ROUND(G722*NOTAS!$B$3,0)</f>
        <v>4224</v>
      </c>
      <c r="J722" s="2" t="n">
        <v>9</v>
      </c>
    </row>
    <row r="723">
      <c r="A723" s="2" t="inlineStr">
        <is>
          <t>93294976</t>
        </is>
      </c>
      <c r="B723" s="2" t="inlineStr"/>
      <c r="C723" s="2" t="inlineStr">
        <is>
          <t>BUJE EJE PALANCA CAMBIO CORSA</t>
        </is>
      </c>
      <c r="D723" s="2" t="inlineStr">
        <is>
          <t>GM</t>
        </is>
      </c>
      <c r="E723" s="3" t="n">
        <v>5</v>
      </c>
      <c r="F723" s="4" t="n">
        <v>0.3</v>
      </c>
      <c r="G723" s="5">
        <f>ROUND(E723*(1+F723),2)</f>
        <v>6.50</v>
      </c>
      <c r="H723" s="5">
        <f>ROUND(G723*NOTAS!$B$2,2)</f>
        <v>4688.75</v>
      </c>
      <c r="I723" s="6">
        <f>ROUND(G723*NOTAS!$B$3,0)</f>
        <v>21118</v>
      </c>
      <c r="J723" s="2" t="n">
        <v>4</v>
      </c>
    </row>
    <row r="724">
      <c r="A724" s="2" t="inlineStr">
        <is>
          <t>P96653381</t>
        </is>
      </c>
      <c r="B724" s="2" t="inlineStr"/>
      <c r="C724" s="2" t="inlineStr">
        <is>
          <t>BUJE MESETA DELANTERA INFERIOR  AVEO GRANDE</t>
        </is>
      </c>
      <c r="D724" s="2" t="inlineStr">
        <is>
          <t>PARTS-MALL</t>
        </is>
      </c>
      <c r="E724" s="3" t="n">
        <v>4</v>
      </c>
      <c r="F724" s="4" t="n">
        <v>0.3</v>
      </c>
      <c r="G724" s="5">
        <f>ROUND(E724*(1+F724),2)</f>
        <v>5.20</v>
      </c>
      <c r="H724" s="5">
        <f>ROUND(G724*NOTAS!$B$2,2)</f>
        <v>3751.00</v>
      </c>
      <c r="I724" s="6">
        <f>ROUND(G724*NOTAS!$B$3,0)</f>
        <v>16894</v>
      </c>
      <c r="J724" s="2" t="n">
        <v>10</v>
      </c>
    </row>
    <row r="725">
      <c r="A725" s="2" t="inlineStr">
        <is>
          <t>1326</t>
        </is>
      </c>
      <c r="B725" s="2" t="inlineStr">
        <is>
          <t>51705554</t>
        </is>
      </c>
      <c r="C725" s="2" t="inlineStr">
        <is>
          <t>BUJE MESETA DELANTERA INFERIOR  TRASERO DER F-PAL/SIE</t>
        </is>
      </c>
      <c r="D725" s="2" t="inlineStr">
        <is>
          <t>SAMPEL</t>
        </is>
      </c>
      <c r="E725" s="3" t="n">
        <v>15</v>
      </c>
      <c r="F725" s="4" t="n">
        <v>0.3</v>
      </c>
      <c r="G725" s="5">
        <f>ROUND(E725*(1+F725),2)</f>
        <v>19.50</v>
      </c>
      <c r="H725" s="5">
        <f>ROUND(G725*NOTAS!$B$2,2)</f>
        <v>14066.24</v>
      </c>
      <c r="I725" s="6">
        <f>ROUND(G725*NOTAS!$B$3,0)</f>
        <v>63353</v>
      </c>
      <c r="J725" s="2" t="n">
        <v>6</v>
      </c>
    </row>
    <row r="726">
      <c r="A726" s="2" t="inlineStr">
        <is>
          <t>46454077</t>
        </is>
      </c>
      <c r="B726" s="2" t="inlineStr"/>
      <c r="C726" s="2" t="inlineStr">
        <is>
          <t>BUJE MESETA DELANTERA INFERIOR  TRASERO DER F-PAL/SIE</t>
        </is>
      </c>
      <c r="D726" s="2" t="inlineStr">
        <is>
          <t>SBB</t>
        </is>
      </c>
      <c r="E726" s="3" t="n">
        <v>10</v>
      </c>
      <c r="F726" s="4" t="n">
        <v>0.3</v>
      </c>
      <c r="G726" s="5">
        <f>ROUND(E726*(1+F726),2)</f>
        <v>13.00</v>
      </c>
      <c r="H726" s="5">
        <f>ROUND(G726*NOTAS!$B$2,2)</f>
        <v>9377.49</v>
      </c>
      <c r="I726" s="6">
        <f>ROUND(G726*NOTAS!$B$3,0)</f>
        <v>42235</v>
      </c>
      <c r="J726" s="2" t="n">
        <v>1</v>
      </c>
    </row>
    <row r="727">
      <c r="A727" s="2" t="inlineStr">
        <is>
          <t>3701</t>
        </is>
      </c>
      <c r="B727" s="2" t="inlineStr"/>
      <c r="C727" s="2" t="inlineStr">
        <is>
          <t>BUJE MESETA DELANTERA INFERIOR CHEVETTE</t>
        </is>
      </c>
      <c r="D727" s="2" t="inlineStr">
        <is>
          <t>SAMPEL</t>
        </is>
      </c>
      <c r="E727" s="3" t="n">
        <v>5</v>
      </c>
      <c r="F727" s="4" t="n">
        <v>0.3</v>
      </c>
      <c r="G727" s="5">
        <f>ROUND(E727*(1+F727),2)</f>
        <v>6.50</v>
      </c>
      <c r="H727" s="5">
        <f>ROUND(G727*NOTAS!$B$2,2)</f>
        <v>4688.75</v>
      </c>
      <c r="I727" s="6">
        <f>ROUND(G727*NOTAS!$B$3,0)</f>
        <v>21118</v>
      </c>
      <c r="J727" s="2" t="n">
        <v>16</v>
      </c>
    </row>
    <row r="728">
      <c r="A728" s="2" t="inlineStr"/>
      <c r="B728" s="2" t="inlineStr"/>
      <c r="C728" s="2" t="inlineStr">
        <is>
          <t>BUJE MESETA DELANTERA INFERIOR CIELO/LANOS</t>
        </is>
      </c>
      <c r="D728" s="2" t="inlineStr">
        <is>
          <t>KOREA</t>
        </is>
      </c>
      <c r="E728" s="3" t="n">
        <v>2.21</v>
      </c>
      <c r="F728" s="4" t="n">
        <v>0.3</v>
      </c>
      <c r="G728" s="5">
        <f>ROUND(E728*(1+F728),2)</f>
        <v>2.87</v>
      </c>
      <c r="H728" s="5">
        <f>ROUND(G728*NOTAS!$B$2,2)</f>
        <v>2070.26</v>
      </c>
      <c r="I728" s="6">
        <f>ROUND(G728*NOTAS!$B$3,0)</f>
        <v>9324</v>
      </c>
      <c r="J728" s="2" t="n">
        <v>18</v>
      </c>
    </row>
    <row r="729">
      <c r="A729" s="2" t="inlineStr"/>
      <c r="B729" s="2" t="inlineStr"/>
      <c r="C729" s="2" t="inlineStr">
        <is>
          <t>BUJE MESETA DELANTERA INFERIOR CON HUECO R-21</t>
        </is>
      </c>
      <c r="D729" s="2" t="inlineStr">
        <is>
          <t>SANFOR</t>
        </is>
      </c>
      <c r="E729" s="3" t="n">
        <v>2</v>
      </c>
      <c r="F729" s="4" t="n">
        <v>0.3</v>
      </c>
      <c r="G729" s="5">
        <f>ROUND(E729*(1+F729),2)</f>
        <v>2.60</v>
      </c>
      <c r="H729" s="5">
        <f>ROUND(G729*NOTAS!$B$2,2)</f>
        <v>1875.50</v>
      </c>
      <c r="I729" s="6">
        <f>ROUND(G729*NOTAS!$B$3,0)</f>
        <v>8447</v>
      </c>
      <c r="J729" s="2" t="n">
        <v>4</v>
      </c>
    </row>
    <row r="730">
      <c r="A730" s="2" t="inlineStr"/>
      <c r="B730" s="2" t="inlineStr"/>
      <c r="C730" s="2" t="inlineStr">
        <is>
          <t>BUJE MESETA DELANTERA INFERIOR CON PESTANA R-18/FUEGO</t>
        </is>
      </c>
      <c r="D730" s="2" t="inlineStr">
        <is>
          <t>SANFOR</t>
        </is>
      </c>
      <c r="E730" s="3" t="n">
        <v>2</v>
      </c>
      <c r="F730" s="4" t="n">
        <v>0.3</v>
      </c>
      <c r="G730" s="5">
        <f>ROUND(E730*(1+F730),2)</f>
        <v>2.60</v>
      </c>
      <c r="H730" s="5">
        <f>ROUND(G730*NOTAS!$B$2,2)</f>
        <v>1875.50</v>
      </c>
      <c r="I730" s="6">
        <f>ROUND(G730*NOTAS!$B$3,0)</f>
        <v>8447</v>
      </c>
      <c r="J730" s="2" t="n">
        <v>4</v>
      </c>
    </row>
    <row r="731">
      <c r="A731" s="2" t="inlineStr">
        <is>
          <t>R2053</t>
        </is>
      </c>
      <c r="B731" s="2" t="inlineStr"/>
      <c r="C731" s="2" t="inlineStr">
        <is>
          <t>BUJE MESETA DELANTERA INFERIOR CON PESTANA R-TWINGO</t>
        </is>
      </c>
      <c r="D731" s="2" t="inlineStr">
        <is>
          <t>AUTOMOVITE PARTS</t>
        </is>
      </c>
      <c r="E731" s="3" t="n">
        <v>3</v>
      </c>
      <c r="F731" s="4" t="n">
        <v>0.3</v>
      </c>
      <c r="G731" s="5">
        <f>ROUND(E731*(1+F731),2)</f>
        <v>3.90</v>
      </c>
      <c r="H731" s="5">
        <f>ROUND(G731*NOTAS!$B$2,2)</f>
        <v>2813.25</v>
      </c>
      <c r="I731" s="6">
        <f>ROUND(G731*NOTAS!$B$3,0)</f>
        <v>12671</v>
      </c>
      <c r="J731" s="2" t="n">
        <v>3</v>
      </c>
    </row>
    <row r="732">
      <c r="A732" s="2" t="inlineStr">
        <is>
          <t>2529</t>
        </is>
      </c>
      <c r="B732" s="2" t="inlineStr"/>
      <c r="C732" s="2" t="inlineStr">
        <is>
          <t>BUJE MESETA DELANTERA INFERIOR CORCEL</t>
        </is>
      </c>
      <c r="D732" s="2" t="inlineStr">
        <is>
          <t>SAMPEL</t>
        </is>
      </c>
      <c r="E732" s="3" t="n">
        <v>5</v>
      </c>
      <c r="F732" s="4" t="n">
        <v>0.3</v>
      </c>
      <c r="G732" s="5">
        <f>ROUND(E732*(1+F732),2)</f>
        <v>6.50</v>
      </c>
      <c r="H732" s="5">
        <f>ROUND(G732*NOTAS!$B$2,2)</f>
        <v>4688.75</v>
      </c>
      <c r="I732" s="6">
        <f>ROUND(G732*NOTAS!$B$3,0)</f>
        <v>21118</v>
      </c>
      <c r="J732" s="2" t="n">
        <v>9</v>
      </c>
    </row>
    <row r="733">
      <c r="A733" s="2" t="inlineStr">
        <is>
          <t>3001</t>
        </is>
      </c>
      <c r="B733" s="2" t="inlineStr"/>
      <c r="C733" s="2" t="inlineStr">
        <is>
          <t>BUJE MESETA DELANTERA INFERIOR CORSA</t>
        </is>
      </c>
      <c r="D733" s="2" t="inlineStr">
        <is>
          <t>SAMPEL</t>
        </is>
      </c>
      <c r="E733" s="3" t="n">
        <v>5</v>
      </c>
      <c r="F733" s="4" t="n">
        <v>0.3</v>
      </c>
      <c r="G733" s="5">
        <f>ROUND(E733*(1+F733),2)</f>
        <v>6.50</v>
      </c>
      <c r="H733" s="5">
        <f>ROUND(G733*NOTAS!$B$2,2)</f>
        <v>4688.75</v>
      </c>
      <c r="I733" s="6">
        <f>ROUND(G733*NOTAS!$B$3,0)</f>
        <v>21118</v>
      </c>
      <c r="J733" s="2" t="n">
        <v>1</v>
      </c>
    </row>
    <row r="734">
      <c r="A734" s="2" t="inlineStr">
        <is>
          <t>1207</t>
        </is>
      </c>
      <c r="B734" s="2" t="inlineStr"/>
      <c r="C734" s="2" t="inlineStr">
        <is>
          <t>BUJE MESETA DELANTERA INFERIOR GRANDE DERECHO F-TEMPRA</t>
        </is>
      </c>
      <c r="D734" s="2" t="inlineStr">
        <is>
          <t>SAMPEL</t>
        </is>
      </c>
      <c r="E734" s="3" t="n">
        <v>3</v>
      </c>
      <c r="F734" s="4" t="n">
        <v>0.3</v>
      </c>
      <c r="G734" s="5">
        <f>ROUND(E734*(1+F734),2)</f>
        <v>3.90</v>
      </c>
      <c r="H734" s="5">
        <f>ROUND(G734*NOTAS!$B$2,2)</f>
        <v>2813.25</v>
      </c>
      <c r="I734" s="6">
        <f>ROUND(G734*NOTAS!$B$3,0)</f>
        <v>12671</v>
      </c>
      <c r="J734" s="2" t="n">
        <v>3</v>
      </c>
    </row>
    <row r="735">
      <c r="A735" s="2" t="inlineStr">
        <is>
          <t>2702</t>
        </is>
      </c>
      <c r="B735" s="2" t="inlineStr"/>
      <c r="C735" s="2" t="inlineStr">
        <is>
          <t>BUJE MESETA DELANTERA INFERIOR GRANDE FIESTA .../03</t>
        </is>
      </c>
      <c r="D735" s="2" t="inlineStr">
        <is>
          <t>SAMPEL</t>
        </is>
      </c>
      <c r="E735" s="3" t="n">
        <v>5</v>
      </c>
      <c r="F735" s="4" t="n">
        <v>0.3</v>
      </c>
      <c r="G735" s="5">
        <f>ROUND(E735*(1+F735),2)</f>
        <v>6.50</v>
      </c>
      <c r="H735" s="5">
        <f>ROUND(G735*NOTAS!$B$2,2)</f>
        <v>4688.75</v>
      </c>
      <c r="I735" s="6">
        <f>ROUND(G735*NOTAS!$B$3,0)</f>
        <v>21118</v>
      </c>
      <c r="J735" s="2" t="n">
        <v>9</v>
      </c>
    </row>
    <row r="736">
      <c r="A736" s="2" t="inlineStr"/>
      <c r="B736" s="2" t="inlineStr"/>
      <c r="C736" s="2" t="inlineStr">
        <is>
          <t>BUJE MESETA DELANTERA INFERIOR GRANDE FIESTA .../03</t>
        </is>
      </c>
      <c r="D736" s="2" t="inlineStr">
        <is>
          <t>BRAZIL</t>
        </is>
      </c>
      <c r="E736" s="3" t="n">
        <v>5</v>
      </c>
      <c r="F736" s="4" t="n">
        <v>0.3</v>
      </c>
      <c r="G736" s="5">
        <f>ROUND(E736*(1+F736),2)</f>
        <v>6.50</v>
      </c>
      <c r="H736" s="5">
        <f>ROUND(G736*NOTAS!$B$2,2)</f>
        <v>4688.75</v>
      </c>
      <c r="I736" s="6">
        <f>ROUND(G736*NOTAS!$B$3,0)</f>
        <v>21118</v>
      </c>
      <c r="J736" s="2" t="n">
        <v>1</v>
      </c>
    </row>
    <row r="737">
      <c r="A737" s="2" t="inlineStr">
        <is>
          <t>98FB3A262AA</t>
        </is>
      </c>
      <c r="B737" s="2" t="inlineStr"/>
      <c r="C737" s="2" t="inlineStr">
        <is>
          <t>BUJE MESETA DELANTERA INFERIOR GRANDE FIESTA .../03</t>
        </is>
      </c>
      <c r="D737" s="2" t="inlineStr">
        <is>
          <t>FORD</t>
        </is>
      </c>
      <c r="E737" s="3" t="n">
        <v>8</v>
      </c>
      <c r="F737" s="4" t="n">
        <v>0.3</v>
      </c>
      <c r="G737" s="5">
        <f>ROUND(E737*(1+F737),2)</f>
        <v>10.40</v>
      </c>
      <c r="H737" s="5">
        <f>ROUND(G737*NOTAS!$B$2,2)</f>
        <v>7501.99</v>
      </c>
      <c r="I737" s="6">
        <f>ROUND(G737*NOTAS!$B$3,0)</f>
        <v>33788</v>
      </c>
      <c r="J737" s="2" t="n">
        <v>3</v>
      </c>
    </row>
    <row r="738">
      <c r="A738" s="2" t="inlineStr">
        <is>
          <t>2426</t>
        </is>
      </c>
      <c r="B738" s="2" t="inlineStr"/>
      <c r="C738" s="2" t="inlineStr">
        <is>
          <t>BUJE MESETA DELANTERA INFERIOR GRANDE KA</t>
        </is>
      </c>
      <c r="D738" s="2" t="inlineStr">
        <is>
          <t>SAMPEL</t>
        </is>
      </c>
      <c r="E738" s="3" t="n">
        <v>8</v>
      </c>
      <c r="F738" s="4" t="n">
        <v>0.3</v>
      </c>
      <c r="G738" s="5">
        <f>ROUND(E738*(1+F738),2)</f>
        <v>10.40</v>
      </c>
      <c r="H738" s="5">
        <f>ROUND(G738*NOTAS!$B$2,2)</f>
        <v>7501.99</v>
      </c>
      <c r="I738" s="6">
        <f>ROUND(G738*NOTAS!$B$3,0)</f>
        <v>33788</v>
      </c>
      <c r="J738" s="2" t="n">
        <v>2</v>
      </c>
    </row>
    <row r="739">
      <c r="A739" s="2" t="inlineStr">
        <is>
          <t>902180</t>
        </is>
      </c>
      <c r="B739" s="2" t="inlineStr">
        <is>
          <t>4S553A262AA</t>
        </is>
      </c>
      <c r="C739" s="2" t="inlineStr">
        <is>
          <t>BUJE MESETA DELANTERA INFERIOR GRANDE KA</t>
        </is>
      </c>
      <c r="D739" s="2" t="inlineStr">
        <is>
          <t>FORD</t>
        </is>
      </c>
      <c r="E739" s="3" t="n">
        <v>10</v>
      </c>
      <c r="F739" s="4" t="n">
        <v>0.3</v>
      </c>
      <c r="G739" s="5">
        <f>ROUND(E739*(1+F739),2)</f>
        <v>13.00</v>
      </c>
      <c r="H739" s="5">
        <f>ROUND(G739*NOTAS!$B$2,2)</f>
        <v>9377.49</v>
      </c>
      <c r="I739" s="6">
        <f>ROUND(G739*NOTAS!$B$3,0)</f>
        <v>42235</v>
      </c>
      <c r="J739" s="2" t="n">
        <v>4</v>
      </c>
    </row>
    <row r="740">
      <c r="A740" s="2" t="inlineStr"/>
      <c r="B740" s="2" t="inlineStr"/>
      <c r="C740" s="2" t="inlineStr">
        <is>
          <t>BUJE MESETA DELANTERA INFERIOR GRANDE R-5</t>
        </is>
      </c>
      <c r="D740" s="2" t="inlineStr">
        <is>
          <t>SANFOR</t>
        </is>
      </c>
      <c r="E740" s="3" t="n">
        <v>2</v>
      </c>
      <c r="F740" s="4" t="n">
        <v>0.3</v>
      </c>
      <c r="G740" s="5">
        <f>ROUND(E740*(1+F740),2)</f>
        <v>2.60</v>
      </c>
      <c r="H740" s="5">
        <f>ROUND(G740*NOTAS!$B$2,2)</f>
        <v>1875.50</v>
      </c>
      <c r="I740" s="6">
        <f>ROUND(G740*NOTAS!$B$3,0)</f>
        <v>8447</v>
      </c>
      <c r="J740" s="2" t="n">
        <v>2</v>
      </c>
    </row>
    <row r="741">
      <c r="A741" s="2" t="inlineStr">
        <is>
          <t>94644424</t>
        </is>
      </c>
      <c r="B741" s="2" t="inlineStr"/>
      <c r="C741" s="2" t="inlineStr">
        <is>
          <t>BUJE MESETA DELANTERA INFERIOR MONZA</t>
        </is>
      </c>
      <c r="D741" s="2" t="inlineStr">
        <is>
          <t>MOBENSANI</t>
        </is>
      </c>
      <c r="E741" s="3" t="n">
        <v>5</v>
      </c>
      <c r="F741" s="4" t="n">
        <v>0.3</v>
      </c>
      <c r="G741" s="5">
        <f>ROUND(E741*(1+F741),2)</f>
        <v>6.50</v>
      </c>
      <c r="H741" s="5">
        <f>ROUND(G741*NOTAS!$B$2,2)</f>
        <v>4688.75</v>
      </c>
      <c r="I741" s="6">
        <f>ROUND(G741*NOTAS!$B$3,0)</f>
        <v>21118</v>
      </c>
      <c r="J741" s="2" t="n">
        <v>4</v>
      </c>
    </row>
    <row r="742">
      <c r="A742" s="2" t="inlineStr">
        <is>
          <t>96535087</t>
        </is>
      </c>
      <c r="B742" s="2" t="inlineStr"/>
      <c r="C742" s="2" t="inlineStr">
        <is>
          <t>BUJE MESETA DELANTERA INFERIOR PEQUEÑO AVEO</t>
        </is>
      </c>
      <c r="D742" s="2" t="inlineStr">
        <is>
          <t>GM</t>
        </is>
      </c>
      <c r="E742" s="3" t="n">
        <v>4</v>
      </c>
      <c r="F742" s="4" t="n">
        <v>0.3</v>
      </c>
      <c r="G742" s="5">
        <f>ROUND(E742*(1+F742),2)</f>
        <v>5.20</v>
      </c>
      <c r="H742" s="5">
        <f>ROUND(G742*NOTAS!$B$2,2)</f>
        <v>3751.00</v>
      </c>
      <c r="I742" s="6">
        <f>ROUND(G742*NOTAS!$B$3,0)</f>
        <v>16894</v>
      </c>
      <c r="J742" s="2" t="n">
        <v>1</v>
      </c>
    </row>
    <row r="743">
      <c r="A743" s="2" t="inlineStr"/>
      <c r="B743" s="2" t="inlineStr"/>
      <c r="C743" s="2" t="inlineStr">
        <is>
          <t>BUJE MESETA DELANTERA INFERIOR PEQUEÑO AVEO</t>
        </is>
      </c>
      <c r="D743" s="2" t="inlineStr">
        <is>
          <t>SANFOR</t>
        </is>
      </c>
      <c r="E743" s="3" t="n">
        <v>2</v>
      </c>
      <c r="F743" s="4" t="n">
        <v>0.3</v>
      </c>
      <c r="G743" s="5">
        <f>ROUND(E743*(1+F743),2)</f>
        <v>2.60</v>
      </c>
      <c r="H743" s="5">
        <f>ROUND(G743*NOTAS!$B$2,2)</f>
        <v>1875.50</v>
      </c>
      <c r="I743" s="6">
        <f>ROUND(G743*NOTAS!$B$3,0)</f>
        <v>8447</v>
      </c>
      <c r="J743" s="2" t="n">
        <v>5</v>
      </c>
    </row>
    <row r="744">
      <c r="A744" s="2" t="inlineStr">
        <is>
          <t>P96535087</t>
        </is>
      </c>
      <c r="B744" s="2" t="inlineStr"/>
      <c r="C744" s="2" t="inlineStr">
        <is>
          <t>BUJE MESETA DELANTERA INFERIOR PEQUEÑO AVEO</t>
        </is>
      </c>
      <c r="D744" s="2" t="inlineStr">
        <is>
          <t>PARTS-MALL</t>
        </is>
      </c>
      <c r="E744" s="3" t="n">
        <v>2.7</v>
      </c>
      <c r="F744" s="4" t="n">
        <v>0.3</v>
      </c>
      <c r="G744" s="5">
        <f>ROUND(E744*(1+F744),2)</f>
        <v>3.51</v>
      </c>
      <c r="H744" s="5">
        <f>ROUND(G744*NOTAS!$B$2,2)</f>
        <v>2531.92</v>
      </c>
      <c r="I744" s="6">
        <f>ROUND(G744*NOTAS!$B$3,0)</f>
        <v>11404</v>
      </c>
      <c r="J744" s="2" t="n">
        <v>12</v>
      </c>
    </row>
    <row r="745">
      <c r="A745" s="2" t="inlineStr">
        <is>
          <t>CF-541</t>
        </is>
      </c>
      <c r="B745" s="2" t="inlineStr"/>
      <c r="C745" s="2" t="inlineStr">
        <is>
          <t>BUJE MESETA DELANTERA INFERIOR PEQUEÑO FIESTA .../03</t>
        </is>
      </c>
      <c r="D745" s="2" t="inlineStr">
        <is>
          <t>CENTROFLEX</t>
        </is>
      </c>
      <c r="E745" s="3" t="n">
        <v>4</v>
      </c>
      <c r="F745" s="4" t="n">
        <v>0.3</v>
      </c>
      <c r="G745" s="5">
        <f>ROUND(E745*(1+F745),2)</f>
        <v>5.20</v>
      </c>
      <c r="H745" s="5">
        <f>ROUND(G745*NOTAS!$B$2,2)</f>
        <v>3751.00</v>
      </c>
      <c r="I745" s="6">
        <f>ROUND(G745*NOTAS!$B$3,0)</f>
        <v>16894</v>
      </c>
      <c r="J745" s="2" t="n">
        <v>6</v>
      </c>
    </row>
    <row r="746">
      <c r="A746" s="2" t="inlineStr">
        <is>
          <t>2704</t>
        </is>
      </c>
      <c r="B746" s="2" t="inlineStr"/>
      <c r="C746" s="2" t="inlineStr">
        <is>
          <t>BUJE MESETA DELANTERA INFERIOR PEQUEÑO FIESTA .../03</t>
        </is>
      </c>
      <c r="D746" s="2" t="inlineStr">
        <is>
          <t>SAMPEL</t>
        </is>
      </c>
      <c r="E746" s="3" t="n">
        <v>4</v>
      </c>
      <c r="F746" s="4" t="n">
        <v>0.3</v>
      </c>
      <c r="G746" s="5">
        <f>ROUND(E746*(1+F746),2)</f>
        <v>5.20</v>
      </c>
      <c r="H746" s="5">
        <f>ROUND(G746*NOTAS!$B$2,2)</f>
        <v>3751.00</v>
      </c>
      <c r="I746" s="6">
        <f>ROUND(G746*NOTAS!$B$3,0)</f>
        <v>16894</v>
      </c>
      <c r="J746" s="2" t="n">
        <v>15</v>
      </c>
    </row>
    <row r="747">
      <c r="A747" s="2" t="inlineStr">
        <is>
          <t>1055191</t>
        </is>
      </c>
      <c r="B747" s="2" t="inlineStr">
        <is>
          <t>98FB3063AA</t>
        </is>
      </c>
      <c r="C747" s="2" t="inlineStr">
        <is>
          <t>BUJE MESETA DELANTERA INFERIOR PEQUEÑO FIESTA .../03</t>
        </is>
      </c>
      <c r="D747" s="2" t="inlineStr">
        <is>
          <t>FORD</t>
        </is>
      </c>
      <c r="E747" s="3" t="n">
        <v>7</v>
      </c>
      <c r="F747" s="4" t="n">
        <v>0.3</v>
      </c>
      <c r="G747" s="5">
        <f>ROUND(E747*(1+F747),2)</f>
        <v>9.10</v>
      </c>
      <c r="H747" s="5">
        <f>ROUND(G747*NOTAS!$B$2,2)</f>
        <v>6564.24</v>
      </c>
      <c r="I747" s="6">
        <f>ROUND(G747*NOTAS!$B$3,0)</f>
        <v>29565</v>
      </c>
      <c r="J747" s="2" t="n">
        <v>6</v>
      </c>
    </row>
    <row r="748">
      <c r="A748" s="2" t="inlineStr"/>
      <c r="B748" s="2" t="inlineStr"/>
      <c r="C748" s="2" t="inlineStr">
        <is>
          <t>BUJE MESETA DELANTERA INFERIOR PEQUEÑO FIESTA 04/13-ECOSPORT</t>
        </is>
      </c>
      <c r="D748" s="2" t="inlineStr">
        <is>
          <t>SANFOR</t>
        </is>
      </c>
      <c r="E748" s="3" t="n">
        <v>2</v>
      </c>
      <c r="F748" s="4" t="n">
        <v>0.3</v>
      </c>
      <c r="G748" s="5">
        <f>ROUND(E748*(1+F748),2)</f>
        <v>2.60</v>
      </c>
      <c r="H748" s="5">
        <f>ROUND(G748*NOTAS!$B$2,2)</f>
        <v>1875.50</v>
      </c>
      <c r="I748" s="6">
        <f>ROUND(G748*NOTAS!$B$3,0)</f>
        <v>8447</v>
      </c>
      <c r="J748" s="2" t="n">
        <v>3</v>
      </c>
    </row>
    <row r="749">
      <c r="A749" s="2" t="inlineStr">
        <is>
          <t>2734</t>
        </is>
      </c>
      <c r="B749" s="2" t="inlineStr"/>
      <c r="C749" s="2" t="inlineStr">
        <is>
          <t>BUJE MESETA DELANTERA INFERIOR PEQUEÑO FIESTA 04/13-ECOSPORT</t>
        </is>
      </c>
      <c r="D749" s="2" t="inlineStr">
        <is>
          <t>SAMPEL</t>
        </is>
      </c>
      <c r="E749" s="3" t="n">
        <v>4</v>
      </c>
      <c r="F749" s="4" t="n">
        <v>0.3</v>
      </c>
      <c r="G749" s="5">
        <f>ROUND(E749*(1+F749),2)</f>
        <v>5.20</v>
      </c>
      <c r="H749" s="5">
        <f>ROUND(G749*NOTAS!$B$2,2)</f>
        <v>3751.00</v>
      </c>
      <c r="I749" s="6">
        <f>ROUND(G749*NOTAS!$B$3,0)</f>
        <v>16894</v>
      </c>
      <c r="J749" s="2" t="n">
        <v>2</v>
      </c>
    </row>
    <row r="750">
      <c r="A750" s="2" t="inlineStr">
        <is>
          <t>940304</t>
        </is>
      </c>
      <c r="B750" s="2" t="inlineStr"/>
      <c r="C750" s="2" t="inlineStr">
        <is>
          <t>BUJE MESETA DELANTERA INFERIOR PEQUEÑO FIESTA 04/13-ECOSPORT</t>
        </is>
      </c>
      <c r="D750" s="2" t="inlineStr">
        <is>
          <t>FORD</t>
        </is>
      </c>
      <c r="E750" s="3" t="n">
        <v>7</v>
      </c>
      <c r="F750" s="4" t="n">
        <v>0.3</v>
      </c>
      <c r="G750" s="5">
        <f>ROUND(E750*(1+F750),2)</f>
        <v>9.10</v>
      </c>
      <c r="H750" s="5">
        <f>ROUND(G750*NOTAS!$B$2,2)</f>
        <v>6564.24</v>
      </c>
      <c r="I750" s="6">
        <f>ROUND(G750*NOTAS!$B$3,0)</f>
        <v>29565</v>
      </c>
      <c r="J750" s="2" t="n">
        <v>1</v>
      </c>
    </row>
    <row r="751">
      <c r="A751" s="2" t="inlineStr">
        <is>
          <t>FI0202</t>
        </is>
      </c>
      <c r="B751" s="2" t="inlineStr"/>
      <c r="C751" s="2" t="inlineStr">
        <is>
          <t>BUJE MESETA DELANTERA INFERIOR PEQUEÑO F-PAL/SIE</t>
        </is>
      </c>
      <c r="D751" s="2" t="inlineStr">
        <is>
          <t>PROSHOCK</t>
        </is>
      </c>
      <c r="E751" s="3" t="n">
        <v>3</v>
      </c>
      <c r="F751" s="4" t="n">
        <v>0.3</v>
      </c>
      <c r="G751" s="5">
        <f>ROUND(E751*(1+F751),2)</f>
        <v>3.90</v>
      </c>
      <c r="H751" s="5">
        <f>ROUND(G751*NOTAS!$B$2,2)</f>
        <v>2813.25</v>
      </c>
      <c r="I751" s="6">
        <f>ROUND(G751*NOTAS!$B$3,0)</f>
        <v>12671</v>
      </c>
      <c r="J751" s="2" t="n">
        <v>1</v>
      </c>
    </row>
    <row r="752">
      <c r="A752" s="2" t="inlineStr">
        <is>
          <t>46421522TG</t>
        </is>
      </c>
      <c r="B752" s="2" t="inlineStr"/>
      <c r="C752" s="2" t="inlineStr">
        <is>
          <t>BUJE MESETA DELANTERA INFERIOR PEQUEÑO F-PAL/SIE</t>
        </is>
      </c>
      <c r="D752" s="2" t="inlineStr">
        <is>
          <t>SANFOR</t>
        </is>
      </c>
      <c r="E752" s="3" t="n">
        <v>3</v>
      </c>
      <c r="F752" s="4" t="n">
        <v>0.3</v>
      </c>
      <c r="G752" s="5">
        <f>ROUND(E752*(1+F752),2)</f>
        <v>3.90</v>
      </c>
      <c r="H752" s="5">
        <f>ROUND(G752*NOTAS!$B$2,2)</f>
        <v>2813.25</v>
      </c>
      <c r="I752" s="6">
        <f>ROUND(G752*NOTAS!$B$3,0)</f>
        <v>12671</v>
      </c>
      <c r="J752" s="2" t="n">
        <v>3</v>
      </c>
    </row>
    <row r="753">
      <c r="A753" s="2" t="inlineStr">
        <is>
          <t>AS-208</t>
        </is>
      </c>
      <c r="B753" s="2" t="inlineStr"/>
      <c r="C753" s="2" t="inlineStr">
        <is>
          <t>BUJE MESETA DELANTERA INFERIOR PEQUEÑO KA</t>
        </is>
      </c>
      <c r="D753" s="2" t="inlineStr">
        <is>
          <t>SUSPEX</t>
        </is>
      </c>
      <c r="E753" s="3" t="n">
        <v>6</v>
      </c>
      <c r="F753" s="4" t="n">
        <v>0.3</v>
      </c>
      <c r="G753" s="5">
        <f>ROUND(E753*(1+F753),2)</f>
        <v>7.80</v>
      </c>
      <c r="H753" s="5">
        <f>ROUND(G753*NOTAS!$B$2,2)</f>
        <v>5626.50</v>
      </c>
      <c r="I753" s="6">
        <f>ROUND(G753*NOTAS!$B$3,0)</f>
        <v>25341</v>
      </c>
      <c r="J753" s="2" t="n">
        <v>4</v>
      </c>
    </row>
    <row r="754">
      <c r="A754" s="2" t="inlineStr">
        <is>
          <t>86595</t>
        </is>
      </c>
      <c r="B754" s="2" t="inlineStr"/>
      <c r="C754" s="2" t="inlineStr">
        <is>
          <t>BUJE MESETA DELANTERA INFERIOR PEQUEÑO KA</t>
        </is>
      </c>
      <c r="D754" s="2" t="inlineStr">
        <is>
          <t>FORD</t>
        </is>
      </c>
      <c r="E754" s="3" t="n">
        <v>8</v>
      </c>
      <c r="F754" s="4" t="n">
        <v>0.3</v>
      </c>
      <c r="G754" s="5">
        <f>ROUND(E754*(1+F754),2)</f>
        <v>10.40</v>
      </c>
      <c r="H754" s="5">
        <f>ROUND(G754*NOTAS!$B$2,2)</f>
        <v>7501.99</v>
      </c>
      <c r="I754" s="6">
        <f>ROUND(G754*NOTAS!$B$3,0)</f>
        <v>33788</v>
      </c>
      <c r="J754" s="2" t="n">
        <v>4</v>
      </c>
    </row>
    <row r="755">
      <c r="A755" s="2" t="inlineStr"/>
      <c r="B755" s="2" t="inlineStr"/>
      <c r="C755" s="2" t="inlineStr">
        <is>
          <t>BUJE MESETA DELANTERA INFERIOR PEQUEÑO OPTRA</t>
        </is>
      </c>
      <c r="D755" s="2" t="inlineStr">
        <is>
          <t>KOREA</t>
        </is>
      </c>
      <c r="E755" s="3" t="n">
        <v>4</v>
      </c>
      <c r="F755" s="4" t="n">
        <v>0.3</v>
      </c>
      <c r="G755" s="5">
        <f>ROUND(E755*(1+F755),2)</f>
        <v>5.20</v>
      </c>
      <c r="H755" s="5">
        <f>ROUND(G755*NOTAS!$B$2,2)</f>
        <v>3751.00</v>
      </c>
      <c r="I755" s="6">
        <f>ROUND(G755*NOTAS!$B$3,0)</f>
        <v>16894</v>
      </c>
      <c r="J755" s="2" t="n">
        <v>5</v>
      </c>
    </row>
    <row r="756">
      <c r="A756" s="2" t="inlineStr"/>
      <c r="B756" s="2" t="inlineStr"/>
      <c r="C756" s="2" t="inlineStr">
        <is>
          <t>BUJE MESETA DELANTERA INFERIOR PEQUEÑO R-5</t>
        </is>
      </c>
      <c r="D756" s="2" t="inlineStr">
        <is>
          <t>SANFOR</t>
        </is>
      </c>
      <c r="E756" s="3" t="n">
        <v>2</v>
      </c>
      <c r="F756" s="4" t="n">
        <v>0.3</v>
      </c>
      <c r="G756" s="5">
        <f>ROUND(E756*(1+F756),2)</f>
        <v>2.60</v>
      </c>
      <c r="H756" s="5">
        <f>ROUND(G756*NOTAS!$B$2,2)</f>
        <v>1875.50</v>
      </c>
      <c r="I756" s="6">
        <f>ROUND(G756*NOTAS!$B$3,0)</f>
        <v>8447</v>
      </c>
      <c r="J756" s="2" t="n">
        <v>1</v>
      </c>
    </row>
    <row r="757">
      <c r="A757" s="2" t="inlineStr">
        <is>
          <t>6240002245</t>
        </is>
      </c>
      <c r="B757" s="2" t="inlineStr"/>
      <c r="C757" s="2" t="inlineStr">
        <is>
          <t>BUJE MESETA DELANTERA INFERIOR R-LOGAN</t>
        </is>
      </c>
      <c r="D757" s="2" t="inlineStr">
        <is>
          <t>RENAULT</t>
        </is>
      </c>
      <c r="E757" s="3" t="n">
        <v>5</v>
      </c>
      <c r="F757" s="4" t="n">
        <v>0.3</v>
      </c>
      <c r="G757" s="5">
        <f>ROUND(E757*(1+F757),2)</f>
        <v>6.50</v>
      </c>
      <c r="H757" s="5">
        <f>ROUND(G757*NOTAS!$B$2,2)</f>
        <v>4688.75</v>
      </c>
      <c r="I757" s="6">
        <f>ROUND(G757*NOTAS!$B$3,0)</f>
        <v>21118</v>
      </c>
      <c r="J757" s="2" t="n">
        <v>15</v>
      </c>
    </row>
    <row r="758">
      <c r="A758" s="2" t="inlineStr"/>
      <c r="B758" s="2" t="inlineStr"/>
      <c r="C758" s="2" t="inlineStr">
        <is>
          <t>BUJE MESETA DELANTERA INFERIOR R-LOGAN</t>
        </is>
      </c>
      <c r="D758" s="2" t="inlineStr">
        <is>
          <t>SANFOR</t>
        </is>
      </c>
      <c r="E758" s="3" t="n">
        <v>3</v>
      </c>
      <c r="F758" s="4" t="n">
        <v>0.3</v>
      </c>
      <c r="G758" s="5">
        <f>ROUND(E758*(1+F758),2)</f>
        <v>3.90</v>
      </c>
      <c r="H758" s="5">
        <f>ROUND(G758*NOTAS!$B$2,2)</f>
        <v>2813.25</v>
      </c>
      <c r="I758" s="6">
        <f>ROUND(G758*NOTAS!$B$3,0)</f>
        <v>12671</v>
      </c>
      <c r="J758" s="2" t="n">
        <v>18</v>
      </c>
    </row>
    <row r="759">
      <c r="A759" s="2" t="inlineStr">
        <is>
          <t>2735</t>
        </is>
      </c>
      <c r="B759" s="2" t="inlineStr"/>
      <c r="C759" s="2" t="inlineStr">
        <is>
          <t>BUJE MESETA DELANTERA INFERIOR TRASERO CON BASE FIESTA 04/13-ECOSPORT</t>
        </is>
      </c>
      <c r="D759" s="2" t="inlineStr">
        <is>
          <t>SAMPEL</t>
        </is>
      </c>
      <c r="E759" s="3" t="n">
        <v>15</v>
      </c>
      <c r="F759" s="4" t="n">
        <v>0.3</v>
      </c>
      <c r="G759" s="5">
        <f>ROUND(E759*(1+F759),2)</f>
        <v>19.50</v>
      </c>
      <c r="H759" s="5">
        <f>ROUND(G759*NOTAS!$B$2,2)</f>
        <v>14066.24</v>
      </c>
      <c r="I759" s="6">
        <f>ROUND(G759*NOTAS!$B$3,0)</f>
        <v>63353</v>
      </c>
      <c r="J759" s="2" t="n">
        <v>13</v>
      </c>
    </row>
    <row r="760">
      <c r="A760" s="2" t="inlineStr"/>
      <c r="B760" s="2" t="inlineStr"/>
      <c r="C760" s="2" t="inlineStr">
        <is>
          <t>BUJE MESETA DELANTERA INFERIOR TRASERO CON BASE FIESTA 04/13-ECOSPORT</t>
        </is>
      </c>
      <c r="D760" s="2" t="inlineStr">
        <is>
          <t>METALCAUCHO</t>
        </is>
      </c>
      <c r="E760" s="3" t="n">
        <v>10</v>
      </c>
      <c r="F760" s="4" t="n">
        <v>0.3</v>
      </c>
      <c r="G760" s="5">
        <f>ROUND(E760*(1+F760),2)</f>
        <v>13.00</v>
      </c>
      <c r="H760" s="5">
        <f>ROUND(G760*NOTAS!$B$2,2)</f>
        <v>9377.49</v>
      </c>
      <c r="I760" s="6">
        <f>ROUND(G760*NOTAS!$B$3,0)</f>
        <v>42235</v>
      </c>
      <c r="J760" s="2" t="n">
        <v>2</v>
      </c>
    </row>
    <row r="761">
      <c r="A761" s="2" t="inlineStr">
        <is>
          <t>2S653062AA-1</t>
        </is>
      </c>
      <c r="B761" s="2" t="inlineStr"/>
      <c r="C761" s="2" t="inlineStr">
        <is>
          <t>BUJE MESETA DELANTERA INFERIOR TRASERO FIESTA 04/13-ECOSPORT</t>
        </is>
      </c>
      <c r="D761" s="2" t="inlineStr">
        <is>
          <t>SANFOR</t>
        </is>
      </c>
      <c r="E761" s="3" t="n">
        <v>5</v>
      </c>
      <c r="F761" s="4" t="n">
        <v>0.3</v>
      </c>
      <c r="G761" s="5">
        <f>ROUND(E761*(1+F761),2)</f>
        <v>6.50</v>
      </c>
      <c r="H761" s="5">
        <f>ROUND(G761*NOTAS!$B$2,2)</f>
        <v>4688.75</v>
      </c>
      <c r="I761" s="6">
        <f>ROUND(G761*NOTAS!$B$3,0)</f>
        <v>21118</v>
      </c>
      <c r="J761" s="2" t="n">
        <v>4</v>
      </c>
    </row>
    <row r="762">
      <c r="A762" s="2" t="inlineStr">
        <is>
          <t>1324</t>
        </is>
      </c>
      <c r="B762" s="2" t="inlineStr"/>
      <c r="C762" s="2" t="inlineStr">
        <is>
          <t>BUJE MESETA DELANTERA INFERIOR TRASERO IZQ F-PAL/SIE</t>
        </is>
      </c>
      <c r="D762" s="2" t="inlineStr">
        <is>
          <t>SAMPEL</t>
        </is>
      </c>
      <c r="E762" s="3" t="n">
        <v>15</v>
      </c>
      <c r="F762" s="4" t="n">
        <v>0.3</v>
      </c>
      <c r="G762" s="5">
        <f>ROUND(E762*(1+F762),2)</f>
        <v>19.50</v>
      </c>
      <c r="H762" s="5">
        <f>ROUND(G762*NOTAS!$B$2,2)</f>
        <v>14066.24</v>
      </c>
      <c r="I762" s="6">
        <f>ROUND(G762*NOTAS!$B$3,0)</f>
        <v>63353</v>
      </c>
      <c r="J762" s="2" t="n">
        <v>1</v>
      </c>
    </row>
    <row r="763">
      <c r="A763" s="2" t="inlineStr">
        <is>
          <t>90235040</t>
        </is>
      </c>
      <c r="B763" s="2" t="inlineStr"/>
      <c r="C763" s="2" t="inlineStr">
        <is>
          <t>BUJE MESETA DELANTERA INFERIOR TRASERO PUNO CIELO/LANOS</t>
        </is>
      </c>
      <c r="D763" s="2" t="inlineStr">
        <is>
          <t>KOREA</t>
        </is>
      </c>
      <c r="E763" s="3" t="n">
        <v>3</v>
      </c>
      <c r="F763" s="4" t="n">
        <v>0.3</v>
      </c>
      <c r="G763" s="5">
        <f>ROUND(E763*(1+F763),2)</f>
        <v>3.90</v>
      </c>
      <c r="H763" s="5">
        <f>ROUND(G763*NOTAS!$B$2,2)</f>
        <v>2813.25</v>
      </c>
      <c r="I763" s="6">
        <f>ROUND(G763*NOTAS!$B$3,0)</f>
        <v>12671</v>
      </c>
      <c r="J763" s="2" t="n">
        <v>20</v>
      </c>
    </row>
    <row r="764">
      <c r="A764" s="2" t="inlineStr"/>
      <c r="B764" s="2" t="inlineStr"/>
      <c r="C764" s="2" t="inlineStr">
        <is>
          <t>BUJE MESETA DELANTERA SUPERIOR CHEVETTE</t>
        </is>
      </c>
      <c r="D764" s="2" t="inlineStr">
        <is>
          <t>EUROBRAS</t>
        </is>
      </c>
      <c r="E764" s="3" t="n">
        <v>3</v>
      </c>
      <c r="F764" s="4" t="n">
        <v>0.3</v>
      </c>
      <c r="G764" s="5">
        <f>ROUND(E764*(1+F764),2)</f>
        <v>3.90</v>
      </c>
      <c r="H764" s="5">
        <f>ROUND(G764*NOTAS!$B$2,2)</f>
        <v>2813.25</v>
      </c>
      <c r="I764" s="6">
        <f>ROUND(G764*NOTAS!$B$3,0)</f>
        <v>12671</v>
      </c>
      <c r="J764" s="2" t="n">
        <v>2</v>
      </c>
    </row>
    <row r="765">
      <c r="A765" s="2" t="inlineStr"/>
      <c r="B765" s="2" t="inlineStr"/>
      <c r="C765" s="2" t="inlineStr">
        <is>
          <t>BUJE MESETA DELANTERA SUPERIOR CHEVETTE</t>
        </is>
      </c>
      <c r="D765" s="2" t="inlineStr">
        <is>
          <t>SANFOR</t>
        </is>
      </c>
      <c r="E765" s="3" t="n">
        <v>3</v>
      </c>
      <c r="F765" s="4" t="n">
        <v>0.3</v>
      </c>
      <c r="G765" s="5">
        <f>ROUND(E765*(1+F765),2)</f>
        <v>3.90</v>
      </c>
      <c r="H765" s="5">
        <f>ROUND(G765*NOTAS!$B$2,2)</f>
        <v>2813.25</v>
      </c>
      <c r="I765" s="6">
        <f>ROUND(G765*NOTAS!$B$3,0)</f>
        <v>12671</v>
      </c>
      <c r="J765" s="2" t="n">
        <v>4</v>
      </c>
    </row>
    <row r="766">
      <c r="A766" s="2" t="inlineStr"/>
      <c r="B766" s="2" t="inlineStr"/>
      <c r="C766" s="2" t="inlineStr">
        <is>
          <t>BUJE MESETA DELANTERA SUPERIOR CORCEL</t>
        </is>
      </c>
      <c r="D766" s="2" t="inlineStr">
        <is>
          <t>SANFOR</t>
        </is>
      </c>
      <c r="E766" s="3" t="n">
        <v>2</v>
      </c>
      <c r="F766" s="4" t="n">
        <v>0.3</v>
      </c>
      <c r="G766" s="5">
        <f>ROUND(E766*(1+F766),2)</f>
        <v>2.60</v>
      </c>
      <c r="H766" s="5">
        <f>ROUND(G766*NOTAS!$B$2,2)</f>
        <v>1875.50</v>
      </c>
      <c r="I766" s="6">
        <f>ROUND(G766*NOTAS!$B$3,0)</f>
        <v>8447</v>
      </c>
      <c r="J766" s="2" t="n">
        <v>11</v>
      </c>
    </row>
    <row r="767">
      <c r="A767" s="2" t="inlineStr">
        <is>
          <t>K6176</t>
        </is>
      </c>
      <c r="B767" s="2" t="inlineStr"/>
      <c r="C767" s="2" t="inlineStr">
        <is>
          <t>BUJE MESETA DELANTERA SUPERIOR MALIBU BLAZER 4X2 95/05</t>
        </is>
      </c>
      <c r="D767" s="2" t="inlineStr">
        <is>
          <t>MOOG</t>
        </is>
      </c>
      <c r="E767" s="3" t="n">
        <v>9</v>
      </c>
      <c r="F767" s="4" t="n">
        <v>0.3</v>
      </c>
      <c r="G767" s="5">
        <f>ROUND(E767*(1+F767),2)</f>
        <v>11.70</v>
      </c>
      <c r="H767" s="5">
        <f>ROUND(G767*NOTAS!$B$2,2)</f>
        <v>8439.74</v>
      </c>
      <c r="I767" s="6">
        <f>ROUND(G767*NOTAS!$B$3,0)</f>
        <v>38012</v>
      </c>
      <c r="J767" s="2" t="n">
        <v>2</v>
      </c>
    </row>
    <row r="768">
      <c r="A768" s="2" t="inlineStr"/>
      <c r="B768" s="2" t="inlineStr"/>
      <c r="C768" s="2" t="inlineStr">
        <is>
          <t>BUJE MESETA DELANTERA SUPERIOR R-12</t>
        </is>
      </c>
      <c r="D768" s="2" t="inlineStr">
        <is>
          <t>SANFOR</t>
        </is>
      </c>
      <c r="E768" s="3" t="n">
        <v>2</v>
      </c>
      <c r="F768" s="4" t="n">
        <v>0.3</v>
      </c>
      <c r="G768" s="5">
        <f>ROUND(E768*(1+F768),2)</f>
        <v>2.60</v>
      </c>
      <c r="H768" s="5">
        <f>ROUND(G768*NOTAS!$B$2,2)</f>
        <v>1875.50</v>
      </c>
      <c r="I768" s="6">
        <f>ROUND(G768*NOTAS!$B$3,0)</f>
        <v>8447</v>
      </c>
      <c r="J768" s="2" t="n">
        <v>4</v>
      </c>
    </row>
    <row r="769">
      <c r="A769" s="2" t="inlineStr">
        <is>
          <t>2260</t>
        </is>
      </c>
      <c r="B769" s="2" t="inlineStr"/>
      <c r="C769" s="2" t="inlineStr">
        <is>
          <t>BUJE MESETA DELANTERA SUPERIOR R-5</t>
        </is>
      </c>
      <c r="D769" s="2" t="inlineStr">
        <is>
          <t>IMPERGOM</t>
        </is>
      </c>
      <c r="E769" s="3" t="n">
        <v>2</v>
      </c>
      <c r="F769" s="4" t="n">
        <v>0.3</v>
      </c>
      <c r="G769" s="5">
        <f>ROUND(E769*(1+F769),2)</f>
        <v>2.60</v>
      </c>
      <c r="H769" s="5">
        <f>ROUND(G769*NOTAS!$B$2,2)</f>
        <v>1875.50</v>
      </c>
      <c r="I769" s="6">
        <f>ROUND(G769*NOTAS!$B$3,0)</f>
        <v>8447</v>
      </c>
      <c r="J769" s="2" t="n">
        <v>2</v>
      </c>
    </row>
    <row r="770">
      <c r="A770" s="2" t="inlineStr">
        <is>
          <t>2568</t>
        </is>
      </c>
      <c r="B770" s="2" t="inlineStr"/>
      <c r="C770" s="2" t="inlineStr">
        <is>
          <t>BUJE MESETA TRASERA CENTRAL CORCEL</t>
        </is>
      </c>
      <c r="D770" s="2" t="inlineStr">
        <is>
          <t>SAMPEL</t>
        </is>
      </c>
      <c r="E770" s="3" t="n">
        <v>3</v>
      </c>
      <c r="F770" s="4" t="n">
        <v>0.3</v>
      </c>
      <c r="G770" s="5">
        <f>ROUND(E770*(1+F770),2)</f>
        <v>3.90</v>
      </c>
      <c r="H770" s="5">
        <f>ROUND(G770*NOTAS!$B$2,2)</f>
        <v>2813.25</v>
      </c>
      <c r="I770" s="6">
        <f>ROUND(G770*NOTAS!$B$3,0)</f>
        <v>12671</v>
      </c>
      <c r="J770" s="2" t="n">
        <v>6</v>
      </c>
    </row>
    <row r="771">
      <c r="A771" s="2" t="inlineStr">
        <is>
          <t>1002A</t>
        </is>
      </c>
      <c r="B771" s="2" t="inlineStr">
        <is>
          <t>7507423</t>
        </is>
      </c>
      <c r="C771" s="2" t="inlineStr">
        <is>
          <t>BUJE MESETA TRASERA F-147/SPAZIO</t>
        </is>
      </c>
      <c r="D771" s="2" t="inlineStr">
        <is>
          <t>SAMPEL</t>
        </is>
      </c>
      <c r="E771" s="3" t="n">
        <v>2</v>
      </c>
      <c r="F771" s="4" t="n">
        <v>0.3</v>
      </c>
      <c r="G771" s="5">
        <f>ROUND(E771*(1+F771),2)</f>
        <v>2.60</v>
      </c>
      <c r="H771" s="5">
        <f>ROUND(G771*NOTAS!$B$2,2)</f>
        <v>1875.50</v>
      </c>
      <c r="I771" s="6">
        <f>ROUND(G771*NOTAS!$B$3,0)</f>
        <v>8447</v>
      </c>
      <c r="J771" s="2" t="n">
        <v>40</v>
      </c>
    </row>
    <row r="772">
      <c r="A772" s="2" t="inlineStr">
        <is>
          <t>2040</t>
        </is>
      </c>
      <c r="B772" s="2" t="inlineStr"/>
      <c r="C772" s="2" t="inlineStr">
        <is>
          <t>BUJE MESETA TRASERA F-REGATA/RITMO</t>
        </is>
      </c>
      <c r="D772" s="2" t="inlineStr">
        <is>
          <t>ORIGINAL BIRTH</t>
        </is>
      </c>
      <c r="E772" s="3" t="n">
        <v>2</v>
      </c>
      <c r="F772" s="4" t="n">
        <v>0.3</v>
      </c>
      <c r="G772" s="5">
        <f>ROUND(E772*(1+F772),2)</f>
        <v>2.60</v>
      </c>
      <c r="H772" s="5">
        <f>ROUND(G772*NOTAS!$B$2,2)</f>
        <v>1875.50</v>
      </c>
      <c r="I772" s="6">
        <f>ROUND(G772*NOTAS!$B$3,0)</f>
        <v>8447</v>
      </c>
      <c r="J772" s="2" t="n">
        <v>28</v>
      </c>
    </row>
    <row r="773">
      <c r="A773" s="2" t="inlineStr"/>
      <c r="B773" s="2" t="inlineStr"/>
      <c r="C773" s="2" t="inlineStr">
        <is>
          <t>BUJE MESETA TRASERO R-18/FUEGO</t>
        </is>
      </c>
      <c r="D773" s="2" t="inlineStr">
        <is>
          <t>SANFOR</t>
        </is>
      </c>
      <c r="E773" s="3" t="n">
        <v>2</v>
      </c>
      <c r="F773" s="4" t="n">
        <v>0.3</v>
      </c>
      <c r="G773" s="5">
        <f>ROUND(E773*(1+F773),2)</f>
        <v>2.60</v>
      </c>
      <c r="H773" s="5">
        <f>ROUND(G773*NOTAS!$B$2,2)</f>
        <v>1875.50</v>
      </c>
      <c r="I773" s="6">
        <f>ROUND(G773*NOTAS!$B$3,0)</f>
        <v>8447</v>
      </c>
      <c r="J773" s="2" t="n">
        <v>22</v>
      </c>
    </row>
    <row r="774">
      <c r="A774" s="2" t="inlineStr">
        <is>
          <t>13033</t>
        </is>
      </c>
      <c r="B774" s="2" t="inlineStr"/>
      <c r="C774" s="2" t="inlineStr">
        <is>
          <t>BUJE POLEA CIGUENAL R-12</t>
        </is>
      </c>
      <c r="D774" s="2" t="inlineStr">
        <is>
          <t>SANFOR</t>
        </is>
      </c>
      <c r="E774" s="3" t="n">
        <v>6.1538</v>
      </c>
      <c r="F774" s="4" t="n">
        <v>0.3</v>
      </c>
      <c r="G774" s="5">
        <f>ROUND(E774*(1+F774),2)</f>
        <v>8.00</v>
      </c>
      <c r="H774" s="5">
        <f>ROUND(G774*NOTAS!$B$2,2)</f>
        <v>5770.76</v>
      </c>
      <c r="I774" s="6">
        <f>ROUND(G774*NOTAS!$B$3,0)</f>
        <v>25991</v>
      </c>
      <c r="J774" s="2" t="n">
        <v>1</v>
      </c>
    </row>
    <row r="775">
      <c r="A775" s="2" t="inlineStr">
        <is>
          <t>96322393</t>
        </is>
      </c>
      <c r="B775" s="2" t="inlineStr"/>
      <c r="C775" s="2" t="inlineStr">
        <is>
          <t>BUJE PUENTE TRASERO CIELO/RACER</t>
        </is>
      </c>
      <c r="D775" s="2" t="inlineStr">
        <is>
          <t>GM</t>
        </is>
      </c>
      <c r="E775" s="3" t="n">
        <v>2</v>
      </c>
      <c r="F775" s="4" t="n">
        <v>0.3</v>
      </c>
      <c r="G775" s="5">
        <f>ROUND(E775*(1+F775),2)</f>
        <v>2.60</v>
      </c>
      <c r="H775" s="5">
        <f>ROUND(G775*NOTAS!$B$2,2)</f>
        <v>1875.50</v>
      </c>
      <c r="I775" s="6">
        <f>ROUND(G775*NOTAS!$B$3,0)</f>
        <v>8447</v>
      </c>
      <c r="J775" s="2" t="n">
        <v>1</v>
      </c>
    </row>
    <row r="776">
      <c r="A776" s="2" t="inlineStr">
        <is>
          <t>925081</t>
        </is>
      </c>
      <c r="B776" s="2" t="inlineStr">
        <is>
          <t>2S655K653BB</t>
        </is>
      </c>
      <c r="C776" s="2" t="inlineStr">
        <is>
          <t>BUJE PUENTE TRASERO FIESTA 04/13-ECOSPORT</t>
        </is>
      </c>
      <c r="D776" s="2" t="inlineStr">
        <is>
          <t>FORD</t>
        </is>
      </c>
      <c r="E776" s="3" t="n">
        <v>15</v>
      </c>
      <c r="F776" s="4" t="n">
        <v>0.3</v>
      </c>
      <c r="G776" s="5">
        <f>ROUND(E776*(1+F776),2)</f>
        <v>19.50</v>
      </c>
      <c r="H776" s="5">
        <f>ROUND(G776*NOTAS!$B$2,2)</f>
        <v>14066.24</v>
      </c>
      <c r="I776" s="6">
        <f>ROUND(G776*NOTAS!$B$3,0)</f>
        <v>63353</v>
      </c>
      <c r="J776" s="2" t="n">
        <v>4</v>
      </c>
    </row>
    <row r="777">
      <c r="A777" s="2" t="inlineStr">
        <is>
          <t>2733</t>
        </is>
      </c>
      <c r="B777" s="2" t="inlineStr"/>
      <c r="C777" s="2" t="inlineStr">
        <is>
          <t>BUJE PUENTE TRASERO FIESTA 04/13-ECOSPORT</t>
        </is>
      </c>
      <c r="D777" s="2" t="inlineStr">
        <is>
          <t>SAMPEL</t>
        </is>
      </c>
      <c r="E777" s="3" t="n">
        <v>10</v>
      </c>
      <c r="F777" s="4" t="n">
        <v>0.3</v>
      </c>
      <c r="G777" s="5">
        <f>ROUND(E777*(1+F777),2)</f>
        <v>13.00</v>
      </c>
      <c r="H777" s="5">
        <f>ROUND(G777*NOTAS!$B$2,2)</f>
        <v>9377.49</v>
      </c>
      <c r="I777" s="6">
        <f>ROUND(G777*NOTAS!$B$3,0)</f>
        <v>42235</v>
      </c>
      <c r="J777" s="2" t="n">
        <v>14</v>
      </c>
    </row>
    <row r="778">
      <c r="A778" s="2" t="inlineStr"/>
      <c r="B778" s="2" t="inlineStr"/>
      <c r="C778" s="2" t="inlineStr">
        <is>
          <t>BUJE PUNTA BRAZO MUNON SPARK/MATIZ</t>
        </is>
      </c>
      <c r="D778" s="2" t="inlineStr">
        <is>
          <t>PARTS-MALL</t>
        </is>
      </c>
      <c r="E778" s="3" t="n">
        <v>1.8</v>
      </c>
      <c r="F778" s="4" t="n">
        <v>0.3</v>
      </c>
      <c r="G778" s="5">
        <f>ROUND(E778*(1+F778),2)</f>
        <v>2.34</v>
      </c>
      <c r="H778" s="5">
        <f>ROUND(G778*NOTAS!$B$2,2)</f>
        <v>1687.95</v>
      </c>
      <c r="I778" s="6">
        <f>ROUND(G778*NOTAS!$B$3,0)</f>
        <v>7602</v>
      </c>
      <c r="J778" s="2" t="n">
        <v>8</v>
      </c>
    </row>
    <row r="779">
      <c r="A779" s="2" t="inlineStr">
        <is>
          <t>93294977</t>
        </is>
      </c>
      <c r="B779" s="2" t="inlineStr"/>
      <c r="C779" s="2" t="inlineStr">
        <is>
          <t>BUJE SELECTOR PALANCA CAMBIO CORSA</t>
        </is>
      </c>
      <c r="D779" s="2" t="inlineStr">
        <is>
          <t>GM</t>
        </is>
      </c>
      <c r="E779" s="3" t="n">
        <v>10</v>
      </c>
      <c r="F779" s="4" t="n">
        <v>0.3</v>
      </c>
      <c r="G779" s="5">
        <f>ROUND(E779*(1+F779),2)</f>
        <v>13.00</v>
      </c>
      <c r="H779" s="5">
        <f>ROUND(G779*NOTAS!$B$2,2)</f>
        <v>9377.49</v>
      </c>
      <c r="I779" s="6">
        <f>ROUND(G779*NOTAS!$B$3,0)</f>
        <v>42235</v>
      </c>
      <c r="J779" s="2" t="n">
        <v>2</v>
      </c>
    </row>
    <row r="780">
      <c r="A780" s="2" t="inlineStr"/>
      <c r="B780" s="2" t="inlineStr"/>
      <c r="C780" s="2" t="inlineStr">
        <is>
          <t>BUJE T AMORTIGUADOR CORCEL/R-12</t>
        </is>
      </c>
      <c r="D780" s="2" t="inlineStr">
        <is>
          <t>SAMPEL</t>
        </is>
      </c>
      <c r="E780" s="3" t="n">
        <v>4</v>
      </c>
      <c r="F780" s="4" t="n">
        <v>0.3</v>
      </c>
      <c r="G780" s="5">
        <f>ROUND(E780*(1+F780),2)</f>
        <v>5.20</v>
      </c>
      <c r="H780" s="5">
        <f>ROUND(G780*NOTAS!$B$2,2)</f>
        <v>3751.00</v>
      </c>
      <c r="I780" s="6">
        <f>ROUND(G780*NOTAS!$B$3,0)</f>
        <v>16894</v>
      </c>
      <c r="J780" s="2" t="n">
        <v>1</v>
      </c>
    </row>
    <row r="781">
      <c r="A781" s="2" t="inlineStr">
        <is>
          <t>69470</t>
        </is>
      </c>
      <c r="B781" s="2" t="inlineStr"/>
      <c r="C781" s="2" t="inlineStr">
        <is>
          <t>BUJE T AMORTIGUADOR CORCEL/R-12</t>
        </is>
      </c>
      <c r="D781" s="2" t="inlineStr">
        <is>
          <t>SANFOR</t>
        </is>
      </c>
      <c r="E781" s="3" t="n">
        <v>2.79</v>
      </c>
      <c r="F781" s="4" t="n">
        <v>0.3</v>
      </c>
      <c r="G781" s="5">
        <f>ROUND(E781*(1+F781),2)</f>
        <v>3.63</v>
      </c>
      <c r="H781" s="5">
        <f>ROUND(G781*NOTAS!$B$2,2)</f>
        <v>2618.48</v>
      </c>
      <c r="I781" s="6">
        <f>ROUND(G781*NOTAS!$B$3,0)</f>
        <v>11793</v>
      </c>
      <c r="J781" s="2" t="n">
        <v>8</v>
      </c>
    </row>
    <row r="782">
      <c r="A782" s="2" t="inlineStr">
        <is>
          <t>60016</t>
        </is>
      </c>
      <c r="B782" s="2" t="inlineStr"/>
      <c r="C782" s="2" t="inlineStr">
        <is>
          <t>BUJE TERMINAL DIRECCION R-12</t>
        </is>
      </c>
      <c r="D782" s="2" t="inlineStr">
        <is>
          <t>SANFOR</t>
        </is>
      </c>
      <c r="E782" s="3" t="n">
        <v>1</v>
      </c>
      <c r="F782" s="4" t="n">
        <v>0.3</v>
      </c>
      <c r="G782" s="5">
        <f>ROUND(E782*(1+F782),2)</f>
        <v>1.30</v>
      </c>
      <c r="H782" s="5">
        <f>ROUND(G782*NOTAS!$B$2,2)</f>
        <v>937.75</v>
      </c>
      <c r="I782" s="6">
        <f>ROUND(G782*NOTAS!$B$3,0)</f>
        <v>4224</v>
      </c>
      <c r="J782" s="2" t="n">
        <v>8</v>
      </c>
    </row>
    <row r="783">
      <c r="A783" s="2" t="inlineStr">
        <is>
          <t>90442265</t>
        </is>
      </c>
      <c r="B783" s="2" t="inlineStr"/>
      <c r="C783" s="2" t="inlineStr">
        <is>
          <t>BUJE VARILLAJE CORSA</t>
        </is>
      </c>
      <c r="D783" s="2" t="inlineStr">
        <is>
          <t>GM</t>
        </is>
      </c>
      <c r="E783" s="3" t="n">
        <v>2</v>
      </c>
      <c r="F783" s="4" t="n">
        <v>0.3</v>
      </c>
      <c r="G783" s="5">
        <f>ROUND(E783*(1+F783),2)</f>
        <v>2.60</v>
      </c>
      <c r="H783" s="5">
        <f>ROUND(G783*NOTAS!$B$2,2)</f>
        <v>1875.50</v>
      </c>
      <c r="I783" s="6">
        <f>ROUND(G783*NOTAS!$B$3,0)</f>
        <v>8447</v>
      </c>
      <c r="J783" s="2" t="n">
        <v>1</v>
      </c>
    </row>
    <row r="784">
      <c r="A784" s="2" t="inlineStr">
        <is>
          <t>9303104</t>
        </is>
      </c>
      <c r="B784" s="2" t="inlineStr">
        <is>
          <t>110399</t>
        </is>
      </c>
      <c r="C784" s="2" t="inlineStr">
        <is>
          <t>BUJE VOLANTE BRONCE CHEVETTE</t>
        </is>
      </c>
      <c r="D784" s="2" t="inlineStr">
        <is>
          <t>BRAZIL</t>
        </is>
      </c>
      <c r="E784" s="3" t="n">
        <v>1</v>
      </c>
      <c r="F784" s="4" t="n">
        <v>0.3</v>
      </c>
      <c r="G784" s="5">
        <f>ROUND(E784*(1+F784),2)</f>
        <v>1.30</v>
      </c>
      <c r="H784" s="5">
        <f>ROUND(G784*NOTAS!$B$2,2)</f>
        <v>937.75</v>
      </c>
      <c r="I784" s="6">
        <f>ROUND(G784*NOTAS!$B$3,0)</f>
        <v>4224</v>
      </c>
      <c r="J784" s="2" t="n">
        <v>44</v>
      </c>
    </row>
    <row r="785">
      <c r="A785" s="2" t="inlineStr">
        <is>
          <t>V12YV</t>
        </is>
      </c>
      <c r="B785" s="2" t="inlineStr"/>
      <c r="C785" s="2" t="inlineStr">
        <is>
          <t>BUJIA</t>
        </is>
      </c>
      <c r="D785" s="2" t="inlineStr">
        <is>
          <t>CHAMPION</t>
        </is>
      </c>
      <c r="E785" s="3" t="n">
        <v>4.6154</v>
      </c>
      <c r="F785" s="4" t="n">
        <v>0.3</v>
      </c>
      <c r="G785" s="5">
        <f>ROUND(E785*(1+F785),2)</f>
        <v>6.00</v>
      </c>
      <c r="H785" s="5">
        <f>ROUND(G785*NOTAS!$B$2,2)</f>
        <v>4328.07</v>
      </c>
      <c r="I785" s="6">
        <f>ROUND(G785*NOTAS!$B$3,0)</f>
        <v>19493</v>
      </c>
      <c r="J785" s="2" t="n">
        <v>3</v>
      </c>
    </row>
    <row r="786">
      <c r="A786" s="2" t="inlineStr">
        <is>
          <t>BL13Y</t>
        </is>
      </c>
      <c r="B786" s="2" t="inlineStr"/>
      <c r="C786" s="2" t="inlineStr">
        <is>
          <t>BUJIA</t>
        </is>
      </c>
      <c r="D786" s="2" t="inlineStr">
        <is>
          <t>CHAMPION</t>
        </is>
      </c>
      <c r="E786" s="3" t="n">
        <v>4.6154</v>
      </c>
      <c r="F786" s="4" t="n">
        <v>0.3</v>
      </c>
      <c r="G786" s="5">
        <f>ROUND(E786*(1+F786),2)</f>
        <v>6.00</v>
      </c>
      <c r="H786" s="5">
        <f>ROUND(G786*NOTAS!$B$2,2)</f>
        <v>4328.07</v>
      </c>
      <c r="I786" s="6">
        <f>ROUND(G786*NOTAS!$B$3,0)</f>
        <v>19493</v>
      </c>
      <c r="J786" s="2" t="n">
        <v>3</v>
      </c>
    </row>
    <row r="787">
      <c r="A787" s="2" t="inlineStr">
        <is>
          <t>BKR6E-11</t>
        </is>
      </c>
      <c r="B787" s="2" t="inlineStr"/>
      <c r="C787" s="2" t="inlineStr">
        <is>
          <t>BUJIA AVEO/OPTRA/R-19/SYMBOL/LOGAN</t>
        </is>
      </c>
      <c r="D787" s="2" t="inlineStr">
        <is>
          <t>NGK</t>
        </is>
      </c>
      <c r="E787" s="3" t="n">
        <v>2.17</v>
      </c>
      <c r="F787" s="4" t="n">
        <v>0.3</v>
      </c>
      <c r="G787" s="5">
        <f>ROUND(E787*(1+F787),2)</f>
        <v>2.82</v>
      </c>
      <c r="H787" s="5">
        <f>ROUND(G787*NOTAS!$B$2,2)</f>
        <v>2034.19</v>
      </c>
      <c r="I787" s="6">
        <f>ROUND(G787*NOTAS!$B$3,0)</f>
        <v>9162</v>
      </c>
      <c r="J787" s="2" t="n">
        <v>1</v>
      </c>
    </row>
    <row r="788">
      <c r="A788" s="2" t="inlineStr">
        <is>
          <t>MFR2LS</t>
        </is>
      </c>
      <c r="B788" s="2" t="inlineStr">
        <is>
          <t>89063274</t>
        </is>
      </c>
      <c r="C788" s="2" t="inlineStr">
        <is>
          <t>BUJIA AVEO/OPTRA/R-19/SYMBOL/LOGAN</t>
        </is>
      </c>
      <c r="D788" s="2" t="inlineStr">
        <is>
          <t>ACDELCO</t>
        </is>
      </c>
      <c r="E788" s="3" t="n">
        <v>1.5</v>
      </c>
      <c r="F788" s="4" t="n">
        <v>0.3</v>
      </c>
      <c r="G788" s="5">
        <f>ROUND(E788*(1+F788),2)</f>
        <v>1.95</v>
      </c>
      <c r="H788" s="5">
        <f>ROUND(G788*NOTAS!$B$2,2)</f>
        <v>1406.62</v>
      </c>
      <c r="I788" s="6">
        <f>ROUND(G788*NOTAS!$B$3,0)</f>
        <v>6335</v>
      </c>
      <c r="J788" s="2" t="n">
        <v>235</v>
      </c>
    </row>
    <row r="789">
      <c r="A789" s="2" t="inlineStr">
        <is>
          <t>FR2LS</t>
        </is>
      </c>
      <c r="B789" s="2" t="inlineStr"/>
      <c r="C789" s="2" t="inlineStr">
        <is>
          <t>BUJIA AVEO/OPTRA/R-19/SYMBOL/LOGAN</t>
        </is>
      </c>
      <c r="D789" s="2" t="inlineStr">
        <is>
          <t>ACDELCO</t>
        </is>
      </c>
      <c r="E789" s="3" t="n">
        <v>1.5</v>
      </c>
      <c r="F789" s="4" t="n">
        <v>0.3</v>
      </c>
      <c r="G789" s="5">
        <f>ROUND(E789*(1+F789),2)</f>
        <v>1.95</v>
      </c>
      <c r="H789" s="5">
        <f>ROUND(G789*NOTAS!$B$2,2)</f>
        <v>1406.62</v>
      </c>
      <c r="I789" s="6">
        <f>ROUND(G789*NOTAS!$B$3,0)</f>
        <v>6335</v>
      </c>
      <c r="J789" s="2" t="n">
        <v>10</v>
      </c>
    </row>
    <row r="790">
      <c r="A790" s="2" t="inlineStr">
        <is>
          <t>K20PR-U11</t>
        </is>
      </c>
      <c r="B790" s="2" t="inlineStr"/>
      <c r="C790" s="2" t="inlineStr">
        <is>
          <t>BUJIA AVEO/OPTRA/R-19/SYMBOL/LOGAN</t>
        </is>
      </c>
      <c r="D790" s="2" t="inlineStr">
        <is>
          <t>DENSO</t>
        </is>
      </c>
      <c r="E790" s="3" t="n">
        <v>1.5</v>
      </c>
      <c r="F790" s="4" t="n">
        <v>0.3</v>
      </c>
      <c r="G790" s="5">
        <f>ROUND(E790*(1+F790),2)</f>
        <v>1.95</v>
      </c>
      <c r="H790" s="5">
        <f>ROUND(G790*NOTAS!$B$2,2)</f>
        <v>1406.62</v>
      </c>
      <c r="I790" s="6">
        <f>ROUND(G790*NOTAS!$B$3,0)</f>
        <v>6335</v>
      </c>
      <c r="J790" s="2" t="n">
        <v>14</v>
      </c>
    </row>
    <row r="791">
      <c r="A791" s="2" t="inlineStr">
        <is>
          <t>K16PR-U11</t>
        </is>
      </c>
      <c r="B791" s="2" t="inlineStr"/>
      <c r="C791" s="2" t="inlineStr">
        <is>
          <t>BUJIA AVEO/OPTRA/R-19/SYMBOL/LOGAN</t>
        </is>
      </c>
      <c r="D791" s="2" t="inlineStr">
        <is>
          <t>DENSO</t>
        </is>
      </c>
      <c r="E791" s="3" t="n">
        <v>0.91</v>
      </c>
      <c r="F791" s="4" t="n">
        <v>0.3</v>
      </c>
      <c r="G791" s="5">
        <f>ROUND(E791*(1+F791),2)</f>
        <v>1.18</v>
      </c>
      <c r="H791" s="5">
        <f>ROUND(G791*NOTAS!$B$2,2)</f>
        <v>851.19</v>
      </c>
      <c r="I791" s="6">
        <f>ROUND(G791*NOTAS!$B$3,0)</f>
        <v>3834</v>
      </c>
      <c r="J791" s="2" t="n">
        <v>8</v>
      </c>
    </row>
    <row r="792">
      <c r="A792" s="2" t="inlineStr">
        <is>
          <t>BCPR5EY</t>
        </is>
      </c>
      <c r="B792" s="2" t="inlineStr"/>
      <c r="C792" s="2" t="inlineStr">
        <is>
          <t>BUJIA AVEO/OPTRA/R-19/SYMBOL/LOGAN</t>
        </is>
      </c>
      <c r="D792" s="2" t="inlineStr">
        <is>
          <t>NGK</t>
        </is>
      </c>
      <c r="E792" s="3" t="n">
        <v>1.5</v>
      </c>
      <c r="F792" s="4" t="n">
        <v>0.3</v>
      </c>
      <c r="G792" s="5">
        <f>ROUND(E792*(1+F792),2)</f>
        <v>1.95</v>
      </c>
      <c r="H792" s="5">
        <f>ROUND(G792*NOTAS!$B$2,2)</f>
        <v>1406.62</v>
      </c>
      <c r="I792" s="6">
        <f>ROUND(G792*NOTAS!$B$3,0)</f>
        <v>6335</v>
      </c>
      <c r="J792" s="2" t="n">
        <v>1</v>
      </c>
    </row>
    <row r="793">
      <c r="A793" s="2" t="inlineStr">
        <is>
          <t>BKR6EGP</t>
        </is>
      </c>
      <c r="B793" s="2" t="inlineStr"/>
      <c r="C793" s="2" t="inlineStr">
        <is>
          <t>BUJIA AVEO/OPTRA/R-19/SYMBOL/LOGAN</t>
        </is>
      </c>
      <c r="D793" s="2" t="inlineStr">
        <is>
          <t>NGK</t>
        </is>
      </c>
      <c r="E793" s="3" t="n">
        <v>1.37</v>
      </c>
      <c r="F793" s="4" t="n">
        <v>0.3</v>
      </c>
      <c r="G793" s="5">
        <f>ROUND(E793*(1+F793),2)</f>
        <v>1.78</v>
      </c>
      <c r="H793" s="5">
        <f>ROUND(G793*NOTAS!$B$2,2)</f>
        <v>1284.00</v>
      </c>
      <c r="I793" s="6">
        <f>ROUND(G793*NOTAS!$B$3,0)</f>
        <v>5783</v>
      </c>
      <c r="J793" s="2" t="n">
        <v>60</v>
      </c>
    </row>
    <row r="794">
      <c r="A794" s="2" t="inlineStr">
        <is>
          <t>BKR6EGPG</t>
        </is>
      </c>
      <c r="B794" s="2" t="inlineStr"/>
      <c r="C794" s="2" t="inlineStr">
        <is>
          <t>BUJIA AVEO/OPTRA/R-19/SYMBOL/LOGAN IRIDIUM</t>
        </is>
      </c>
      <c r="D794" s="2" t="inlineStr">
        <is>
          <t>NGK</t>
        </is>
      </c>
      <c r="E794" s="3" t="n">
        <v>1.75</v>
      </c>
      <c r="F794" s="4" t="n">
        <v>0.3</v>
      </c>
      <c r="G794" s="5">
        <f>ROUND(E794*(1+F794),2)</f>
        <v>2.28</v>
      </c>
      <c r="H794" s="5">
        <f>ROUND(G794*NOTAS!$B$2,2)</f>
        <v>1644.67</v>
      </c>
      <c r="I794" s="6">
        <f>ROUND(G794*NOTAS!$B$3,0)</f>
        <v>7407</v>
      </c>
      <c r="J794" s="2" t="n">
        <v>44</v>
      </c>
    </row>
    <row r="795">
      <c r="A795" s="2" t="inlineStr">
        <is>
          <t>SK20R11</t>
        </is>
      </c>
      <c r="B795" s="2" t="inlineStr"/>
      <c r="C795" s="2" t="inlineStr">
        <is>
          <t>BUJIA AVEO/OPTRA/R-19/SYMBOL/LOGAN IRIDIUM</t>
        </is>
      </c>
      <c r="D795" s="2" t="inlineStr">
        <is>
          <t>DENSO</t>
        </is>
      </c>
      <c r="E795" s="3" t="n">
        <v>1.5</v>
      </c>
      <c r="F795" s="4" t="n">
        <v>0.3</v>
      </c>
      <c r="G795" s="5">
        <f>ROUND(E795*(1+F795),2)</f>
        <v>1.95</v>
      </c>
      <c r="H795" s="5">
        <f>ROUND(G795*NOTAS!$B$2,2)</f>
        <v>1406.62</v>
      </c>
      <c r="I795" s="6">
        <f>ROUND(G795*NOTAS!$B$3,0)</f>
        <v>6335</v>
      </c>
      <c r="J795" s="2" t="n">
        <v>16</v>
      </c>
    </row>
    <row r="796">
      <c r="A796" s="2" t="inlineStr">
        <is>
          <t>PK16TT</t>
        </is>
      </c>
      <c r="B796" s="2" t="inlineStr"/>
      <c r="C796" s="2" t="inlineStr">
        <is>
          <t>BUJIA AVEO/OPTRA/R-19/SYMBOL/LOGAN PLATINO/IRIDIUM</t>
        </is>
      </c>
      <c r="D796" s="2" t="inlineStr">
        <is>
          <t>DENSO</t>
        </is>
      </c>
      <c r="E796" s="3" t="n">
        <v>3.6</v>
      </c>
      <c r="F796" s="4" t="n">
        <v>0.3</v>
      </c>
      <c r="G796" s="5">
        <f>ROUND(E796*(1+F796),2)</f>
        <v>4.68</v>
      </c>
      <c r="H796" s="5">
        <f>ROUND(G796*NOTAS!$B$2,2)</f>
        <v>3375.90</v>
      </c>
      <c r="I796" s="6">
        <f>ROUND(G796*NOTAS!$B$3,0)</f>
        <v>15205</v>
      </c>
      <c r="J796" s="2" t="n">
        <v>4</v>
      </c>
    </row>
    <row r="797">
      <c r="A797" s="2" t="inlineStr">
        <is>
          <t>RV15YC4</t>
        </is>
      </c>
      <c r="B797" s="2" t="inlineStr"/>
      <c r="C797" s="2" t="inlineStr">
        <is>
          <t>BUJIA BRONCO F150</t>
        </is>
      </c>
      <c r="D797" s="2" t="inlineStr">
        <is>
          <t>CHAMPION</t>
        </is>
      </c>
      <c r="E797" s="3" t="n">
        <v>6.1538</v>
      </c>
      <c r="F797" s="4" t="n">
        <v>0.3</v>
      </c>
      <c r="G797" s="5">
        <f>ROUND(E797*(1+F797),2)</f>
        <v>8.00</v>
      </c>
      <c r="H797" s="5">
        <f>ROUND(G797*NOTAS!$B$2,2)</f>
        <v>5770.76</v>
      </c>
      <c r="I797" s="6">
        <f>ROUND(G797*NOTAS!$B$3,0)</f>
        <v>25991</v>
      </c>
      <c r="J797" s="2" t="n">
        <v>8</v>
      </c>
    </row>
    <row r="798">
      <c r="A798" s="2" t="inlineStr">
        <is>
          <t>BP6FS</t>
        </is>
      </c>
      <c r="B798" s="2" t="inlineStr"/>
      <c r="C798" s="2" t="inlineStr">
        <is>
          <t>BUJIA CHEVETTE</t>
        </is>
      </c>
      <c r="D798" s="2" t="inlineStr">
        <is>
          <t>NGK</t>
        </is>
      </c>
      <c r="E798" s="3" t="n">
        <v>1.5</v>
      </c>
      <c r="F798" s="4" t="n">
        <v>0.3</v>
      </c>
      <c r="G798" s="5">
        <f>ROUND(E798*(1+F798),2)</f>
        <v>1.95</v>
      </c>
      <c r="H798" s="5">
        <f>ROUND(G798*NOTAS!$B$2,2)</f>
        <v>1406.62</v>
      </c>
      <c r="I798" s="6">
        <f>ROUND(G798*NOTAS!$B$3,0)</f>
        <v>6335</v>
      </c>
      <c r="J798" s="2" t="n">
        <v>57</v>
      </c>
    </row>
    <row r="799">
      <c r="A799" s="2" t="inlineStr">
        <is>
          <t>BP5FS</t>
        </is>
      </c>
      <c r="B799" s="2" t="inlineStr"/>
      <c r="C799" s="2" t="inlineStr">
        <is>
          <t>BUJIA CHEVETTE</t>
        </is>
      </c>
      <c r="D799" s="2" t="inlineStr">
        <is>
          <t>NGK</t>
        </is>
      </c>
      <c r="E799" s="3" t="n">
        <v>1.5</v>
      </c>
      <c r="F799" s="4" t="n">
        <v>0.3</v>
      </c>
      <c r="G799" s="5">
        <f>ROUND(E799*(1+F799),2)</f>
        <v>1.95</v>
      </c>
      <c r="H799" s="5">
        <f>ROUND(G799*NOTAS!$B$2,2)</f>
        <v>1406.62</v>
      </c>
      <c r="I799" s="6">
        <f>ROUND(G799*NOTAS!$B$3,0)</f>
        <v>6335</v>
      </c>
      <c r="J799" s="2" t="n">
        <v>60</v>
      </c>
    </row>
    <row r="800">
      <c r="A800" s="2" t="inlineStr">
        <is>
          <t>BL9Y</t>
        </is>
      </c>
      <c r="B800" s="2" t="inlineStr"/>
      <c r="C800" s="2" t="inlineStr">
        <is>
          <t>BUJIA CHEVETTE</t>
        </is>
      </c>
      <c r="D800" s="2" t="inlineStr">
        <is>
          <t>CHAMPION</t>
        </is>
      </c>
      <c r="E800" s="3" t="n">
        <v>3.8462</v>
      </c>
      <c r="F800" s="4" t="n">
        <v>0.3</v>
      </c>
      <c r="G800" s="5">
        <f>ROUND(E800*(1+F800),2)</f>
        <v>5.00</v>
      </c>
      <c r="H800" s="5">
        <f>ROUND(G800*NOTAS!$B$2,2)</f>
        <v>3606.73</v>
      </c>
      <c r="I800" s="6">
        <f>ROUND(G800*NOTAS!$B$3,0)</f>
        <v>16244</v>
      </c>
      <c r="J800" s="2" t="n">
        <v>5</v>
      </c>
    </row>
    <row r="801">
      <c r="A801" s="2" t="inlineStr">
        <is>
          <t>C26R</t>
        </is>
      </c>
      <c r="B801" s="2" t="inlineStr"/>
      <c r="C801" s="2" t="inlineStr">
        <is>
          <t>BUJIA CHEYENNE 8 CILINDRO</t>
        </is>
      </c>
      <c r="D801" s="2" t="inlineStr">
        <is>
          <t>ATLAS</t>
        </is>
      </c>
      <c r="E801" s="3" t="n">
        <v>6.1538</v>
      </c>
      <c r="F801" s="4" t="n">
        <v>0.3</v>
      </c>
      <c r="G801" s="5">
        <f>ROUND(E801*(1+F801),2)</f>
        <v>8.00</v>
      </c>
      <c r="H801" s="5">
        <f>ROUND(G801*NOTAS!$B$2,2)</f>
        <v>5770.76</v>
      </c>
      <c r="I801" s="6">
        <f>ROUND(G801*NOTAS!$B$3,0)</f>
        <v>25991</v>
      </c>
      <c r="J801" s="2" t="n">
        <v>48</v>
      </c>
    </row>
    <row r="802">
      <c r="A802" s="2" t="inlineStr">
        <is>
          <t>BPR6ES</t>
        </is>
      </c>
      <c r="B802" s="2" t="inlineStr"/>
      <c r="C802" s="2" t="inlineStr">
        <is>
          <t>BUJIA CORSA</t>
        </is>
      </c>
      <c r="D802" s="2" t="inlineStr">
        <is>
          <t>NGK</t>
        </is>
      </c>
      <c r="E802" s="3" t="n">
        <v>1.92</v>
      </c>
      <c r="F802" s="4" t="n">
        <v>0.3</v>
      </c>
      <c r="G802" s="5">
        <f>ROUND(E802*(1+F802),2)</f>
        <v>2.50</v>
      </c>
      <c r="H802" s="5">
        <f>ROUND(G802*NOTAS!$B$2,2)</f>
        <v>1803.36</v>
      </c>
      <c r="I802" s="6">
        <f>ROUND(G802*NOTAS!$B$3,0)</f>
        <v>8122</v>
      </c>
      <c r="J802" s="2" t="n">
        <v>209</v>
      </c>
    </row>
    <row r="803">
      <c r="A803" s="2" t="inlineStr">
        <is>
          <t>W20EPR-U</t>
        </is>
      </c>
      <c r="B803" s="2" t="inlineStr"/>
      <c r="C803" s="2" t="inlineStr">
        <is>
          <t>BUJIA CORSA</t>
        </is>
      </c>
      <c r="D803" s="2" t="inlineStr">
        <is>
          <t>DENSO</t>
        </is>
      </c>
      <c r="E803" s="3" t="n">
        <v>1.5</v>
      </c>
      <c r="F803" s="4" t="n">
        <v>0.3</v>
      </c>
      <c r="G803" s="5">
        <f>ROUND(E803*(1+F803),2)</f>
        <v>1.95</v>
      </c>
      <c r="H803" s="5">
        <f>ROUND(G803*NOTAS!$B$2,2)</f>
        <v>1406.62</v>
      </c>
      <c r="I803" s="6">
        <f>ROUND(G803*NOTAS!$B$3,0)</f>
        <v>6335</v>
      </c>
      <c r="J803" s="2" t="n">
        <v>8</v>
      </c>
    </row>
    <row r="804">
      <c r="A804" s="2" t="inlineStr">
        <is>
          <t>BPR6EY</t>
        </is>
      </c>
      <c r="B804" s="2" t="inlineStr"/>
      <c r="C804" s="2" t="inlineStr">
        <is>
          <t>BUJIA CORSA</t>
        </is>
      </c>
      <c r="D804" s="2" t="inlineStr">
        <is>
          <t>NGK</t>
        </is>
      </c>
      <c r="E804" s="3" t="n">
        <v>1.92</v>
      </c>
      <c r="F804" s="4" t="n">
        <v>0.3</v>
      </c>
      <c r="G804" s="5">
        <f>ROUND(E804*(1+F804),2)</f>
        <v>2.50</v>
      </c>
      <c r="H804" s="5">
        <f>ROUND(G804*NOTAS!$B$2,2)</f>
        <v>1803.36</v>
      </c>
      <c r="I804" s="6">
        <f>ROUND(G804*NOTAS!$B$3,0)</f>
        <v>8122</v>
      </c>
      <c r="J804" s="2" t="n">
        <v>92</v>
      </c>
    </row>
    <row r="805">
      <c r="A805" s="2" t="inlineStr">
        <is>
          <t>R42XLS</t>
        </is>
      </c>
      <c r="B805" s="2" t="inlineStr"/>
      <c r="C805" s="2" t="inlineStr">
        <is>
          <t>BUJIA CORSA</t>
        </is>
      </c>
      <c r="D805" s="2" t="inlineStr">
        <is>
          <t>ACDELCO</t>
        </is>
      </c>
      <c r="E805" s="3" t="n">
        <v>1.5</v>
      </c>
      <c r="F805" s="4" t="n">
        <v>0.3</v>
      </c>
      <c r="G805" s="5">
        <f>ROUND(E805*(1+F805),2)</f>
        <v>1.95</v>
      </c>
      <c r="H805" s="5">
        <f>ROUND(G805*NOTAS!$B$2,2)</f>
        <v>1406.62</v>
      </c>
      <c r="I805" s="6">
        <f>ROUND(G805*NOTAS!$B$3,0)</f>
        <v>6335</v>
      </c>
      <c r="J805" s="2" t="n">
        <v>4</v>
      </c>
    </row>
    <row r="806">
      <c r="A806" s="2" t="inlineStr">
        <is>
          <t>MR42XLS</t>
        </is>
      </c>
      <c r="B806" s="2" t="inlineStr"/>
      <c r="C806" s="2" t="inlineStr">
        <is>
          <t>BUJIA CORSA</t>
        </is>
      </c>
      <c r="D806" s="2" t="inlineStr">
        <is>
          <t>ACDELCO</t>
        </is>
      </c>
      <c r="E806" s="3" t="n">
        <v>1.5</v>
      </c>
      <c r="F806" s="4" t="n">
        <v>0.3</v>
      </c>
      <c r="G806" s="5">
        <f>ROUND(E806*(1+F806),2)</f>
        <v>1.95</v>
      </c>
      <c r="H806" s="5">
        <f>ROUND(G806*NOTAS!$B$2,2)</f>
        <v>1406.62</v>
      </c>
      <c r="I806" s="6">
        <f>ROUND(G806*NOTAS!$B$3,0)</f>
        <v>6335</v>
      </c>
      <c r="J806" s="2" t="n">
        <v>210</v>
      </c>
    </row>
    <row r="807">
      <c r="A807" s="2" t="inlineStr">
        <is>
          <t>RN9YC</t>
        </is>
      </c>
      <c r="B807" s="2" t="inlineStr"/>
      <c r="C807" s="2" t="inlineStr">
        <is>
          <t>BUJIA CORSA</t>
        </is>
      </c>
      <c r="D807" s="2" t="inlineStr">
        <is>
          <t>CHAMPION</t>
        </is>
      </c>
      <c r="E807" s="3" t="n">
        <v>1.5</v>
      </c>
      <c r="F807" s="4" t="n">
        <v>0.3</v>
      </c>
      <c r="G807" s="5">
        <f>ROUND(E807*(1+F807),2)</f>
        <v>1.95</v>
      </c>
      <c r="H807" s="5">
        <f>ROUND(G807*NOTAS!$B$2,2)</f>
        <v>1406.62</v>
      </c>
      <c r="I807" s="6">
        <f>ROUND(G807*NOTAS!$B$3,0)</f>
        <v>6335</v>
      </c>
      <c r="J807" s="2" t="n">
        <v>6</v>
      </c>
    </row>
    <row r="808">
      <c r="A808" s="2" t="inlineStr">
        <is>
          <t>2HL</t>
        </is>
      </c>
      <c r="B808" s="2" t="inlineStr"/>
      <c r="C808" s="2" t="inlineStr">
        <is>
          <t>BUJIA CORSA/PALIO 4 ELECTRODOS</t>
        </is>
      </c>
      <c r="D808" s="2" t="inlineStr">
        <is>
          <t>LODGE</t>
        </is>
      </c>
      <c r="E808" s="3" t="n">
        <v>2</v>
      </c>
      <c r="F808" s="4" t="n">
        <v>0.3</v>
      </c>
      <c r="G808" s="5">
        <f>ROUND(E808*(1+F808),2)</f>
        <v>2.60</v>
      </c>
      <c r="H808" s="5">
        <f>ROUND(G808*NOTAS!$B$2,2)</f>
        <v>1875.50</v>
      </c>
      <c r="I808" s="6">
        <f>ROUND(G808*NOTAS!$B$3,0)</f>
        <v>8447</v>
      </c>
      <c r="J808" s="2" t="n">
        <v>10</v>
      </c>
    </row>
    <row r="809">
      <c r="A809" s="2" t="inlineStr">
        <is>
          <t>SP509</t>
        </is>
      </c>
      <c r="B809" s="2" t="inlineStr"/>
      <c r="C809" s="2" t="inlineStr">
        <is>
          <t>BUJIA EXPLORER EDDI BABUER SPORTRAC SUPER  DUTY</t>
        </is>
      </c>
      <c r="D809" s="2" t="inlineStr">
        <is>
          <t>MOTORCRAFT</t>
        </is>
      </c>
      <c r="E809" s="3" t="n">
        <v>1.71</v>
      </c>
      <c r="F809" s="4" t="n">
        <v>0.3</v>
      </c>
      <c r="G809" s="5">
        <f>ROUND(E809*(1+F809),2)</f>
        <v>2.22</v>
      </c>
      <c r="H809" s="5">
        <f>ROUND(G809*NOTAS!$B$2,2)</f>
        <v>1601.39</v>
      </c>
      <c r="I809" s="6">
        <f>ROUND(G809*NOTAS!$B$3,0)</f>
        <v>7212</v>
      </c>
      <c r="J809" s="2" t="n">
        <v>8</v>
      </c>
    </row>
    <row r="810">
      <c r="A810" s="2" t="inlineStr">
        <is>
          <t>SP-500</t>
        </is>
      </c>
      <c r="B810" s="2" t="inlineStr"/>
      <c r="C810" s="2" t="inlineStr">
        <is>
          <t>BUJIA F150 ECOSPORT FOCUS TRITON</t>
        </is>
      </c>
      <c r="D810" s="2" t="inlineStr">
        <is>
          <t>MOTORCRAFT</t>
        </is>
      </c>
      <c r="E810" s="3" t="n">
        <v>8</v>
      </c>
      <c r="F810" s="4" t="n">
        <v>0.3</v>
      </c>
      <c r="G810" s="5">
        <f>ROUND(E810*(1+F810),2)</f>
        <v>10.40</v>
      </c>
      <c r="H810" s="5">
        <f>ROUND(G810*NOTAS!$B$2,2)</f>
        <v>7501.99</v>
      </c>
      <c r="I810" s="6">
        <f>ROUND(G810*NOTAS!$B$3,0)</f>
        <v>33788</v>
      </c>
      <c r="J810" s="2" t="n">
        <v>104</v>
      </c>
    </row>
    <row r="811">
      <c r="A811" s="2" t="inlineStr">
        <is>
          <t>SP-402</t>
        </is>
      </c>
      <c r="B811" s="2" t="inlineStr"/>
      <c r="C811" s="2" t="inlineStr">
        <is>
          <t>BUJIA FESTIVA</t>
        </is>
      </c>
      <c r="D811" s="2" t="inlineStr">
        <is>
          <t>MOTORCRAFT</t>
        </is>
      </c>
      <c r="E811" s="3" t="n">
        <v>2</v>
      </c>
      <c r="F811" s="4" t="n">
        <v>0.3</v>
      </c>
      <c r="G811" s="5">
        <f>ROUND(E811*(1+F811),2)</f>
        <v>2.60</v>
      </c>
      <c r="H811" s="5">
        <f>ROUND(G811*NOTAS!$B$2,2)</f>
        <v>1875.50</v>
      </c>
      <c r="I811" s="6">
        <f>ROUND(G811*NOTAS!$B$3,0)</f>
        <v>8447</v>
      </c>
      <c r="J811" s="2" t="n">
        <v>4</v>
      </c>
    </row>
    <row r="812">
      <c r="A812" s="2" t="inlineStr">
        <is>
          <t>SP-411</t>
        </is>
      </c>
      <c r="B812" s="2" t="inlineStr"/>
      <c r="C812" s="2" t="inlineStr">
        <is>
          <t>BUJIA FIESTA/KA</t>
        </is>
      </c>
      <c r="D812" s="2" t="inlineStr">
        <is>
          <t>MOTORCRAFT</t>
        </is>
      </c>
      <c r="E812" s="3" t="n">
        <v>5</v>
      </c>
      <c r="F812" s="4" t="n">
        <v>0.3</v>
      </c>
      <c r="G812" s="5">
        <f>ROUND(E812*(1+F812),2)</f>
        <v>6.50</v>
      </c>
      <c r="H812" s="5">
        <f>ROUND(G812*NOTAS!$B$2,2)</f>
        <v>4688.75</v>
      </c>
      <c r="I812" s="6">
        <f>ROUND(G812*NOTAS!$B$3,0)</f>
        <v>21118</v>
      </c>
      <c r="J812" s="2" t="n">
        <v>124</v>
      </c>
    </row>
    <row r="813">
      <c r="A813" s="2" t="inlineStr">
        <is>
          <t>H-AYFS22C</t>
        </is>
      </c>
      <c r="B813" s="2" t="inlineStr"/>
      <c r="C813" s="2" t="inlineStr">
        <is>
          <t>BUJIA FIESTA/KA</t>
        </is>
      </c>
      <c r="D813" s="2" t="inlineStr">
        <is>
          <t>PLITFIRE</t>
        </is>
      </c>
      <c r="E813" s="3" t="n">
        <v>2</v>
      </c>
      <c r="F813" s="4" t="n">
        <v>0.3</v>
      </c>
      <c r="G813" s="5">
        <f>ROUND(E813*(1+F813),2)</f>
        <v>2.60</v>
      </c>
      <c r="H813" s="5">
        <f>ROUND(G813*NOTAS!$B$2,2)</f>
        <v>1875.50</v>
      </c>
      <c r="I813" s="6">
        <f>ROUND(G813*NOTAS!$B$3,0)</f>
        <v>8447</v>
      </c>
      <c r="J813" s="2" t="n">
        <v>3</v>
      </c>
    </row>
    <row r="814">
      <c r="A814" s="2" t="inlineStr">
        <is>
          <t>TR6B-10</t>
        </is>
      </c>
      <c r="B814" s="2" t="inlineStr"/>
      <c r="C814" s="2" t="inlineStr">
        <is>
          <t>BUJIA FIESTA/KA</t>
        </is>
      </c>
      <c r="D814" s="2" t="inlineStr">
        <is>
          <t>NGK</t>
        </is>
      </c>
      <c r="E814" s="3" t="n">
        <v>3.83</v>
      </c>
      <c r="F814" s="4" t="n">
        <v>0.3</v>
      </c>
      <c r="G814" s="5">
        <f>ROUND(E814*(1+F814),2)</f>
        <v>4.98</v>
      </c>
      <c r="H814" s="5">
        <f>ROUND(G814*NOTAS!$B$2,2)</f>
        <v>3592.30</v>
      </c>
      <c r="I814" s="6">
        <f>ROUND(G814*NOTAS!$B$3,0)</f>
        <v>16179</v>
      </c>
      <c r="J814" s="2" t="n">
        <v>52</v>
      </c>
    </row>
    <row r="815">
      <c r="A815" s="2" t="inlineStr">
        <is>
          <t>SP-411</t>
        </is>
      </c>
      <c r="B815" s="2" t="inlineStr"/>
      <c r="C815" s="2" t="inlineStr">
        <is>
          <t>BUJIA FIESTA/KA USADA</t>
        </is>
      </c>
      <c r="D815" s="2" t="inlineStr">
        <is>
          <t>MOTORCRAFT</t>
        </is>
      </c>
      <c r="E815" s="3" t="n">
        <v>2.3077</v>
      </c>
      <c r="F815" s="4" t="n">
        <v>0.3</v>
      </c>
      <c r="G815" s="5">
        <f>ROUND(E815*(1+F815),2)</f>
        <v>3.00</v>
      </c>
      <c r="H815" s="5">
        <f>ROUND(G815*NOTAS!$B$2,2)</f>
        <v>2164.04</v>
      </c>
      <c r="I815" s="6">
        <f>ROUND(G815*NOTAS!$B$3,0)</f>
        <v>9747</v>
      </c>
      <c r="J815" s="2" t="n">
        <v>4</v>
      </c>
    </row>
    <row r="816">
      <c r="A816" s="2" t="inlineStr">
        <is>
          <t>90048-51196</t>
        </is>
      </c>
      <c r="B816" s="2" t="inlineStr"/>
      <c r="C816" s="2" t="inlineStr">
        <is>
          <t xml:space="preserve">BUJIA F-PALIO SIENA FIRE/TERIOS/WAGON </t>
        </is>
      </c>
      <c r="D816" s="2" t="inlineStr">
        <is>
          <t>TOYOTA</t>
        </is>
      </c>
      <c r="E816" s="3" t="n">
        <v>1.48</v>
      </c>
      <c r="F816" s="4" t="n">
        <v>0.3</v>
      </c>
      <c r="G816" s="5">
        <f>ROUND(E816*(1+F816),2)</f>
        <v>1.92</v>
      </c>
      <c r="H816" s="5">
        <f>ROUND(G816*NOTAS!$B$2,2)</f>
        <v>1384.98</v>
      </c>
      <c r="I816" s="6">
        <f>ROUND(G816*NOTAS!$B$3,0)</f>
        <v>6238</v>
      </c>
      <c r="J816" s="2" t="n">
        <v>6</v>
      </c>
    </row>
    <row r="817">
      <c r="A817" s="2" t="inlineStr">
        <is>
          <t>DCPR8E-N</t>
        </is>
      </c>
      <c r="B817" s="2" t="inlineStr"/>
      <c r="C817" s="2" t="inlineStr">
        <is>
          <t xml:space="preserve">BUJIA F-PALIO SIENA FIRE/TERIOS/WAGON </t>
        </is>
      </c>
      <c r="D817" s="2" t="inlineStr">
        <is>
          <t>NGK</t>
        </is>
      </c>
      <c r="E817" s="3" t="n">
        <v>4.97</v>
      </c>
      <c r="F817" s="4" t="n">
        <v>0.3</v>
      </c>
      <c r="G817" s="5">
        <f>ROUND(E817*(1+F817),2)</f>
        <v>6.46</v>
      </c>
      <c r="H817" s="5">
        <f>ROUND(G817*NOTAS!$B$2,2)</f>
        <v>4659.89</v>
      </c>
      <c r="I817" s="6">
        <f>ROUND(G817*NOTAS!$B$3,0)</f>
        <v>20988</v>
      </c>
      <c r="J817" s="2" t="n">
        <v>105</v>
      </c>
    </row>
    <row r="818">
      <c r="A818" s="2" t="inlineStr">
        <is>
          <t>XU24EPR-U</t>
        </is>
      </c>
      <c r="B818" s="2" t="inlineStr"/>
      <c r="C818" s="2" t="inlineStr">
        <is>
          <t xml:space="preserve">BUJIA F-PALIO SIENA FIRE/TERIOS/WAGON </t>
        </is>
      </c>
      <c r="D818" s="2" t="inlineStr">
        <is>
          <t>DENSO</t>
        </is>
      </c>
      <c r="E818" s="3" t="n">
        <v>2.5</v>
      </c>
      <c r="F818" s="4" t="n">
        <v>0.3</v>
      </c>
      <c r="G818" s="5">
        <f>ROUND(E818*(1+F818),2)</f>
        <v>3.25</v>
      </c>
      <c r="H818" s="5">
        <f>ROUND(G818*NOTAS!$B$2,2)</f>
        <v>2344.37</v>
      </c>
      <c r="I818" s="6">
        <f>ROUND(G818*NOTAS!$B$3,0)</f>
        <v>10559</v>
      </c>
      <c r="J818" s="2" t="n">
        <v>8</v>
      </c>
    </row>
    <row r="819">
      <c r="A819" s="2" t="inlineStr">
        <is>
          <t>IXU24</t>
        </is>
      </c>
      <c r="B819" s="2" t="inlineStr"/>
      <c r="C819" s="2" t="inlineStr">
        <is>
          <t xml:space="preserve">BUJIA F-PALIO SIENA FIRE/TERIOS/WAGON </t>
        </is>
      </c>
      <c r="D819" s="2" t="inlineStr">
        <is>
          <t>DENSO</t>
        </is>
      </c>
      <c r="E819" s="3" t="n">
        <v>1.43</v>
      </c>
      <c r="F819" s="4" t="n">
        <v>0.3</v>
      </c>
      <c r="G819" s="5">
        <f>ROUND(E819*(1+F819),2)</f>
        <v>1.86</v>
      </c>
      <c r="H819" s="5">
        <f>ROUND(G819*NOTAS!$B$2,2)</f>
        <v>1341.70</v>
      </c>
      <c r="I819" s="6">
        <f>ROUND(G819*NOTAS!$B$3,0)</f>
        <v>6043</v>
      </c>
      <c r="J819" s="2" t="n">
        <v>16</v>
      </c>
    </row>
    <row r="820">
      <c r="A820" s="2" t="inlineStr">
        <is>
          <t>H-DCPR8EN</t>
        </is>
      </c>
      <c r="B820" s="2" t="inlineStr"/>
      <c r="C820" s="2" t="inlineStr">
        <is>
          <t xml:space="preserve">BUJIA F-PALIO SIENA FIRE/TERIOS/WAGON </t>
        </is>
      </c>
      <c r="D820" s="2" t="inlineStr">
        <is>
          <t>PLITFIRE</t>
        </is>
      </c>
      <c r="E820" s="3" t="n">
        <v>1.5</v>
      </c>
      <c r="F820" s="4" t="n">
        <v>0.3</v>
      </c>
      <c r="G820" s="5">
        <f>ROUND(E820*(1+F820),2)</f>
        <v>1.95</v>
      </c>
      <c r="H820" s="5">
        <f>ROUND(G820*NOTAS!$B$2,2)</f>
        <v>1406.62</v>
      </c>
      <c r="I820" s="6">
        <f>ROUND(G820*NOTAS!$B$3,0)</f>
        <v>6335</v>
      </c>
      <c r="J820" s="2" t="n">
        <v>3</v>
      </c>
    </row>
    <row r="821">
      <c r="A821" s="2" t="inlineStr">
        <is>
          <t>BKR6EZ</t>
        </is>
      </c>
      <c r="B821" s="2" t="inlineStr"/>
      <c r="C821" s="2" t="inlineStr">
        <is>
          <t>BUJIA F-PALIO/SIENA 1.3 8V MPI</t>
        </is>
      </c>
      <c r="D821" s="2" t="inlineStr">
        <is>
          <t>NGK</t>
        </is>
      </c>
      <c r="E821" s="3" t="n">
        <v>3.45</v>
      </c>
      <c r="F821" s="4" t="n">
        <v>0.3</v>
      </c>
      <c r="G821" s="5">
        <f>ROUND(E821*(1+F821),2)</f>
        <v>4.49</v>
      </c>
      <c r="H821" s="5">
        <f>ROUND(G821*NOTAS!$B$2,2)</f>
        <v>3238.84</v>
      </c>
      <c r="I821" s="6">
        <f>ROUND(G821*NOTAS!$B$3,0)</f>
        <v>14587</v>
      </c>
      <c r="J821" s="2" t="n">
        <v>4</v>
      </c>
    </row>
    <row r="822">
      <c r="A822" s="2" t="inlineStr">
        <is>
          <t>BKR5EZ</t>
        </is>
      </c>
      <c r="B822" s="2" t="inlineStr"/>
      <c r="C822" s="2" t="inlineStr">
        <is>
          <t>BUJIA F-PALIO/SIENA 1.4 UNO FIRE</t>
        </is>
      </c>
      <c r="D822" s="2" t="inlineStr">
        <is>
          <t>NGK</t>
        </is>
      </c>
      <c r="E822" s="3" t="n">
        <v>3.45</v>
      </c>
      <c r="F822" s="4" t="n">
        <v>0.3</v>
      </c>
      <c r="G822" s="5">
        <f>ROUND(E822*(1+F822),2)</f>
        <v>4.49</v>
      </c>
      <c r="H822" s="5">
        <f>ROUND(G822*NOTAS!$B$2,2)</f>
        <v>3238.84</v>
      </c>
      <c r="I822" s="6">
        <f>ROUND(G822*NOTAS!$B$3,0)</f>
        <v>14587</v>
      </c>
      <c r="J822" s="2" t="n">
        <v>16</v>
      </c>
    </row>
    <row r="823">
      <c r="A823" s="2" t="inlineStr">
        <is>
          <t>BKR5EY</t>
        </is>
      </c>
      <c r="B823" s="2" t="inlineStr"/>
      <c r="C823" s="2" t="inlineStr">
        <is>
          <t>BUJIA F-PALIO/SIENA 1.4 UNO FIRE</t>
        </is>
      </c>
      <c r="D823" s="2" t="inlineStr">
        <is>
          <t>NGK</t>
        </is>
      </c>
      <c r="E823" s="3" t="n">
        <v>4.6154</v>
      </c>
      <c r="F823" s="4" t="n">
        <v>0.3</v>
      </c>
      <c r="G823" s="5">
        <f>ROUND(E823*(1+F823),2)</f>
        <v>6.00</v>
      </c>
      <c r="H823" s="5">
        <f>ROUND(G823*NOTAS!$B$2,2)</f>
        <v>4328.07</v>
      </c>
      <c r="I823" s="6">
        <f>ROUND(G823*NOTAS!$B$3,0)</f>
        <v>19493</v>
      </c>
      <c r="J823" s="2" t="n">
        <v>8</v>
      </c>
    </row>
    <row r="824">
      <c r="A824" s="2" t="inlineStr">
        <is>
          <t>K16TR11</t>
        </is>
      </c>
      <c r="B824" s="2" t="inlineStr"/>
      <c r="C824" s="2" t="inlineStr">
        <is>
          <t>BUJIA F-PALIO/SIENA 2ELECTRODO</t>
        </is>
      </c>
      <c r="D824" s="2" t="inlineStr">
        <is>
          <t>DENSO</t>
        </is>
      </c>
      <c r="E824" s="3" t="n">
        <v>3</v>
      </c>
      <c r="F824" s="4" t="n">
        <v>0.3</v>
      </c>
      <c r="G824" s="5">
        <f>ROUND(E824*(1+F824),2)</f>
        <v>3.90</v>
      </c>
      <c r="H824" s="5">
        <f>ROUND(G824*NOTAS!$B$2,2)</f>
        <v>2813.25</v>
      </c>
      <c r="I824" s="6">
        <f>ROUND(G824*NOTAS!$B$3,0)</f>
        <v>12671</v>
      </c>
      <c r="J824" s="2" t="n">
        <v>4</v>
      </c>
    </row>
    <row r="825">
      <c r="A825" s="2" t="inlineStr">
        <is>
          <t>BKR5EKC</t>
        </is>
      </c>
      <c r="B825" s="2" t="inlineStr"/>
      <c r="C825" s="2" t="inlineStr">
        <is>
          <t>BUJIA F-PALIO/SIENA 2ELECTRODO</t>
        </is>
      </c>
      <c r="D825" s="2" t="inlineStr">
        <is>
          <t>NGK</t>
        </is>
      </c>
      <c r="E825" s="3" t="n">
        <v>4.14</v>
      </c>
      <c r="F825" s="4" t="n">
        <v>0.3</v>
      </c>
      <c r="G825" s="5">
        <f>ROUND(E825*(1+F825),2)</f>
        <v>5.38</v>
      </c>
      <c r="H825" s="5">
        <f>ROUND(G825*NOTAS!$B$2,2)</f>
        <v>3880.84</v>
      </c>
      <c r="I825" s="6">
        <f>ROUND(G825*NOTAS!$B$3,0)</f>
        <v>17479</v>
      </c>
      <c r="J825" s="2" t="n">
        <v>71</v>
      </c>
    </row>
    <row r="826">
      <c r="A826" s="2" t="inlineStr">
        <is>
          <t>BKR6EKC</t>
        </is>
      </c>
      <c r="B826" s="2" t="inlineStr"/>
      <c r="C826" s="2" t="inlineStr">
        <is>
          <t>BUJIA F-UNO INY 00/03 2ELECTRODO</t>
        </is>
      </c>
      <c r="D826" s="2" t="inlineStr">
        <is>
          <t>NGK</t>
        </is>
      </c>
      <c r="E826" s="3" t="n">
        <v>4.14</v>
      </c>
      <c r="F826" s="4" t="n">
        <v>0.3</v>
      </c>
      <c r="G826" s="5">
        <f>ROUND(E826*(1+F826),2)</f>
        <v>5.38</v>
      </c>
      <c r="H826" s="5">
        <f>ROUND(G826*NOTAS!$B$2,2)</f>
        <v>3880.84</v>
      </c>
      <c r="I826" s="6">
        <f>ROUND(G826*NOTAS!$B$3,0)</f>
        <v>17479</v>
      </c>
      <c r="J826" s="2" t="n">
        <v>2</v>
      </c>
    </row>
    <row r="827">
      <c r="A827" s="2" t="inlineStr">
        <is>
          <t>BP6ES</t>
        </is>
      </c>
      <c r="B827" s="2" t="inlineStr"/>
      <c r="C827" s="2" t="inlineStr">
        <is>
          <t>BUJIA F-UNO/PREMIO</t>
        </is>
      </c>
      <c r="D827" s="2" t="inlineStr">
        <is>
          <t>NGK</t>
        </is>
      </c>
      <c r="E827" s="3" t="n">
        <v>1.5</v>
      </c>
      <c r="F827" s="4" t="n">
        <v>0.3</v>
      </c>
      <c r="G827" s="5">
        <f>ROUND(E827*(1+F827),2)</f>
        <v>1.95</v>
      </c>
      <c r="H827" s="5">
        <f>ROUND(G827*NOTAS!$B$2,2)</f>
        <v>1406.62</v>
      </c>
      <c r="I827" s="6">
        <f>ROUND(G827*NOTAS!$B$3,0)</f>
        <v>6335</v>
      </c>
      <c r="J827" s="2" t="n">
        <v>232</v>
      </c>
    </row>
    <row r="828">
      <c r="A828" s="2" t="inlineStr">
        <is>
          <t>BKUR6ET-10</t>
        </is>
      </c>
      <c r="B828" s="2" t="inlineStr"/>
      <c r="C828" s="2" t="inlineStr">
        <is>
          <t>BUJIA OPTRA 3ELECTRODOS</t>
        </is>
      </c>
      <c r="D828" s="2" t="inlineStr">
        <is>
          <t>NGK</t>
        </is>
      </c>
      <c r="E828" s="3" t="n">
        <v>5.43</v>
      </c>
      <c r="F828" s="4" t="n">
        <v>0.3</v>
      </c>
      <c r="G828" s="5">
        <f>ROUND(E828*(1+F828),2)</f>
        <v>7.06</v>
      </c>
      <c r="H828" s="5">
        <f>ROUND(G828*NOTAS!$B$2,2)</f>
        <v>5092.70</v>
      </c>
      <c r="I828" s="6">
        <f>ROUND(G828*NOTAS!$B$3,0)</f>
        <v>22937</v>
      </c>
      <c r="J828" s="2" t="n">
        <v>20</v>
      </c>
    </row>
    <row r="829">
      <c r="A829" s="2" t="inlineStr">
        <is>
          <t>K20HR-U11</t>
        </is>
      </c>
      <c r="B829" s="2" t="inlineStr"/>
      <c r="C829" s="2" t="inlineStr">
        <is>
          <t>BUJIA PEGOUT 207/206 DONGFENG S30 4RUNNER FORTUNER V6</t>
        </is>
      </c>
      <c r="D829" s="2" t="inlineStr">
        <is>
          <t>DENSO</t>
        </is>
      </c>
      <c r="E829" s="3" t="n">
        <v>9.2308</v>
      </c>
      <c r="F829" s="4" t="n">
        <v>0.3</v>
      </c>
      <c r="G829" s="5">
        <f>ROUND(E829*(1+F829),2)</f>
        <v>12.00</v>
      </c>
      <c r="H829" s="5">
        <f>ROUND(G829*NOTAS!$B$2,2)</f>
        <v>8656.15</v>
      </c>
      <c r="I829" s="6">
        <f>ROUND(G829*NOTAS!$B$3,0)</f>
        <v>38986</v>
      </c>
      <c r="J829" s="2" t="n">
        <v>20</v>
      </c>
    </row>
    <row r="830">
      <c r="A830" s="2" t="inlineStr">
        <is>
          <t>246185</t>
        </is>
      </c>
      <c r="B830" s="2" t="inlineStr"/>
      <c r="C830" s="2" t="inlineStr">
        <is>
          <t>BUJIA R-11</t>
        </is>
      </c>
      <c r="D830" s="2" t="inlineStr">
        <is>
          <t>VALEO</t>
        </is>
      </c>
      <c r="E830" s="3" t="n">
        <v>1.5</v>
      </c>
      <c r="F830" s="4" t="n">
        <v>0.3</v>
      </c>
      <c r="G830" s="5">
        <f>ROUND(E830*(1+F830),2)</f>
        <v>1.95</v>
      </c>
      <c r="H830" s="5">
        <f>ROUND(G830*NOTAS!$B$2,2)</f>
        <v>1406.62</v>
      </c>
      <c r="I830" s="6">
        <f>ROUND(G830*NOTAS!$B$3,0)</f>
        <v>6335</v>
      </c>
      <c r="J830" s="2" t="n">
        <v>12</v>
      </c>
    </row>
    <row r="831">
      <c r="A831" s="2" t="inlineStr">
        <is>
          <t>BPR6EFS</t>
        </is>
      </c>
      <c r="B831" s="2" t="inlineStr"/>
      <c r="C831" s="2" t="inlineStr">
        <is>
          <t>BUJIA R-18/FUEGO/21</t>
        </is>
      </c>
      <c r="D831" s="2" t="inlineStr">
        <is>
          <t>NGK</t>
        </is>
      </c>
      <c r="E831" s="3" t="n">
        <v>1.7</v>
      </c>
      <c r="F831" s="4" t="n">
        <v>0.3</v>
      </c>
      <c r="G831" s="5">
        <f>ROUND(E831*(1+F831),2)</f>
        <v>2.21</v>
      </c>
      <c r="H831" s="5">
        <f>ROUND(G831*NOTAS!$B$2,2)</f>
        <v>1594.17</v>
      </c>
      <c r="I831" s="6">
        <f>ROUND(G831*NOTAS!$B$3,0)</f>
        <v>7180</v>
      </c>
      <c r="J831" s="2" t="n">
        <v>16</v>
      </c>
    </row>
    <row r="832">
      <c r="A832" s="2" t="inlineStr">
        <is>
          <t>7700500155</t>
        </is>
      </c>
      <c r="B832" s="2" t="inlineStr"/>
      <c r="C832" s="2" t="inlineStr">
        <is>
          <t>BUJIA R-19/SYMBOL/LOGAN/MEGANE/CLIO</t>
        </is>
      </c>
      <c r="D832" s="2" t="inlineStr">
        <is>
          <t>RENAULT</t>
        </is>
      </c>
      <c r="E832" s="3" t="n">
        <v>2</v>
      </c>
      <c r="F832" s="4" t="n">
        <v>0.3</v>
      </c>
      <c r="G832" s="5">
        <f>ROUND(E832*(1+F832),2)</f>
        <v>2.60</v>
      </c>
      <c r="H832" s="5">
        <f>ROUND(G832*NOTAS!$B$2,2)</f>
        <v>1875.50</v>
      </c>
      <c r="I832" s="6">
        <f>ROUND(G832*NOTAS!$B$3,0)</f>
        <v>8447</v>
      </c>
      <c r="J832" s="2" t="n">
        <v>7</v>
      </c>
    </row>
    <row r="833">
      <c r="A833" s="2" t="inlineStr">
        <is>
          <t>REA8MCX</t>
        </is>
      </c>
      <c r="B833" s="2" t="inlineStr"/>
      <c r="C833" s="2" t="inlineStr">
        <is>
          <t>BUJIA R-TWINGO</t>
        </is>
      </c>
      <c r="D833" s="2" t="inlineStr">
        <is>
          <t>CHAMPION</t>
        </is>
      </c>
      <c r="E833" s="3" t="n">
        <v>2</v>
      </c>
      <c r="F833" s="4" t="n">
        <v>0.3</v>
      </c>
      <c r="G833" s="5">
        <f>ROUND(E833*(1+F833),2)</f>
        <v>2.60</v>
      </c>
      <c r="H833" s="5">
        <f>ROUND(G833*NOTAS!$B$2,2)</f>
        <v>1875.50</v>
      </c>
      <c r="I833" s="6">
        <f>ROUND(G833*NOTAS!$B$3,0)</f>
        <v>8447</v>
      </c>
      <c r="J833" s="2" t="n">
        <v>12</v>
      </c>
    </row>
    <row r="834">
      <c r="A834" s="2" t="inlineStr">
        <is>
          <t>LZKAR7A</t>
        </is>
      </c>
      <c r="B834" s="2" t="inlineStr"/>
      <c r="C834" s="2" t="inlineStr">
        <is>
          <t>BUJIA R-TWINGO</t>
        </is>
      </c>
      <c r="D834" s="2" t="inlineStr">
        <is>
          <t>NGK</t>
        </is>
      </c>
      <c r="E834" s="3" t="n">
        <v>3.41</v>
      </c>
      <c r="F834" s="4" t="n">
        <v>0.3</v>
      </c>
      <c r="G834" s="5">
        <f>ROUND(E834*(1+F834),2)</f>
        <v>4.43</v>
      </c>
      <c r="H834" s="5">
        <f>ROUND(G834*NOTAS!$B$2,2)</f>
        <v>3195.56</v>
      </c>
      <c r="I834" s="6">
        <f>ROUND(G834*NOTAS!$B$3,0)</f>
        <v>14392</v>
      </c>
      <c r="J834" s="2" t="n">
        <v>30</v>
      </c>
    </row>
    <row r="835">
      <c r="A835" s="2" t="inlineStr">
        <is>
          <t>41-110</t>
        </is>
      </c>
      <c r="B835" s="2" t="inlineStr"/>
      <c r="C835" s="2" t="inlineStr">
        <is>
          <t>BUJIA SILVERADO TAHOE C3500 IRIDIUM</t>
        </is>
      </c>
      <c r="D835" s="2" t="inlineStr">
        <is>
          <t>ACDELCO</t>
        </is>
      </c>
      <c r="E835" s="3" t="n">
        <v>13.8462</v>
      </c>
      <c r="F835" s="4" t="n">
        <v>0.3</v>
      </c>
      <c r="G835" s="5">
        <f>ROUND(E835*(1+F835),2)</f>
        <v>18.00</v>
      </c>
      <c r="H835" s="5">
        <f>ROUND(G835*NOTAS!$B$2,2)</f>
        <v>12984.22</v>
      </c>
      <c r="I835" s="6">
        <f>ROUND(G835*NOTAS!$B$3,0)</f>
        <v>58480</v>
      </c>
      <c r="J835" s="2" t="n">
        <v>18</v>
      </c>
    </row>
    <row r="836">
      <c r="A836" s="2" t="inlineStr">
        <is>
          <t>9231087303</t>
        </is>
      </c>
      <c r="B836" s="2" t="inlineStr"/>
      <c r="C836" s="2" t="inlineStr">
        <is>
          <t>CABLE BOBINA CAPTADORA CHEVETTE</t>
        </is>
      </c>
      <c r="D836" s="2" t="inlineStr">
        <is>
          <t>BOSCH</t>
        </is>
      </c>
      <c r="E836" s="3" t="n">
        <v>7</v>
      </c>
      <c r="F836" s="4" t="n">
        <v>0.3</v>
      </c>
      <c r="G836" s="5">
        <f>ROUND(E836*(1+F836),2)</f>
        <v>9.10</v>
      </c>
      <c r="H836" s="5">
        <f>ROUND(G836*NOTAS!$B$2,2)</f>
        <v>6564.24</v>
      </c>
      <c r="I836" s="6">
        <f>ROUND(G836*NOTAS!$B$3,0)</f>
        <v>29565</v>
      </c>
      <c r="J836" s="2" t="n">
        <v>5</v>
      </c>
    </row>
    <row r="837">
      <c r="A837" s="2" t="inlineStr">
        <is>
          <t>9231087324</t>
        </is>
      </c>
      <c r="B837" s="2" t="inlineStr"/>
      <c r="C837" s="2" t="inlineStr">
        <is>
          <t>CABLE BOBINA CAPTADORA MONZA</t>
        </is>
      </c>
      <c r="D837" s="2" t="inlineStr">
        <is>
          <t>BOSCH</t>
        </is>
      </c>
      <c r="E837" s="3" t="n">
        <v>7</v>
      </c>
      <c r="F837" s="4" t="n">
        <v>0.3</v>
      </c>
      <c r="G837" s="5">
        <f>ROUND(E837*(1+F837),2)</f>
        <v>9.10</v>
      </c>
      <c r="H837" s="5">
        <f>ROUND(G837*NOTAS!$B$2,2)</f>
        <v>6564.24</v>
      </c>
      <c r="I837" s="6">
        <f>ROUND(G837*NOTAS!$B$3,0)</f>
        <v>29565</v>
      </c>
      <c r="J837" s="2" t="n">
        <v>2</v>
      </c>
    </row>
    <row r="838">
      <c r="A838" s="2" t="inlineStr">
        <is>
          <t>4641-A</t>
        </is>
      </c>
      <c r="B838" s="2" t="inlineStr"/>
      <c r="C838" s="2" t="inlineStr">
        <is>
          <t xml:space="preserve">CABLES DE BUJIA </t>
        </is>
      </c>
      <c r="D838" s="2" t="inlineStr">
        <is>
          <t>GREYCAR</t>
        </is>
      </c>
      <c r="E838" s="3" t="n">
        <v>15.3846</v>
      </c>
      <c r="F838" s="4" t="n">
        <v>0.3</v>
      </c>
      <c r="G838" s="5">
        <f>ROUND(E838*(1+F838),2)</f>
        <v>20.00</v>
      </c>
      <c r="H838" s="5">
        <f>ROUND(G838*NOTAS!$B$2,2)</f>
        <v>14426.91</v>
      </c>
      <c r="I838" s="6">
        <f>ROUND(G838*NOTAS!$B$3,0)</f>
        <v>64977</v>
      </c>
      <c r="J838" s="2" t="n">
        <v>1</v>
      </c>
    </row>
    <row r="839">
      <c r="A839" s="2" t="inlineStr">
        <is>
          <t>27501-22B00</t>
        </is>
      </c>
      <c r="B839" s="2" t="inlineStr"/>
      <c r="C839" s="2" t="inlineStr">
        <is>
          <t>CABLES DE BUJIA ACCENT</t>
        </is>
      </c>
      <c r="D839" s="2" t="inlineStr">
        <is>
          <t>KOREA</t>
        </is>
      </c>
      <c r="E839" s="3" t="n">
        <v>10</v>
      </c>
      <c r="F839" s="4" t="n">
        <v>0.3</v>
      </c>
      <c r="G839" s="5">
        <f>ROUND(E839*(1+F839),2)</f>
        <v>13.00</v>
      </c>
      <c r="H839" s="5">
        <f>ROUND(G839*NOTAS!$B$2,2)</f>
        <v>9377.49</v>
      </c>
      <c r="I839" s="6">
        <f>ROUND(G839*NOTAS!$B$3,0)</f>
        <v>42235</v>
      </c>
      <c r="J839" s="2" t="n">
        <v>2</v>
      </c>
    </row>
    <row r="840">
      <c r="A840" s="2" t="inlineStr">
        <is>
          <t>S12-3707130BA</t>
        </is>
      </c>
      <c r="B840" s="2" t="inlineStr"/>
      <c r="C840" s="2" t="inlineStr">
        <is>
          <t>CABLES DE BUJIA ARAUCA/X1</t>
        </is>
      </c>
      <c r="D840" s="2" t="inlineStr">
        <is>
          <t>CHERY</t>
        </is>
      </c>
      <c r="E840" s="3" t="n">
        <v>16.9231</v>
      </c>
      <c r="F840" s="4" t="n">
        <v>0.3</v>
      </c>
      <c r="G840" s="5">
        <f>ROUND(E840*(1+F840),2)</f>
        <v>22.00</v>
      </c>
      <c r="H840" s="5">
        <f>ROUND(G840*NOTAS!$B$2,2)</f>
        <v>15869.60</v>
      </c>
      <c r="I840" s="6">
        <f>ROUND(G840*NOTAS!$B$3,0)</f>
        <v>71475</v>
      </c>
      <c r="J840" s="2" t="n">
        <v>1</v>
      </c>
    </row>
    <row r="841">
      <c r="A841" s="2" t="inlineStr">
        <is>
          <t>P96497773</t>
        </is>
      </c>
      <c r="B841" s="2" t="inlineStr"/>
      <c r="C841" s="2" t="inlineStr">
        <is>
          <t>CABLES DE BUJIA AVEO 1.6</t>
        </is>
      </c>
      <c r="D841" s="2" t="inlineStr">
        <is>
          <t>PARTS-MALL</t>
        </is>
      </c>
      <c r="E841" s="3" t="n">
        <v>10.8</v>
      </c>
      <c r="F841" s="4" t="n">
        <v>0.3</v>
      </c>
      <c r="G841" s="5">
        <f>ROUND(E841*(1+F841),2)</f>
        <v>14.04</v>
      </c>
      <c r="H841" s="5">
        <f>ROUND(G841*NOTAS!$B$2,2)</f>
        <v>10127.69</v>
      </c>
      <c r="I841" s="6">
        <f>ROUND(G841*NOTAS!$B$3,0)</f>
        <v>45614</v>
      </c>
      <c r="J841" s="2" t="n">
        <v>2</v>
      </c>
    </row>
    <row r="842">
      <c r="A842" s="2" t="inlineStr">
        <is>
          <t>XS10559</t>
        </is>
      </c>
      <c r="B842" s="2" t="inlineStr"/>
      <c r="C842" s="2" t="inlineStr">
        <is>
          <t>CABLES DE BUJIA AVEO 1.6</t>
        </is>
      </c>
      <c r="D842" s="2" t="inlineStr">
        <is>
          <t>DELPHI</t>
        </is>
      </c>
      <c r="E842" s="3" t="n">
        <v>17.26</v>
      </c>
      <c r="F842" s="4" t="n">
        <v>0.3</v>
      </c>
      <c r="G842" s="5">
        <f>ROUND(E842*(1+F842),2)</f>
        <v>22.44</v>
      </c>
      <c r="H842" s="5">
        <f>ROUND(G842*NOTAS!$B$2,2)</f>
        <v>16187.00</v>
      </c>
      <c r="I842" s="6">
        <f>ROUND(G842*NOTAS!$B$3,0)</f>
        <v>72905</v>
      </c>
      <c r="J842" s="2" t="n">
        <v>1</v>
      </c>
    </row>
    <row r="843">
      <c r="A843" s="2" t="inlineStr">
        <is>
          <t>96497773GM</t>
        </is>
      </c>
      <c r="B843" s="2" t="inlineStr"/>
      <c r="C843" s="2" t="inlineStr">
        <is>
          <t>CABLES DE BUJIA AVEO 1.6</t>
        </is>
      </c>
      <c r="D843" s="2" t="inlineStr">
        <is>
          <t>ACDELCO</t>
        </is>
      </c>
      <c r="E843" s="3" t="n">
        <v>10</v>
      </c>
      <c r="F843" s="4" t="n">
        <v>0.3</v>
      </c>
      <c r="G843" s="5">
        <f>ROUND(E843*(1+F843),2)</f>
        <v>13.00</v>
      </c>
      <c r="H843" s="5">
        <f>ROUND(G843*NOTAS!$B$2,2)</f>
        <v>9377.49</v>
      </c>
      <c r="I843" s="6">
        <f>ROUND(G843*NOTAS!$B$3,0)</f>
        <v>42235</v>
      </c>
      <c r="J843" s="2" t="n">
        <v>1</v>
      </c>
    </row>
    <row r="844">
      <c r="A844" s="2" t="inlineStr">
        <is>
          <t>4699-A</t>
        </is>
      </c>
      <c r="B844" s="2" t="inlineStr"/>
      <c r="C844" s="2" t="inlineStr">
        <is>
          <t>CABLES DE BUJIA CHEVETTE</t>
        </is>
      </c>
      <c r="D844" s="2" t="inlineStr">
        <is>
          <t>DELCO</t>
        </is>
      </c>
      <c r="E844" s="3" t="n">
        <v>5</v>
      </c>
      <c r="F844" s="4" t="n">
        <v>0.3</v>
      </c>
      <c r="G844" s="5">
        <f>ROUND(E844*(1+F844),2)</f>
        <v>6.50</v>
      </c>
      <c r="H844" s="5">
        <f>ROUND(G844*NOTAS!$B$2,2)</f>
        <v>4688.75</v>
      </c>
      <c r="I844" s="6">
        <f>ROUND(G844*NOTAS!$B$3,0)</f>
        <v>21118</v>
      </c>
      <c r="J844" s="2" t="n">
        <v>1</v>
      </c>
    </row>
    <row r="845">
      <c r="A845" s="2" t="inlineStr">
        <is>
          <t>75-4669</t>
        </is>
      </c>
      <c r="B845" s="2" t="inlineStr"/>
      <c r="C845" s="2" t="inlineStr">
        <is>
          <t>CABLES DE BUJIA CHEVROLET M350 TAPA PLATINO</t>
        </is>
      </c>
      <c r="D845" s="2" t="inlineStr">
        <is>
          <t>PFEMS</t>
        </is>
      </c>
      <c r="E845" s="3" t="n">
        <v>16.9231</v>
      </c>
      <c r="F845" s="4" t="n">
        <v>0.3</v>
      </c>
      <c r="G845" s="5">
        <f>ROUND(E845*(1+F845),2)</f>
        <v>22.00</v>
      </c>
      <c r="H845" s="5">
        <f>ROUND(G845*NOTAS!$B$2,2)</f>
        <v>15869.60</v>
      </c>
      <c r="I845" s="6">
        <f>ROUND(G845*NOTAS!$B$3,0)</f>
        <v>71475</v>
      </c>
      <c r="J845" s="2" t="n">
        <v>1</v>
      </c>
    </row>
    <row r="846">
      <c r="A846" s="2" t="inlineStr">
        <is>
          <t>SC-D01</t>
        </is>
      </c>
      <c r="B846" s="2" t="inlineStr"/>
      <c r="C846" s="2" t="inlineStr">
        <is>
          <t>CABLES DE BUJIA CIELO</t>
        </is>
      </c>
      <c r="D846" s="2" t="inlineStr">
        <is>
          <t>NGK</t>
        </is>
      </c>
      <c r="E846" s="3" t="n">
        <v>14</v>
      </c>
      <c r="F846" s="4" t="n">
        <v>0.3</v>
      </c>
      <c r="G846" s="5">
        <f>ROUND(E846*(1+F846),2)</f>
        <v>18.20</v>
      </c>
      <c r="H846" s="5">
        <f>ROUND(G846*NOTAS!$B$2,2)</f>
        <v>13128.49</v>
      </c>
      <c r="I846" s="6">
        <f>ROUND(G846*NOTAS!$B$3,0)</f>
        <v>59129</v>
      </c>
      <c r="J846" s="2" t="n">
        <v>4</v>
      </c>
    </row>
    <row r="847">
      <c r="A847" s="2" t="inlineStr">
        <is>
          <t>PNP1332</t>
        </is>
      </c>
      <c r="B847" s="2" t="inlineStr"/>
      <c r="C847" s="2" t="inlineStr">
        <is>
          <t>CABLES DE BUJIA CIELO</t>
        </is>
      </c>
      <c r="D847" s="2" t="inlineStr">
        <is>
          <t>PARTS-MALL</t>
        </is>
      </c>
      <c r="E847" s="3" t="n">
        <v>13</v>
      </c>
      <c r="F847" s="4" t="n">
        <v>0.3</v>
      </c>
      <c r="G847" s="5">
        <f>ROUND(E847*(1+F847),2)</f>
        <v>16.90</v>
      </c>
      <c r="H847" s="5">
        <f>ROUND(G847*NOTAS!$B$2,2)</f>
        <v>12190.74</v>
      </c>
      <c r="I847" s="6">
        <f>ROUND(G847*NOTAS!$B$3,0)</f>
        <v>54906</v>
      </c>
      <c r="J847" s="2" t="n">
        <v>2</v>
      </c>
    </row>
    <row r="848">
      <c r="A848" s="2" t="inlineStr">
        <is>
          <t>PNP1332</t>
        </is>
      </c>
      <c r="B848" s="2" t="inlineStr"/>
      <c r="C848" s="2" t="inlineStr">
        <is>
          <t>CABLES DE BUJIA CIELO</t>
        </is>
      </c>
      <c r="D848" s="2" t="inlineStr">
        <is>
          <t>ONNURI</t>
        </is>
      </c>
      <c r="E848" s="3" t="n">
        <v>12</v>
      </c>
      <c r="F848" s="4" t="n">
        <v>0.3</v>
      </c>
      <c r="G848" s="5">
        <f>ROUND(E848*(1+F848),2)</f>
        <v>15.60</v>
      </c>
      <c r="H848" s="5">
        <f>ROUND(G848*NOTAS!$B$2,2)</f>
        <v>11252.99</v>
      </c>
      <c r="I848" s="6">
        <f>ROUND(G848*NOTAS!$B$3,0)</f>
        <v>50682</v>
      </c>
      <c r="J848" s="2" t="n">
        <v>1</v>
      </c>
    </row>
    <row r="849">
      <c r="A849" s="2" t="inlineStr">
        <is>
          <t>NP1332</t>
        </is>
      </c>
      <c r="B849" s="2" t="inlineStr"/>
      <c r="C849" s="2" t="inlineStr">
        <is>
          <t>CABLES DE BUJIA CIELO</t>
        </is>
      </c>
      <c r="D849" s="2" t="inlineStr">
        <is>
          <t>DIAMOND</t>
        </is>
      </c>
      <c r="E849" s="3" t="n">
        <v>10</v>
      </c>
      <c r="F849" s="4" t="n">
        <v>0.3</v>
      </c>
      <c r="G849" s="5">
        <f>ROUND(E849*(1+F849),2)</f>
        <v>13.00</v>
      </c>
      <c r="H849" s="5">
        <f>ROUND(G849*NOTAS!$B$2,2)</f>
        <v>9377.49</v>
      </c>
      <c r="I849" s="6">
        <f>ROUND(G849*NOTAS!$B$3,0)</f>
        <v>42235</v>
      </c>
      <c r="J849" s="2" t="n">
        <v>1</v>
      </c>
    </row>
    <row r="850">
      <c r="A850" s="2" t="inlineStr">
        <is>
          <t>XS10001</t>
        </is>
      </c>
      <c r="B850" s="2" t="inlineStr"/>
      <c r="C850" s="2" t="inlineStr">
        <is>
          <t>CABLES DE BUJIA CORSA</t>
        </is>
      </c>
      <c r="D850" s="2" t="inlineStr">
        <is>
          <t>DELPHI</t>
        </is>
      </c>
      <c r="E850" s="3" t="n">
        <v>13.97</v>
      </c>
      <c r="F850" s="4" t="n">
        <v>0.3</v>
      </c>
      <c r="G850" s="5">
        <f>ROUND(E850*(1+F850),2)</f>
        <v>18.16</v>
      </c>
      <c r="H850" s="5">
        <f>ROUND(G850*NOTAS!$B$2,2)</f>
        <v>13099.64</v>
      </c>
      <c r="I850" s="6">
        <f>ROUND(G850*NOTAS!$B$3,0)</f>
        <v>58999</v>
      </c>
      <c r="J850" s="2" t="n">
        <v>2</v>
      </c>
    </row>
    <row r="851">
      <c r="A851" s="2" t="inlineStr">
        <is>
          <t>SC-G73</t>
        </is>
      </c>
      <c r="B851" s="2" t="inlineStr"/>
      <c r="C851" s="2" t="inlineStr">
        <is>
          <t>CABLES DE BUJIA CORSA</t>
        </is>
      </c>
      <c r="D851" s="2" t="inlineStr">
        <is>
          <t>NGK</t>
        </is>
      </c>
      <c r="E851" s="3" t="n">
        <v>16</v>
      </c>
      <c r="F851" s="4" t="n">
        <v>0.3</v>
      </c>
      <c r="G851" s="5">
        <f>ROUND(E851*(1+F851),2)</f>
        <v>20.80</v>
      </c>
      <c r="H851" s="5">
        <f>ROUND(G851*NOTAS!$B$2,2)</f>
        <v>15003.99</v>
      </c>
      <c r="I851" s="6">
        <f>ROUND(G851*NOTAS!$B$3,0)</f>
        <v>67576</v>
      </c>
      <c r="J851" s="2" t="n">
        <v>12</v>
      </c>
    </row>
    <row r="852">
      <c r="A852" s="2" t="inlineStr">
        <is>
          <t>BE8Z12259CA</t>
        </is>
      </c>
      <c r="B852" s="2" t="inlineStr"/>
      <c r="C852" s="2" t="inlineStr">
        <is>
          <t>CABLES DE BUJIA ECOSPORT/FOCUS 2.0</t>
        </is>
      </c>
      <c r="D852" s="2" t="inlineStr">
        <is>
          <t>MOTORCRAFT</t>
        </is>
      </c>
      <c r="E852" s="3" t="n">
        <v>5.9</v>
      </c>
      <c r="F852" s="4" t="n">
        <v>0.3</v>
      </c>
      <c r="G852" s="5">
        <f>ROUND(E852*(1+F852),2)</f>
        <v>7.67</v>
      </c>
      <c r="H852" s="5">
        <f>ROUND(G852*NOTAS!$B$2,2)</f>
        <v>5532.72</v>
      </c>
      <c r="I852" s="6">
        <f>ROUND(G852*NOTAS!$B$3,0)</f>
        <v>24919</v>
      </c>
      <c r="J852" s="2" t="n">
        <v>3</v>
      </c>
    </row>
    <row r="853">
      <c r="A853" s="2" t="inlineStr">
        <is>
          <t>1231646</t>
        </is>
      </c>
      <c r="B853" s="2" t="inlineStr">
        <is>
          <t>1S7G12286AF</t>
        </is>
      </c>
      <c r="C853" s="2" t="inlineStr">
        <is>
          <t>CABLES DE BUJIA ECOSPORT/FOCUS 2.0 1CABLE #1</t>
        </is>
      </c>
      <c r="D853" s="2" t="inlineStr">
        <is>
          <t>FORD</t>
        </is>
      </c>
      <c r="E853" s="3" t="n">
        <v>4</v>
      </c>
      <c r="F853" s="4" t="n">
        <v>0.3</v>
      </c>
      <c r="G853" s="5">
        <f>ROUND(E853*(1+F853),2)</f>
        <v>5.20</v>
      </c>
      <c r="H853" s="5">
        <f>ROUND(G853*NOTAS!$B$2,2)</f>
        <v>3751.00</v>
      </c>
      <c r="I853" s="6">
        <f>ROUND(G853*NOTAS!$B$3,0)</f>
        <v>16894</v>
      </c>
      <c r="J853" s="2" t="n">
        <v>1</v>
      </c>
    </row>
    <row r="854">
      <c r="A854" s="2" t="inlineStr">
        <is>
          <t>1255505</t>
        </is>
      </c>
      <c r="B854" s="2" t="inlineStr">
        <is>
          <t>1S7G12283AF</t>
        </is>
      </c>
      <c r="C854" s="2" t="inlineStr">
        <is>
          <t>CABLES DE BUJIA ECOSPORT/FOCUS 2.0 1CABLE #2</t>
        </is>
      </c>
      <c r="D854" s="2" t="inlineStr">
        <is>
          <t>FORD</t>
        </is>
      </c>
      <c r="E854" s="3" t="n">
        <v>4</v>
      </c>
      <c r="F854" s="4" t="n">
        <v>0.3</v>
      </c>
      <c r="G854" s="5">
        <f>ROUND(E854*(1+F854),2)</f>
        <v>5.20</v>
      </c>
      <c r="H854" s="5">
        <f>ROUND(G854*NOTAS!$B$2,2)</f>
        <v>3751.00</v>
      </c>
      <c r="I854" s="6">
        <f>ROUND(G854*NOTAS!$B$3,0)</f>
        <v>16894</v>
      </c>
      <c r="J854" s="2" t="n">
        <v>1</v>
      </c>
    </row>
    <row r="855">
      <c r="A855" s="2" t="inlineStr">
        <is>
          <t>1255507</t>
        </is>
      </c>
      <c r="B855" s="2" t="inlineStr">
        <is>
          <t>1S7G12284AE</t>
        </is>
      </c>
      <c r="C855" s="2" t="inlineStr">
        <is>
          <t>CABLES DE BUJIA ECOSPORT/FOCUS 2.0 1CABLE #3</t>
        </is>
      </c>
      <c r="D855" s="2" t="inlineStr">
        <is>
          <t>FORD</t>
        </is>
      </c>
      <c r="E855" s="3" t="n">
        <v>4</v>
      </c>
      <c r="F855" s="4" t="n">
        <v>0.3</v>
      </c>
      <c r="G855" s="5">
        <f>ROUND(E855*(1+F855),2)</f>
        <v>5.20</v>
      </c>
      <c r="H855" s="5">
        <f>ROUND(G855*NOTAS!$B$2,2)</f>
        <v>3751.00</v>
      </c>
      <c r="I855" s="6">
        <f>ROUND(G855*NOTAS!$B$3,0)</f>
        <v>16894</v>
      </c>
      <c r="J855" s="2" t="n">
        <v>1</v>
      </c>
    </row>
    <row r="856">
      <c r="A856" s="2" t="inlineStr">
        <is>
          <t>1255509</t>
        </is>
      </c>
      <c r="B856" s="2" t="inlineStr">
        <is>
          <t>1S7G12287AE</t>
        </is>
      </c>
      <c r="C856" s="2" t="inlineStr">
        <is>
          <t>CABLES DE BUJIA ECOSPORT/FOCUS 2.0 1CABLE #4</t>
        </is>
      </c>
      <c r="D856" s="2" t="inlineStr">
        <is>
          <t>FORD</t>
        </is>
      </c>
      <c r="E856" s="3" t="n">
        <v>4</v>
      </c>
      <c r="F856" s="4" t="n">
        <v>0.3</v>
      </c>
      <c r="G856" s="5">
        <f>ROUND(E856*(1+F856),2)</f>
        <v>5.20</v>
      </c>
      <c r="H856" s="5">
        <f>ROUND(G856*NOTAS!$B$2,2)</f>
        <v>3751.00</v>
      </c>
      <c r="I856" s="6">
        <f>ROUND(G856*NOTAS!$B$3,0)</f>
        <v>16894</v>
      </c>
      <c r="J856" s="2" t="n">
        <v>1</v>
      </c>
    </row>
    <row r="857">
      <c r="A857" s="2" t="inlineStr">
        <is>
          <t>33795-66D00</t>
        </is>
      </c>
      <c r="B857" s="2" t="inlineStr"/>
      <c r="C857" s="2" t="inlineStr">
        <is>
          <t>CABLES DE BUJIA ESTEEM 1.6 00/… 2CABLES</t>
        </is>
      </c>
      <c r="D857" s="2" t="inlineStr">
        <is>
          <t>HSK</t>
        </is>
      </c>
      <c r="E857" s="3" t="n">
        <v>11.5385</v>
      </c>
      <c r="F857" s="4" t="n">
        <v>0.3</v>
      </c>
      <c r="G857" s="5">
        <f>ROUND(E857*(1+F857),2)</f>
        <v>15.00</v>
      </c>
      <c r="H857" s="5">
        <f>ROUND(G857*NOTAS!$B$2,2)</f>
        <v>10820.18</v>
      </c>
      <c r="I857" s="6">
        <f>ROUND(G857*NOTAS!$B$3,0)</f>
        <v>48733</v>
      </c>
      <c r="J857" s="2" t="n">
        <v>1</v>
      </c>
    </row>
    <row r="858">
      <c r="A858" s="2" t="inlineStr">
        <is>
          <t>4693-A</t>
        </is>
      </c>
      <c r="B858" s="2" t="inlineStr"/>
      <c r="C858" s="2" t="inlineStr">
        <is>
          <t>CABLES DE BUJIA F-132 1.8</t>
        </is>
      </c>
      <c r="D858" s="2" t="inlineStr">
        <is>
          <t>GREYCAR</t>
        </is>
      </c>
      <c r="E858" s="3" t="n">
        <v>5</v>
      </c>
      <c r="F858" s="4" t="n">
        <v>0.3</v>
      </c>
      <c r="G858" s="5">
        <f>ROUND(E858*(1+F858),2)</f>
        <v>6.50</v>
      </c>
      <c r="H858" s="5">
        <f>ROUND(G858*NOTAS!$B$2,2)</f>
        <v>4688.75</v>
      </c>
      <c r="I858" s="6">
        <f>ROUND(G858*NOTAS!$B$3,0)</f>
        <v>21118</v>
      </c>
      <c r="J858" s="2" t="n">
        <v>2</v>
      </c>
    </row>
    <row r="859">
      <c r="A859" s="2" t="inlineStr">
        <is>
          <t>4635/FI-UNO</t>
        </is>
      </c>
      <c r="B859" s="2" t="inlineStr"/>
      <c r="C859" s="2" t="inlineStr">
        <is>
          <t>CABLES DE BUJIA F-147/UNO 1.3</t>
        </is>
      </c>
      <c r="D859" s="2" t="inlineStr">
        <is>
          <t>EAGLES POWER</t>
        </is>
      </c>
      <c r="E859" s="3" t="n">
        <v>7</v>
      </c>
      <c r="F859" s="4" t="n">
        <v>0.3</v>
      </c>
      <c r="G859" s="5">
        <f>ROUND(E859*(1+F859),2)</f>
        <v>9.10</v>
      </c>
      <c r="H859" s="5">
        <f>ROUND(G859*NOTAS!$B$2,2)</f>
        <v>6564.24</v>
      </c>
      <c r="I859" s="6">
        <f>ROUND(G859*NOTAS!$B$3,0)</f>
        <v>29565</v>
      </c>
      <c r="J859" s="2" t="n">
        <v>35</v>
      </c>
    </row>
    <row r="860">
      <c r="A860" s="2" t="inlineStr">
        <is>
          <t>4635-A</t>
        </is>
      </c>
      <c r="B860" s="2" t="inlineStr"/>
      <c r="C860" s="2" t="inlineStr">
        <is>
          <t>CABLES DE BUJIA F-147/UNO 1.3</t>
        </is>
      </c>
      <c r="D860" s="2" t="inlineStr">
        <is>
          <t>GREYCAR</t>
        </is>
      </c>
      <c r="E860" s="3" t="n">
        <v>7</v>
      </c>
      <c r="F860" s="4" t="n">
        <v>0.3</v>
      </c>
      <c r="G860" s="5">
        <f>ROUND(E860*(1+F860),2)</f>
        <v>9.10</v>
      </c>
      <c r="H860" s="5">
        <f>ROUND(G860*NOTAS!$B$2,2)</f>
        <v>6564.24</v>
      </c>
      <c r="I860" s="6">
        <f>ROUND(G860*NOTAS!$B$3,0)</f>
        <v>29565</v>
      </c>
      <c r="J860" s="2" t="n">
        <v>2</v>
      </c>
    </row>
    <row r="861">
      <c r="A861" s="2" t="inlineStr"/>
      <c r="B861" s="2" t="inlineStr"/>
      <c r="C861" s="2" t="inlineStr">
        <is>
          <t>CABLES DE BUJIA F-200/250</t>
        </is>
      </c>
      <c r="D861" s="2" t="inlineStr">
        <is>
          <t>SPARK PLUNG</t>
        </is>
      </c>
      <c r="E861" s="3" t="n">
        <v>19.2308</v>
      </c>
      <c r="F861" s="4" t="n">
        <v>0.3</v>
      </c>
      <c r="G861" s="5">
        <f>ROUND(E861*(1+F861),2)</f>
        <v>25.00</v>
      </c>
      <c r="H861" s="5">
        <f>ROUND(G861*NOTAS!$B$2,2)</f>
        <v>18033.64</v>
      </c>
      <c r="I861" s="6">
        <f>ROUND(G861*NOTAS!$B$3,0)</f>
        <v>81222</v>
      </c>
      <c r="J861" s="2" t="n">
        <v>1</v>
      </c>
    </row>
    <row r="862">
      <c r="A862" s="2" t="inlineStr">
        <is>
          <t>SC-F02</t>
        </is>
      </c>
      <c r="B862" s="2" t="inlineStr"/>
      <c r="C862" s="2" t="inlineStr">
        <is>
          <t>CABLES DE BUJIA FIESTA/KA 1.6</t>
        </is>
      </c>
      <c r="D862" s="2" t="inlineStr">
        <is>
          <t>NGK</t>
        </is>
      </c>
      <c r="E862" s="3" t="n">
        <v>15</v>
      </c>
      <c r="F862" s="4" t="n">
        <v>0.3</v>
      </c>
      <c r="G862" s="5">
        <f>ROUND(E862*(1+F862),2)</f>
        <v>19.50</v>
      </c>
      <c r="H862" s="5">
        <f>ROUND(G862*NOTAS!$B$2,2)</f>
        <v>14066.24</v>
      </c>
      <c r="I862" s="6">
        <f>ROUND(G862*NOTAS!$B$3,0)</f>
        <v>63353</v>
      </c>
      <c r="J862" s="2" t="n">
        <v>8</v>
      </c>
    </row>
    <row r="863">
      <c r="A863" s="2" t="inlineStr">
        <is>
          <t>XS10550</t>
        </is>
      </c>
      <c r="B863" s="2" t="inlineStr"/>
      <c r="C863" s="2" t="inlineStr">
        <is>
          <t>CABLES DE BUJIA FIESTA/KA 1.6</t>
        </is>
      </c>
      <c r="D863" s="2" t="inlineStr">
        <is>
          <t>DELPHI</t>
        </is>
      </c>
      <c r="E863" s="3" t="n">
        <v>12</v>
      </c>
      <c r="F863" s="4" t="n">
        <v>0.3</v>
      </c>
      <c r="G863" s="5">
        <f>ROUND(E863*(1+F863),2)</f>
        <v>15.60</v>
      </c>
      <c r="H863" s="5">
        <f>ROUND(G863*NOTAS!$B$2,2)</f>
        <v>11252.99</v>
      </c>
      <c r="I863" s="6">
        <f>ROUND(G863*NOTAS!$B$3,0)</f>
        <v>50682</v>
      </c>
      <c r="J863" s="2" t="n">
        <v>1</v>
      </c>
    </row>
    <row r="864">
      <c r="A864" s="2" t="inlineStr">
        <is>
          <t>4655</t>
        </is>
      </c>
      <c r="B864" s="2" t="inlineStr"/>
      <c r="C864" s="2" t="inlineStr">
        <is>
          <t>CABLES DE BUJIA FORD 300 F150 6CIL</t>
        </is>
      </c>
      <c r="D864" s="2" t="inlineStr">
        <is>
          <t>TEXAS CABLE</t>
        </is>
      </c>
      <c r="E864" s="3" t="n">
        <v>19.2308</v>
      </c>
      <c r="F864" s="4" t="n">
        <v>0.3</v>
      </c>
      <c r="G864" s="5">
        <f>ROUND(E864*(1+F864),2)</f>
        <v>25.00</v>
      </c>
      <c r="H864" s="5">
        <f>ROUND(G864*NOTAS!$B$2,2)</f>
        <v>18033.64</v>
      </c>
      <c r="I864" s="6">
        <f>ROUND(G864*NOTAS!$B$3,0)</f>
        <v>81222</v>
      </c>
      <c r="J864" s="2" t="n">
        <v>1</v>
      </c>
    </row>
    <row r="865">
      <c r="A865" s="2" t="inlineStr">
        <is>
          <t>SC-T02</t>
        </is>
      </c>
      <c r="B865" s="2" t="inlineStr"/>
      <c r="C865" s="2" t="inlineStr">
        <is>
          <t>CABLES DE BUJIA F-PALIO/SIENA 1.3 16V FIRE</t>
        </is>
      </c>
      <c r="D865" s="2" t="inlineStr">
        <is>
          <t>NGK</t>
        </is>
      </c>
      <c r="E865" s="3" t="n">
        <v>16</v>
      </c>
      <c r="F865" s="4" t="n">
        <v>0.3</v>
      </c>
      <c r="G865" s="5">
        <f>ROUND(E865*(1+F865),2)</f>
        <v>20.80</v>
      </c>
      <c r="H865" s="5">
        <f>ROUND(G865*NOTAS!$B$2,2)</f>
        <v>15003.99</v>
      </c>
      <c r="I865" s="6">
        <f>ROUND(G865*NOTAS!$B$3,0)</f>
        <v>67576</v>
      </c>
      <c r="J865" s="2" t="n">
        <v>22</v>
      </c>
    </row>
    <row r="866">
      <c r="A866" s="2" t="inlineStr"/>
      <c r="B866" s="2" t="inlineStr"/>
      <c r="C866" s="2" t="inlineStr">
        <is>
          <t>CABLES DE BUJIA F-PALIO/SIENA 1.3 8V MPI</t>
        </is>
      </c>
      <c r="D866" s="2" t="inlineStr">
        <is>
          <t>FIAT</t>
        </is>
      </c>
      <c r="E866" s="3" t="n">
        <v>15.3846</v>
      </c>
      <c r="F866" s="4" t="n">
        <v>0.3</v>
      </c>
      <c r="G866" s="5">
        <f>ROUND(E866*(1+F866),2)</f>
        <v>20.00</v>
      </c>
      <c r="H866" s="5">
        <f>ROUND(G866*NOTAS!$B$2,2)</f>
        <v>14426.91</v>
      </c>
      <c r="I866" s="6">
        <f>ROUND(G866*NOTAS!$B$3,0)</f>
        <v>64977</v>
      </c>
      <c r="J866" s="2" t="n">
        <v>1</v>
      </c>
    </row>
    <row r="867">
      <c r="A867" s="2" t="inlineStr">
        <is>
          <t>SC-T54</t>
        </is>
      </c>
      <c r="B867" s="2" t="inlineStr"/>
      <c r="C867" s="2" t="inlineStr">
        <is>
          <t>CABLES DE BUJIA F-PALIO/SIENA 1.3 8V MPI</t>
        </is>
      </c>
      <c r="D867" s="2" t="inlineStr">
        <is>
          <t>NGK</t>
        </is>
      </c>
      <c r="E867" s="3" t="n">
        <v>10</v>
      </c>
      <c r="F867" s="4" t="n">
        <v>0.3</v>
      </c>
      <c r="G867" s="5">
        <f>ROUND(E867*(1+F867),2)</f>
        <v>13.00</v>
      </c>
      <c r="H867" s="5">
        <f>ROUND(G867*NOTAS!$B$2,2)</f>
        <v>9377.49</v>
      </c>
      <c r="I867" s="6">
        <f>ROUND(G867*NOTAS!$B$3,0)</f>
        <v>42235</v>
      </c>
      <c r="J867" s="2" t="n">
        <v>17</v>
      </c>
    </row>
    <row r="868">
      <c r="A868" s="2" t="inlineStr">
        <is>
          <t>SC-T08</t>
        </is>
      </c>
      <c r="B868" s="2" t="inlineStr"/>
      <c r="C868" s="2" t="inlineStr">
        <is>
          <t xml:space="preserve">CABLES DE BUJIA F-PALIO/SIENA 1.6 16V </t>
        </is>
      </c>
      <c r="D868" s="2" t="inlineStr">
        <is>
          <t>NGK</t>
        </is>
      </c>
      <c r="E868" s="3" t="n">
        <v>40</v>
      </c>
      <c r="F868" s="4" t="n">
        <v>0.3</v>
      </c>
      <c r="G868" s="5">
        <f>ROUND(E868*(1+F868),2)</f>
        <v>52.00</v>
      </c>
      <c r="H868" s="5">
        <f>ROUND(G868*NOTAS!$B$2,2)</f>
        <v>37509.97</v>
      </c>
      <c r="I868" s="6">
        <f>ROUND(G868*NOTAS!$B$3,0)</f>
        <v>168941</v>
      </c>
      <c r="J868" s="2" t="n">
        <v>6</v>
      </c>
    </row>
    <row r="869">
      <c r="A869" s="2" t="inlineStr">
        <is>
          <t>46413088</t>
        </is>
      </c>
      <c r="B869" s="2" t="inlineStr"/>
      <c r="C869" s="2" t="inlineStr">
        <is>
          <t xml:space="preserve">CABLES DE BUJIA F-PALIO/SIENA 1.6 16V </t>
        </is>
      </c>
      <c r="D869" s="2" t="inlineStr">
        <is>
          <t>LUCAS VARITY</t>
        </is>
      </c>
      <c r="E869" s="3" t="n">
        <v>20</v>
      </c>
      <c r="F869" s="4" t="n">
        <v>0.3</v>
      </c>
      <c r="G869" s="5">
        <f>ROUND(E869*(1+F869),2)</f>
        <v>26.00</v>
      </c>
      <c r="H869" s="5">
        <f>ROUND(G869*NOTAS!$B$2,2)</f>
        <v>18754.99</v>
      </c>
      <c r="I869" s="6">
        <f>ROUND(G869*NOTAS!$B$3,0)</f>
        <v>84471</v>
      </c>
      <c r="J869" s="2" t="n">
        <v>2</v>
      </c>
    </row>
    <row r="870">
      <c r="A870" s="2" t="inlineStr">
        <is>
          <t>FT16</t>
        </is>
      </c>
      <c r="B870" s="2" t="inlineStr"/>
      <c r="C870" s="2" t="inlineStr">
        <is>
          <t>CABLES DE BUJIA F-TEMPRA 1.6</t>
        </is>
      </c>
      <c r="D870" s="2" t="inlineStr">
        <is>
          <t>ZUMELECTRIC</t>
        </is>
      </c>
      <c r="E870" s="3" t="n">
        <v>5</v>
      </c>
      <c r="F870" s="4" t="n">
        <v>0.3</v>
      </c>
      <c r="G870" s="5">
        <f>ROUND(E870*(1+F870),2)</f>
        <v>6.50</v>
      </c>
      <c r="H870" s="5">
        <f>ROUND(G870*NOTAS!$B$2,2)</f>
        <v>4688.75</v>
      </c>
      <c r="I870" s="6">
        <f>ROUND(G870*NOTAS!$B$3,0)</f>
        <v>21118</v>
      </c>
      <c r="J870" s="2" t="n">
        <v>5</v>
      </c>
    </row>
    <row r="871">
      <c r="A871" s="2" t="inlineStr">
        <is>
          <t>4635-B</t>
        </is>
      </c>
      <c r="B871" s="2" t="inlineStr"/>
      <c r="C871" s="2" t="inlineStr">
        <is>
          <t>CABLES DE BUJIA F-UNO CARRERA</t>
        </is>
      </c>
      <c r="D871" s="2" t="inlineStr">
        <is>
          <t>GREYCAR</t>
        </is>
      </c>
      <c r="E871" s="3" t="n">
        <v>5</v>
      </c>
      <c r="F871" s="4" t="n">
        <v>0.3</v>
      </c>
      <c r="G871" s="5">
        <f>ROUND(E871*(1+F871),2)</f>
        <v>6.50</v>
      </c>
      <c r="H871" s="5">
        <f>ROUND(G871*NOTAS!$B$2,2)</f>
        <v>4688.75</v>
      </c>
      <c r="I871" s="6">
        <f>ROUND(G871*NOTAS!$B$3,0)</f>
        <v>21118</v>
      </c>
      <c r="J871" s="2" t="n">
        <v>2</v>
      </c>
    </row>
    <row r="872">
      <c r="A872" s="2" t="inlineStr">
        <is>
          <t>GC5004</t>
        </is>
      </c>
      <c r="B872" s="2" t="inlineStr"/>
      <c r="C872" s="2" t="inlineStr">
        <is>
          <t>CABLES DE BUJIA F-UNO FIRE</t>
        </is>
      </c>
      <c r="D872" s="2" t="inlineStr">
        <is>
          <t>GAUSS</t>
        </is>
      </c>
      <c r="E872" s="3" t="n">
        <v>11</v>
      </c>
      <c r="F872" s="4" t="n">
        <v>0.3</v>
      </c>
      <c r="G872" s="5">
        <f>ROUND(E872*(1+F872),2)</f>
        <v>14.30</v>
      </c>
      <c r="H872" s="5">
        <f>ROUND(G872*NOTAS!$B$2,2)</f>
        <v>10315.24</v>
      </c>
      <c r="I872" s="6">
        <f>ROUND(G872*NOTAS!$B$3,0)</f>
        <v>46459</v>
      </c>
      <c r="J872" s="2" t="n">
        <v>2</v>
      </c>
    </row>
    <row r="873">
      <c r="A873" s="2" t="inlineStr">
        <is>
          <t>SC-D02</t>
        </is>
      </c>
      <c r="B873" s="2" t="inlineStr"/>
      <c r="C873" s="2" t="inlineStr">
        <is>
          <t>CABLES DE BUJIA LANOS/AVEO 1.5</t>
        </is>
      </c>
      <c r="D873" s="2" t="inlineStr">
        <is>
          <t>NGK</t>
        </is>
      </c>
      <c r="E873" s="3" t="n">
        <v>14</v>
      </c>
      <c r="F873" s="4" t="n">
        <v>0.3</v>
      </c>
      <c r="G873" s="5">
        <f>ROUND(E873*(1+F873),2)</f>
        <v>18.20</v>
      </c>
      <c r="H873" s="5">
        <f>ROUND(G873*NOTAS!$B$2,2)</f>
        <v>13128.49</v>
      </c>
      <c r="I873" s="6">
        <f>ROUND(G873*NOTAS!$B$3,0)</f>
        <v>59129</v>
      </c>
      <c r="J873" s="2" t="n">
        <v>11</v>
      </c>
    </row>
    <row r="874">
      <c r="A874" s="2" t="inlineStr">
        <is>
          <t>96305387</t>
        </is>
      </c>
      <c r="B874" s="2" t="inlineStr"/>
      <c r="C874" s="2" t="inlineStr">
        <is>
          <t>CABLES DE BUJIA LANOS/AVEO 1.5</t>
        </is>
      </c>
      <c r="D874" s="2" t="inlineStr">
        <is>
          <t>AK</t>
        </is>
      </c>
      <c r="E874" s="3" t="n">
        <v>10</v>
      </c>
      <c r="F874" s="4" t="n">
        <v>0.3</v>
      </c>
      <c r="G874" s="5">
        <f>ROUND(E874*(1+F874),2)</f>
        <v>13.00</v>
      </c>
      <c r="H874" s="5">
        <f>ROUND(G874*NOTAS!$B$2,2)</f>
        <v>9377.49</v>
      </c>
      <c r="I874" s="6">
        <f>ROUND(G874*NOTAS!$B$3,0)</f>
        <v>42235</v>
      </c>
      <c r="J874" s="2" t="n">
        <v>1</v>
      </c>
    </row>
    <row r="875">
      <c r="A875" s="2" t="inlineStr">
        <is>
          <t>96305387</t>
        </is>
      </c>
      <c r="B875" s="2" t="inlineStr"/>
      <c r="C875" s="2" t="inlineStr">
        <is>
          <t>CABLES DE BUJIA LANOS/AVEO 1.5</t>
        </is>
      </c>
      <c r="D875" s="2" t="inlineStr">
        <is>
          <t>GM</t>
        </is>
      </c>
      <c r="E875" s="3" t="n">
        <v>18</v>
      </c>
      <c r="F875" s="4" t="n">
        <v>0.3</v>
      </c>
      <c r="G875" s="5">
        <f>ROUND(E875*(1+F875),2)</f>
        <v>23.40</v>
      </c>
      <c r="H875" s="5">
        <f>ROUND(G875*NOTAS!$B$2,2)</f>
        <v>16879.49</v>
      </c>
      <c r="I875" s="6">
        <f>ROUND(G875*NOTAS!$B$3,0)</f>
        <v>76024</v>
      </c>
      <c r="J875" s="2" t="n">
        <v>1</v>
      </c>
    </row>
    <row r="876">
      <c r="A876" s="2" t="inlineStr">
        <is>
          <t>4665</t>
        </is>
      </c>
      <c r="B876" s="2" t="inlineStr"/>
      <c r="C876" s="2" t="inlineStr">
        <is>
          <t>CABLES DE BUJIA MALIBU 231/252</t>
        </is>
      </c>
      <c r="D876" s="2" t="inlineStr">
        <is>
          <t>PLEMS</t>
        </is>
      </c>
      <c r="E876" s="3" t="n">
        <v>16.9231</v>
      </c>
      <c r="F876" s="4" t="n">
        <v>0.3</v>
      </c>
      <c r="G876" s="5">
        <f>ROUND(E876*(1+F876),2)</f>
        <v>22.00</v>
      </c>
      <c r="H876" s="5">
        <f>ROUND(G876*NOTAS!$B$2,2)</f>
        <v>15869.60</v>
      </c>
      <c r="I876" s="6">
        <f>ROUND(G876*NOTAS!$B$3,0)</f>
        <v>71475</v>
      </c>
      <c r="J876" s="2" t="n">
        <v>2</v>
      </c>
    </row>
    <row r="877">
      <c r="A877" s="2" t="inlineStr">
        <is>
          <t>P96256433</t>
        </is>
      </c>
      <c r="B877" s="2" t="inlineStr"/>
      <c r="C877" s="2" t="inlineStr">
        <is>
          <t>CABLES DE BUJIA MATIZ</t>
        </is>
      </c>
      <c r="D877" s="2" t="inlineStr">
        <is>
          <t>PARTS-MALL</t>
        </is>
      </c>
      <c r="E877" s="3" t="n">
        <v>7</v>
      </c>
      <c r="F877" s="4" t="n">
        <v>0.3</v>
      </c>
      <c r="G877" s="5">
        <f>ROUND(E877*(1+F877),2)</f>
        <v>9.10</v>
      </c>
      <c r="H877" s="5">
        <f>ROUND(G877*NOTAS!$B$2,2)</f>
        <v>6564.24</v>
      </c>
      <c r="I877" s="6">
        <f>ROUND(G877*NOTAS!$B$3,0)</f>
        <v>29565</v>
      </c>
      <c r="J877" s="2" t="n">
        <v>2</v>
      </c>
    </row>
    <row r="878">
      <c r="A878" s="2" t="inlineStr">
        <is>
          <t>96256433</t>
        </is>
      </c>
      <c r="B878" s="2" t="inlineStr"/>
      <c r="C878" s="2" t="inlineStr">
        <is>
          <t>CABLES DE BUJIA MATIZ</t>
        </is>
      </c>
      <c r="D878" s="2" t="inlineStr">
        <is>
          <t>ONNURI</t>
        </is>
      </c>
      <c r="E878" s="3" t="n">
        <v>7</v>
      </c>
      <c r="F878" s="4" t="n">
        <v>0.3</v>
      </c>
      <c r="G878" s="5">
        <f>ROUND(E878*(1+F878),2)</f>
        <v>9.10</v>
      </c>
      <c r="H878" s="5">
        <f>ROUND(G878*NOTAS!$B$2,2)</f>
        <v>6564.24</v>
      </c>
      <c r="I878" s="6">
        <f>ROUND(G878*NOTAS!$B$3,0)</f>
        <v>29565</v>
      </c>
      <c r="J878" s="2" t="n">
        <v>1</v>
      </c>
    </row>
    <row r="879">
      <c r="A879" s="2" t="inlineStr">
        <is>
          <t>4641-A</t>
        </is>
      </c>
      <c r="B879" s="2" t="inlineStr"/>
      <c r="C879" s="2" t="inlineStr">
        <is>
          <t>CABLES DE BUJIA MONZA</t>
        </is>
      </c>
      <c r="D879" s="2" t="inlineStr">
        <is>
          <t>GREYCAR</t>
        </is>
      </c>
      <c r="E879" s="3" t="n">
        <v>5</v>
      </c>
      <c r="F879" s="4" t="n">
        <v>0.3</v>
      </c>
      <c r="G879" s="5">
        <f>ROUND(E879*(1+F879),2)</f>
        <v>6.50</v>
      </c>
      <c r="H879" s="5">
        <f>ROUND(G879*NOTAS!$B$2,2)</f>
        <v>4688.75</v>
      </c>
      <c r="I879" s="6">
        <f>ROUND(G879*NOTAS!$B$3,0)</f>
        <v>21118</v>
      </c>
      <c r="J879" s="2" t="n">
        <v>6</v>
      </c>
    </row>
    <row r="880">
      <c r="A880" s="2" t="inlineStr">
        <is>
          <t>XS10558</t>
        </is>
      </c>
      <c r="B880" s="2" t="inlineStr"/>
      <c r="C880" s="2" t="inlineStr">
        <is>
          <t xml:space="preserve">CABLES DE BUJIA OPTRA </t>
        </is>
      </c>
      <c r="D880" s="2" t="inlineStr">
        <is>
          <t>DELPHI</t>
        </is>
      </c>
      <c r="E880" s="3" t="n">
        <v>15</v>
      </c>
      <c r="F880" s="4" t="n">
        <v>0.3</v>
      </c>
      <c r="G880" s="5">
        <f>ROUND(E880*(1+F880),2)</f>
        <v>19.50</v>
      </c>
      <c r="H880" s="5">
        <f>ROUND(G880*NOTAS!$B$2,2)</f>
        <v>14066.24</v>
      </c>
      <c r="I880" s="6">
        <f>ROUND(G880*NOTAS!$B$3,0)</f>
        <v>63353</v>
      </c>
      <c r="J880" s="2" t="n">
        <v>5</v>
      </c>
    </row>
    <row r="881">
      <c r="A881" s="2" t="inlineStr">
        <is>
          <t>P96460220</t>
        </is>
      </c>
      <c r="B881" s="2" t="inlineStr"/>
      <c r="C881" s="2" t="inlineStr">
        <is>
          <t>CABLES DE BUJIA OPTRA LIMITED</t>
        </is>
      </c>
      <c r="D881" s="2" t="inlineStr">
        <is>
          <t>PARTS-MALL</t>
        </is>
      </c>
      <c r="E881" s="3" t="n">
        <v>14</v>
      </c>
      <c r="F881" s="4" t="n">
        <v>0.3</v>
      </c>
      <c r="G881" s="5">
        <f>ROUND(E881*(1+F881),2)</f>
        <v>18.20</v>
      </c>
      <c r="H881" s="5">
        <f>ROUND(G881*NOTAS!$B$2,2)</f>
        <v>13128.49</v>
      </c>
      <c r="I881" s="6">
        <f>ROUND(G881*NOTAS!$B$3,0)</f>
        <v>59129</v>
      </c>
      <c r="J881" s="2" t="n">
        <v>1</v>
      </c>
    </row>
    <row r="882">
      <c r="A882" s="2" t="inlineStr">
        <is>
          <t>A11-3707130-60HA</t>
        </is>
      </c>
      <c r="B882" s="2" t="inlineStr"/>
      <c r="C882" s="2" t="inlineStr">
        <is>
          <t>CABLES DE BUJIA ORINOCO</t>
        </is>
      </c>
      <c r="D882" s="2" t="inlineStr">
        <is>
          <t>CHERY</t>
        </is>
      </c>
      <c r="E882" s="3" t="n">
        <v>16.9231</v>
      </c>
      <c r="F882" s="4" t="n">
        <v>0.3</v>
      </c>
      <c r="G882" s="5">
        <f>ROUND(E882*(1+F882),2)</f>
        <v>22.00</v>
      </c>
      <c r="H882" s="5">
        <f>ROUND(G882*NOTAS!$B$2,2)</f>
        <v>15869.60</v>
      </c>
      <c r="I882" s="6">
        <f>ROUND(G882*NOTAS!$B$3,0)</f>
        <v>71475</v>
      </c>
      <c r="J882" s="2" t="n">
        <v>1</v>
      </c>
    </row>
    <row r="883">
      <c r="A883" s="2" t="inlineStr">
        <is>
          <t>4642-A</t>
        </is>
      </c>
      <c r="B883" s="2" t="inlineStr"/>
      <c r="C883" s="2" t="inlineStr">
        <is>
          <t>CABLES DE BUJIA R-11</t>
        </is>
      </c>
      <c r="D883" s="2" t="inlineStr">
        <is>
          <t>GREYCAR</t>
        </is>
      </c>
      <c r="E883" s="3" t="n">
        <v>7</v>
      </c>
      <c r="F883" s="4" t="n">
        <v>0.3</v>
      </c>
      <c r="G883" s="5">
        <f>ROUND(E883*(1+F883),2)</f>
        <v>9.10</v>
      </c>
      <c r="H883" s="5">
        <f>ROUND(G883*NOTAS!$B$2,2)</f>
        <v>6564.24</v>
      </c>
      <c r="I883" s="6">
        <f>ROUND(G883*NOTAS!$B$3,0)</f>
        <v>29565</v>
      </c>
      <c r="J883" s="2" t="n">
        <v>1</v>
      </c>
    </row>
    <row r="884">
      <c r="A884" s="2" t="inlineStr">
        <is>
          <t>4632-A</t>
        </is>
      </c>
      <c r="B884" s="2" t="inlineStr"/>
      <c r="C884" s="2" t="inlineStr">
        <is>
          <t>CABLES DE BUJIA R-18 2.0/FUEGO</t>
        </is>
      </c>
      <c r="D884" s="2" t="inlineStr">
        <is>
          <t>GREYCAR</t>
        </is>
      </c>
      <c r="E884" s="3" t="n">
        <v>7</v>
      </c>
      <c r="F884" s="4" t="n">
        <v>0.3</v>
      </c>
      <c r="G884" s="5">
        <f>ROUND(E884*(1+F884),2)</f>
        <v>9.10</v>
      </c>
      <c r="H884" s="5">
        <f>ROUND(G884*NOTAS!$B$2,2)</f>
        <v>6564.24</v>
      </c>
      <c r="I884" s="6">
        <f>ROUND(G884*NOTAS!$B$3,0)</f>
        <v>29565</v>
      </c>
      <c r="J884" s="2" t="n">
        <v>3</v>
      </c>
    </row>
    <row r="885">
      <c r="A885" s="2" t="inlineStr">
        <is>
          <t>4631-L</t>
        </is>
      </c>
      <c r="B885" s="2" t="inlineStr"/>
      <c r="C885" s="2" t="inlineStr">
        <is>
          <t>CABLES DE BUJIA R-21</t>
        </is>
      </c>
      <c r="D885" s="2" t="inlineStr">
        <is>
          <t>GREYCAR</t>
        </is>
      </c>
      <c r="E885" s="3" t="n">
        <v>7</v>
      </c>
      <c r="F885" s="4" t="n">
        <v>0.3</v>
      </c>
      <c r="G885" s="5">
        <f>ROUND(E885*(1+F885),2)</f>
        <v>9.10</v>
      </c>
      <c r="H885" s="5">
        <f>ROUND(G885*NOTAS!$B$2,2)</f>
        <v>6564.24</v>
      </c>
      <c r="I885" s="6">
        <f>ROUND(G885*NOTAS!$B$3,0)</f>
        <v>29565</v>
      </c>
      <c r="J885" s="2" t="n">
        <v>2</v>
      </c>
    </row>
    <row r="886">
      <c r="A886" s="2" t="inlineStr">
        <is>
          <t>RE-SY-1.4-02</t>
        </is>
      </c>
      <c r="B886" s="2" t="inlineStr"/>
      <c r="C886" s="2" t="inlineStr">
        <is>
          <t>CABLES DE BUJIA R-SYMBOL/LOGAN</t>
        </is>
      </c>
      <c r="D886" s="2" t="inlineStr">
        <is>
          <t>PROSP 3000</t>
        </is>
      </c>
      <c r="E886" s="3" t="n">
        <v>13</v>
      </c>
      <c r="F886" s="4" t="n">
        <v>0.3</v>
      </c>
      <c r="G886" s="5">
        <f>ROUND(E886*(1+F886),2)</f>
        <v>16.90</v>
      </c>
      <c r="H886" s="5">
        <f>ROUND(G886*NOTAS!$B$2,2)</f>
        <v>12190.74</v>
      </c>
      <c r="I886" s="6">
        <f>ROUND(G886*NOTAS!$B$3,0)</f>
        <v>54906</v>
      </c>
      <c r="J886" s="2" t="n">
        <v>1</v>
      </c>
    </row>
    <row r="887">
      <c r="A887" s="2" t="inlineStr">
        <is>
          <t>SC-R09</t>
        </is>
      </c>
      <c r="B887" s="2" t="inlineStr"/>
      <c r="C887" s="2" t="inlineStr">
        <is>
          <t>CABLES DE BUJIA R-TWINGO 1.2 8V 94/97</t>
        </is>
      </c>
      <c r="D887" s="2" t="inlineStr">
        <is>
          <t>NGK</t>
        </is>
      </c>
      <c r="E887" s="3" t="n">
        <v>10</v>
      </c>
      <c r="F887" s="4" t="n">
        <v>0.3</v>
      </c>
      <c r="G887" s="5">
        <f>ROUND(E887*(1+F887),2)</f>
        <v>13.00</v>
      </c>
      <c r="H887" s="5">
        <f>ROUND(G887*NOTAS!$B$2,2)</f>
        <v>9377.49</v>
      </c>
      <c r="I887" s="6">
        <f>ROUND(G887*NOTAS!$B$3,0)</f>
        <v>42235</v>
      </c>
      <c r="J887" s="2" t="n">
        <v>1</v>
      </c>
    </row>
    <row r="888">
      <c r="A888" s="2" t="inlineStr">
        <is>
          <t>7700114549</t>
        </is>
      </c>
      <c r="B888" s="2" t="inlineStr"/>
      <c r="C888" s="2" t="inlineStr">
        <is>
          <t>CABLES DE BUJIA R-TWINGO 8V 04/05 CHUPON LARGO</t>
        </is>
      </c>
      <c r="D888" s="2" t="inlineStr">
        <is>
          <t>YUKKAZO</t>
        </is>
      </c>
      <c r="E888" s="3" t="n">
        <v>25</v>
      </c>
      <c r="F888" s="4" t="n">
        <v>0.3</v>
      </c>
      <c r="G888" s="5">
        <f>ROUND(E888*(1+F888),2)</f>
        <v>32.50</v>
      </c>
      <c r="H888" s="5">
        <f>ROUND(G888*NOTAS!$B$2,2)</f>
        <v>23443.73</v>
      </c>
      <c r="I888" s="6">
        <f>ROUND(G888*NOTAS!$B$3,0)</f>
        <v>105588</v>
      </c>
      <c r="J888" s="2" t="n">
        <v>3</v>
      </c>
    </row>
    <row r="889">
      <c r="A889" s="2" t="inlineStr">
        <is>
          <t>7700107662</t>
        </is>
      </c>
      <c r="B889" s="2" t="inlineStr"/>
      <c r="C889" s="2" t="inlineStr">
        <is>
          <t>CABLES DE BUJIA R-TWINGO 8V 98/02 CHUPON CORTO</t>
        </is>
      </c>
      <c r="D889" s="2" t="inlineStr">
        <is>
          <t>YUKKAZO</t>
        </is>
      </c>
      <c r="E889" s="3" t="n">
        <v>14</v>
      </c>
      <c r="F889" s="4" t="n">
        <v>0.3</v>
      </c>
      <c r="G889" s="5">
        <f>ROUND(E889*(1+F889),2)</f>
        <v>18.20</v>
      </c>
      <c r="H889" s="5">
        <f>ROUND(G889*NOTAS!$B$2,2)</f>
        <v>13128.49</v>
      </c>
      <c r="I889" s="6">
        <f>ROUND(G889*NOTAS!$B$3,0)</f>
        <v>59129</v>
      </c>
      <c r="J889" s="2" t="n">
        <v>2</v>
      </c>
    </row>
    <row r="890">
      <c r="A890" s="2" t="inlineStr">
        <is>
          <t>CA-770010762</t>
        </is>
      </c>
      <c r="B890" s="2" t="inlineStr"/>
      <c r="C890" s="2" t="inlineStr">
        <is>
          <t>CABLES DE BUJIA R-TWINGO 8V 98/02 CHUPON CORTO</t>
        </is>
      </c>
      <c r="D890" s="2" t="inlineStr">
        <is>
          <t>DIAMOND</t>
        </is>
      </c>
      <c r="E890" s="3" t="n">
        <v>7</v>
      </c>
      <c r="F890" s="4" t="n">
        <v>0.3</v>
      </c>
      <c r="G890" s="5">
        <f>ROUND(E890*(1+F890),2)</f>
        <v>9.10</v>
      </c>
      <c r="H890" s="5">
        <f>ROUND(G890*NOTAS!$B$2,2)</f>
        <v>6564.24</v>
      </c>
      <c r="I890" s="6">
        <f>ROUND(G890*NOTAS!$B$3,0)</f>
        <v>29565</v>
      </c>
      <c r="J890" s="2" t="n">
        <v>2</v>
      </c>
    </row>
    <row r="891">
      <c r="A891" s="2" t="inlineStr">
        <is>
          <t>4652-A</t>
        </is>
      </c>
      <c r="B891" s="2" t="inlineStr"/>
      <c r="C891" s="2" t="inlineStr">
        <is>
          <t>CABLES DE BUJIA SIERRA</t>
        </is>
      </c>
      <c r="D891" s="2" t="inlineStr">
        <is>
          <t>GG</t>
        </is>
      </c>
      <c r="E891" s="3" t="n">
        <v>16.9231</v>
      </c>
      <c r="F891" s="4" t="n">
        <v>0.3</v>
      </c>
      <c r="G891" s="5">
        <f>ROUND(E891*(1+F891),2)</f>
        <v>22.00</v>
      </c>
      <c r="H891" s="5">
        <f>ROUND(G891*NOTAS!$B$2,2)</f>
        <v>15869.60</v>
      </c>
      <c r="I891" s="6">
        <f>ROUND(G891*NOTAS!$B$3,0)</f>
        <v>71475</v>
      </c>
      <c r="J891" s="2" t="n">
        <v>2</v>
      </c>
    </row>
    <row r="892">
      <c r="A892" s="2" t="inlineStr">
        <is>
          <t>P96288956</t>
        </is>
      </c>
      <c r="B892" s="2" t="inlineStr"/>
      <c r="C892" s="2" t="inlineStr">
        <is>
          <t>CABLES DE BUJIA SPARK</t>
        </is>
      </c>
      <c r="D892" s="2" t="inlineStr">
        <is>
          <t>PARTS-MALL</t>
        </is>
      </c>
      <c r="E892" s="3" t="n">
        <v>8</v>
      </c>
      <c r="F892" s="4" t="n">
        <v>0.3</v>
      </c>
      <c r="G892" s="5">
        <f>ROUND(E892*(1+F892),2)</f>
        <v>10.40</v>
      </c>
      <c r="H892" s="5">
        <f>ROUND(G892*NOTAS!$B$2,2)</f>
        <v>7501.99</v>
      </c>
      <c r="I892" s="6">
        <f>ROUND(G892*NOTAS!$B$3,0)</f>
        <v>33788</v>
      </c>
      <c r="J892" s="2" t="n">
        <v>2</v>
      </c>
    </row>
    <row r="893">
      <c r="A893" s="2" t="inlineStr">
        <is>
          <t>AC000028</t>
        </is>
      </c>
      <c r="B893" s="2" t="inlineStr"/>
      <c r="C893" s="2" t="inlineStr">
        <is>
          <t>CABLES DE BUJIA SPARK</t>
        </is>
      </c>
      <c r="D893" s="2" t="inlineStr">
        <is>
          <t>ACDELCO</t>
        </is>
      </c>
      <c r="E893" s="3" t="n">
        <v>8</v>
      </c>
      <c r="F893" s="4" t="n">
        <v>0.3</v>
      </c>
      <c r="G893" s="5">
        <f>ROUND(E893*(1+F893),2)</f>
        <v>10.40</v>
      </c>
      <c r="H893" s="5">
        <f>ROUND(G893*NOTAS!$B$2,2)</f>
        <v>7501.99</v>
      </c>
      <c r="I893" s="6">
        <f>ROUND(G893*NOTAS!$B$3,0)</f>
        <v>33788</v>
      </c>
      <c r="J893" s="2" t="n">
        <v>2</v>
      </c>
    </row>
    <row r="894">
      <c r="A894" s="2" t="inlineStr">
        <is>
          <t>96288956</t>
        </is>
      </c>
      <c r="B894" s="2" t="inlineStr"/>
      <c r="C894" s="2" t="inlineStr">
        <is>
          <t>CABLES DE BUJIA SPARK</t>
        </is>
      </c>
      <c r="D894" s="2" t="inlineStr">
        <is>
          <t>GM</t>
        </is>
      </c>
      <c r="E894" s="3" t="n">
        <v>13</v>
      </c>
      <c r="F894" s="4" t="n">
        <v>0.3</v>
      </c>
      <c r="G894" s="5">
        <f>ROUND(E894*(1+F894),2)</f>
        <v>16.90</v>
      </c>
      <c r="H894" s="5">
        <f>ROUND(G894*NOTAS!$B$2,2)</f>
        <v>12190.74</v>
      </c>
      <c r="I894" s="6">
        <f>ROUND(G894*NOTAS!$B$3,0)</f>
        <v>54906</v>
      </c>
      <c r="J894" s="2" t="n">
        <v>4</v>
      </c>
    </row>
    <row r="895">
      <c r="A895" s="2" t="inlineStr">
        <is>
          <t>33700-71C10</t>
        </is>
      </c>
      <c r="B895" s="2" t="inlineStr"/>
      <c r="C895" s="2" t="inlineStr">
        <is>
          <t>CABLES DE BUJIA SWIFT 1.6</t>
        </is>
      </c>
      <c r="D895" s="2" t="inlineStr">
        <is>
          <t>SEIWA</t>
        </is>
      </c>
      <c r="E895" s="3" t="n">
        <v>15</v>
      </c>
      <c r="F895" s="4" t="n">
        <v>0.3</v>
      </c>
      <c r="G895" s="5">
        <f>ROUND(E895*(1+F895),2)</f>
        <v>19.50</v>
      </c>
      <c r="H895" s="5">
        <f>ROUND(G895*NOTAS!$B$2,2)</f>
        <v>14066.24</v>
      </c>
      <c r="I895" s="6">
        <f>ROUND(G895*NOTAS!$B$3,0)</f>
        <v>63353</v>
      </c>
      <c r="J895" s="2" t="n">
        <v>1</v>
      </c>
    </row>
    <row r="896">
      <c r="A896" s="2" t="inlineStr">
        <is>
          <t>8200207309</t>
        </is>
      </c>
      <c r="B896" s="2" t="inlineStr"/>
      <c r="C896" s="2" t="inlineStr">
        <is>
          <t>CACHO RUEDA ARANA DERECHO R-SYMBOL/CLIO/KANGOO</t>
        </is>
      </c>
      <c r="D896" s="2" t="inlineStr">
        <is>
          <t>NPPN</t>
        </is>
      </c>
      <c r="E896" s="3" t="n">
        <v>19.2308</v>
      </c>
      <c r="F896" s="4" t="n">
        <v>0.3</v>
      </c>
      <c r="G896" s="5">
        <f>ROUND(E896*(1+F896),2)</f>
        <v>25.00</v>
      </c>
      <c r="H896" s="5">
        <f>ROUND(G896*NOTAS!$B$2,2)</f>
        <v>18033.64</v>
      </c>
      <c r="I896" s="6">
        <f>ROUND(G896*NOTAS!$B$3,0)</f>
        <v>81222</v>
      </c>
      <c r="J896" s="2" t="n">
        <v>1</v>
      </c>
    </row>
    <row r="897">
      <c r="A897" s="2" t="inlineStr">
        <is>
          <t>8200207303</t>
        </is>
      </c>
      <c r="B897" s="2" t="inlineStr"/>
      <c r="C897" s="2" t="inlineStr">
        <is>
          <t>CACHO RUEDA ARANA IZQUIERDO R-SYMBOL/CLIO/KANGOO</t>
        </is>
      </c>
      <c r="D897" s="2" t="inlineStr">
        <is>
          <t>NPPN</t>
        </is>
      </c>
      <c r="E897" s="3" t="n">
        <v>19.2308</v>
      </c>
      <c r="F897" s="4" t="n">
        <v>0.3</v>
      </c>
      <c r="G897" s="5">
        <f>ROUND(E897*(1+F897),2)</f>
        <v>25.00</v>
      </c>
      <c r="H897" s="5">
        <f>ROUND(G897*NOTAS!$B$2,2)</f>
        <v>18033.64</v>
      </c>
      <c r="I897" s="6">
        <f>ROUND(G897*NOTAS!$B$3,0)</f>
        <v>81222</v>
      </c>
      <c r="J897" s="2" t="n">
        <v>1</v>
      </c>
    </row>
    <row r="898">
      <c r="A898" s="2" t="inlineStr">
        <is>
          <t>135</t>
        </is>
      </c>
      <c r="B898" s="2" t="inlineStr"/>
      <c r="C898" s="2" t="inlineStr">
        <is>
          <t>CADENA MOTOR R-5/11/12/CORCEL</t>
        </is>
      </c>
      <c r="D898" s="2" t="inlineStr">
        <is>
          <t>APLIC</t>
        </is>
      </c>
      <c r="E898" s="3" t="n">
        <v>6</v>
      </c>
      <c r="F898" s="4" t="n">
        <v>0.3</v>
      </c>
      <c r="G898" s="5">
        <f>ROUND(E898*(1+F898),2)</f>
        <v>7.80</v>
      </c>
      <c r="H898" s="5">
        <f>ROUND(G898*NOTAS!$B$2,2)</f>
        <v>5626.50</v>
      </c>
      <c r="I898" s="6">
        <f>ROUND(G898*NOTAS!$B$3,0)</f>
        <v>25341</v>
      </c>
      <c r="J898" s="2" t="n">
        <v>1</v>
      </c>
    </row>
    <row r="899">
      <c r="A899" s="2" t="inlineStr">
        <is>
          <t>AT-3085</t>
        </is>
      </c>
      <c r="B899" s="2" t="inlineStr"/>
      <c r="C899" s="2" t="inlineStr">
        <is>
          <t>CADENA MOTOR R-5/11/12/CORCEL</t>
        </is>
      </c>
      <c r="D899" s="2" t="inlineStr">
        <is>
          <t>ANROI</t>
        </is>
      </c>
      <c r="E899" s="3" t="n">
        <v>6</v>
      </c>
      <c r="F899" s="4" t="n">
        <v>0.3</v>
      </c>
      <c r="G899" s="5">
        <f>ROUND(E899*(1+F899),2)</f>
        <v>7.80</v>
      </c>
      <c r="H899" s="5">
        <f>ROUND(G899*NOTAS!$B$2,2)</f>
        <v>5626.50</v>
      </c>
      <c r="I899" s="6">
        <f>ROUND(G899*NOTAS!$B$3,0)</f>
        <v>25341</v>
      </c>
      <c r="J899" s="2" t="n">
        <v>1</v>
      </c>
    </row>
    <row r="900">
      <c r="A900" s="2" t="inlineStr">
        <is>
          <t>FI4006</t>
        </is>
      </c>
      <c r="B900" s="2" t="inlineStr"/>
      <c r="C900" s="2" t="inlineStr">
        <is>
          <t>CAJA DIRECCION F-147/UNO 1.3</t>
        </is>
      </c>
      <c r="D900" s="2" t="inlineStr">
        <is>
          <t>ITALY</t>
        </is>
      </c>
      <c r="E900" s="3" t="n">
        <v>60</v>
      </c>
      <c r="F900" s="4" t="n">
        <v>0.3</v>
      </c>
      <c r="G900" s="5">
        <f>ROUND(E900*(1+F900),2)</f>
        <v>78.00</v>
      </c>
      <c r="H900" s="5">
        <f>ROUND(G900*NOTAS!$B$2,2)</f>
        <v>56264.96</v>
      </c>
      <c r="I900" s="6">
        <f>ROUND(G900*NOTAS!$B$3,0)</f>
        <v>253412</v>
      </c>
      <c r="J900" s="2" t="n">
        <v>1</v>
      </c>
    </row>
    <row r="901">
      <c r="A901" s="2" t="inlineStr">
        <is>
          <t>4201513</t>
        </is>
      </c>
      <c r="B901" s="2" t="inlineStr"/>
      <c r="C901" s="2" t="inlineStr">
        <is>
          <t>CAJA DIRECCION F-147/UNO 1.3</t>
        </is>
      </c>
      <c r="D901" s="2" t="inlineStr">
        <is>
          <t>ITALY</t>
        </is>
      </c>
      <c r="E901" s="3" t="n">
        <v>60</v>
      </c>
      <c r="F901" s="4" t="n">
        <v>0.3</v>
      </c>
      <c r="G901" s="5">
        <f>ROUND(E901*(1+F901),2)</f>
        <v>78.00</v>
      </c>
      <c r="H901" s="5">
        <f>ROUND(G901*NOTAS!$B$2,2)</f>
        <v>56264.96</v>
      </c>
      <c r="I901" s="6">
        <f>ROUND(G901*NOTAS!$B$3,0)</f>
        <v>253412</v>
      </c>
      <c r="J901" s="2" t="n">
        <v>1</v>
      </c>
    </row>
    <row r="902">
      <c r="A902" s="2" t="inlineStr">
        <is>
          <t>8046</t>
        </is>
      </c>
      <c r="B902" s="2" t="inlineStr"/>
      <c r="C902" s="2" t="inlineStr">
        <is>
          <t>CAJA DIRECCION F-147/UNO 1.3</t>
        </is>
      </c>
      <c r="D902" s="2" t="inlineStr">
        <is>
          <t>YUAM</t>
        </is>
      </c>
      <c r="E902" s="3" t="n">
        <v>60</v>
      </c>
      <c r="F902" s="4" t="n">
        <v>0.3</v>
      </c>
      <c r="G902" s="5">
        <f>ROUND(E902*(1+F902),2)</f>
        <v>78.00</v>
      </c>
      <c r="H902" s="5">
        <f>ROUND(G902*NOTAS!$B$2,2)</f>
        <v>56264.96</v>
      </c>
      <c r="I902" s="6">
        <f>ROUND(G902*NOTAS!$B$3,0)</f>
        <v>253412</v>
      </c>
      <c r="J902" s="2" t="n">
        <v>1</v>
      </c>
    </row>
    <row r="903">
      <c r="A903" s="2" t="inlineStr">
        <is>
          <t>5007-04-01 00:00:00</t>
        </is>
      </c>
      <c r="B903" s="2" t="inlineStr"/>
      <c r="C903" s="2" t="inlineStr">
        <is>
          <t>CAJA DIRECCION F-UNO 1.3 AXIAL LARGO</t>
        </is>
      </c>
      <c r="D903" s="2" t="inlineStr">
        <is>
          <t>TDT</t>
        </is>
      </c>
      <c r="E903" s="3" t="n">
        <v>60</v>
      </c>
      <c r="F903" s="4" t="n">
        <v>0.3</v>
      </c>
      <c r="G903" s="5">
        <f>ROUND(E903*(1+F903),2)</f>
        <v>78.00</v>
      </c>
      <c r="H903" s="5">
        <f>ROUND(G903*NOTAS!$B$2,2)</f>
        <v>56264.96</v>
      </c>
      <c r="I903" s="6">
        <f>ROUND(G903*NOTAS!$B$3,0)</f>
        <v>253412</v>
      </c>
      <c r="J903" s="2" t="n">
        <v>1</v>
      </c>
    </row>
    <row r="904">
      <c r="A904" s="2" t="inlineStr">
        <is>
          <t>96535298A</t>
        </is>
      </c>
      <c r="B904" s="2" t="inlineStr"/>
      <c r="C904" s="2" t="inlineStr">
        <is>
          <t>CAJETIN DIRECCION HIDRAUDICA AVEO</t>
        </is>
      </c>
      <c r="D904" s="2" t="inlineStr">
        <is>
          <t>4USA</t>
        </is>
      </c>
      <c r="E904" s="3" t="n">
        <v>84.61539999999999</v>
      </c>
      <c r="F904" s="4" t="n">
        <v>0.3</v>
      </c>
      <c r="G904" s="5">
        <f>ROUND(E904*(1+F904),2)</f>
        <v>110.00</v>
      </c>
      <c r="H904" s="5">
        <f>ROUND(G904*NOTAS!$B$2,2)</f>
        <v>79348.02</v>
      </c>
      <c r="I904" s="6">
        <f>ROUND(G904*NOTAS!$B$3,0)</f>
        <v>357376</v>
      </c>
      <c r="J904" s="2" t="n">
        <v>1</v>
      </c>
    </row>
    <row r="905">
      <c r="A905" s="2" t="inlineStr">
        <is>
          <t>96468198A</t>
        </is>
      </c>
      <c r="B905" s="2" t="inlineStr"/>
      <c r="C905" s="2" t="inlineStr">
        <is>
          <t>CAJETIN DIRECCION HIDRAUDICA CORSA</t>
        </is>
      </c>
      <c r="D905" s="2" t="inlineStr">
        <is>
          <t>4USA</t>
        </is>
      </c>
      <c r="E905" s="3" t="n">
        <v>84.61539999999999</v>
      </c>
      <c r="F905" s="4" t="n">
        <v>0.3</v>
      </c>
      <c r="G905" s="5">
        <f>ROUND(E905*(1+F905),2)</f>
        <v>110.00</v>
      </c>
      <c r="H905" s="5">
        <f>ROUND(G905*NOTAS!$B$2,2)</f>
        <v>79348.02</v>
      </c>
      <c r="I905" s="6">
        <f>ROUND(G905*NOTAS!$B$3,0)</f>
        <v>357376</v>
      </c>
      <c r="J905" s="2" t="n">
        <v>2</v>
      </c>
    </row>
    <row r="906">
      <c r="A906" s="2" t="inlineStr">
        <is>
          <t>2S653200ABA</t>
        </is>
      </c>
      <c r="B906" s="2" t="inlineStr"/>
      <c r="C906" s="2" t="inlineStr">
        <is>
          <t>CAJETIN DIRECCION HIDRAUDICA FIESTA</t>
        </is>
      </c>
      <c r="D906" s="2" t="inlineStr">
        <is>
          <t>4USA</t>
        </is>
      </c>
      <c r="E906" s="3" t="n">
        <v>84.61539999999999</v>
      </c>
      <c r="F906" s="4" t="n">
        <v>0.3</v>
      </c>
      <c r="G906" s="5">
        <f>ROUND(E906*(1+F906),2)</f>
        <v>110.00</v>
      </c>
      <c r="H906" s="5">
        <f>ROUND(G906*NOTAS!$B$2,2)</f>
        <v>79348.02</v>
      </c>
      <c r="I906" s="6">
        <f>ROUND(G906*NOTAS!$B$3,0)</f>
        <v>357376</v>
      </c>
      <c r="J906" s="2" t="n">
        <v>1</v>
      </c>
    </row>
    <row r="907">
      <c r="A907" s="2" t="inlineStr">
        <is>
          <t>94637003</t>
        </is>
      </c>
      <c r="B907" s="2" t="inlineStr"/>
      <c r="C907" s="2" t="inlineStr">
        <is>
          <t>CAMARA CHEVETTE</t>
        </is>
      </c>
      <c r="D907" s="2" t="inlineStr">
        <is>
          <t>GM</t>
        </is>
      </c>
      <c r="E907" s="3" t="n">
        <v>250</v>
      </c>
      <c r="F907" s="4" t="n">
        <v>0.3</v>
      </c>
      <c r="G907" s="5">
        <f>ROUND(E907*(1+F907),2)</f>
        <v>325.00</v>
      </c>
      <c r="H907" s="5">
        <f>ROUND(G907*NOTAS!$B$2,2)</f>
        <v>234437.32</v>
      </c>
      <c r="I907" s="6">
        <f>ROUND(G907*NOTAS!$B$3,0)</f>
        <v>1055883</v>
      </c>
      <c r="J907" s="2" t="n">
        <v>1</v>
      </c>
    </row>
    <row r="908">
      <c r="A908" s="2" t="inlineStr">
        <is>
          <t>93313412</t>
        </is>
      </c>
      <c r="B908" s="2" t="inlineStr"/>
      <c r="C908" s="2" t="inlineStr">
        <is>
          <t>CAMARA COMPLETA CORSA 1.6</t>
        </is>
      </c>
      <c r="D908" s="2" t="inlineStr">
        <is>
          <t>GM</t>
        </is>
      </c>
      <c r="E908" s="3" t="n">
        <v>300</v>
      </c>
      <c r="F908" s="4" t="n">
        <v>0.3</v>
      </c>
      <c r="G908" s="5">
        <f>ROUND(E908*(1+F908),2)</f>
        <v>390.00</v>
      </c>
      <c r="H908" s="5">
        <f>ROUND(G908*NOTAS!$B$2,2)</f>
        <v>281324.78</v>
      </c>
      <c r="I908" s="6">
        <f>ROUND(G908*NOTAS!$B$3,0)</f>
        <v>1267059</v>
      </c>
      <c r="J908" s="2" t="n">
        <v>1</v>
      </c>
    </row>
    <row r="909">
      <c r="A909" s="2" t="inlineStr">
        <is>
          <t>50542</t>
        </is>
      </c>
      <c r="B909" s="2" t="inlineStr"/>
      <c r="C909" s="2" t="inlineStr">
        <is>
          <t>CARBURADOR CORCEL/DEL REY 2 BOCAS</t>
        </is>
      </c>
      <c r="D909" s="2" t="inlineStr">
        <is>
          <t>BROSOL</t>
        </is>
      </c>
      <c r="E909" s="3" t="n">
        <v>100</v>
      </c>
      <c r="F909" s="4" t="n">
        <v>0.3</v>
      </c>
      <c r="G909" s="5">
        <f>ROUND(E909*(1+F909),2)</f>
        <v>130.00</v>
      </c>
      <c r="H909" s="5">
        <f>ROUND(G909*NOTAS!$B$2,2)</f>
        <v>93774.93</v>
      </c>
      <c r="I909" s="6">
        <f>ROUND(G909*NOTAS!$B$3,0)</f>
        <v>422353</v>
      </c>
      <c r="J909" s="2" t="n">
        <v>1</v>
      </c>
    </row>
    <row r="910">
      <c r="A910" s="2" t="inlineStr">
        <is>
          <t>903052</t>
        </is>
      </c>
      <c r="B910" s="2" t="inlineStr">
        <is>
          <t>XS6E6675B1H</t>
        </is>
      </c>
      <c r="C910" s="2" t="inlineStr">
        <is>
          <t>CARTER FIESTA/KA 1.6</t>
        </is>
      </c>
      <c r="D910" s="2" t="inlineStr">
        <is>
          <t>FORD</t>
        </is>
      </c>
      <c r="E910" s="3" t="n">
        <v>19.2308</v>
      </c>
      <c r="F910" s="4" t="n">
        <v>0.3</v>
      </c>
      <c r="G910" s="5">
        <f>ROUND(E910*(1+F910),2)</f>
        <v>25.00</v>
      </c>
      <c r="H910" s="5">
        <f>ROUND(G910*NOTAS!$B$2,2)</f>
        <v>18033.64</v>
      </c>
      <c r="I910" s="6">
        <f>ROUND(G910*NOTAS!$B$3,0)</f>
        <v>81222</v>
      </c>
      <c r="J910" s="2" t="n">
        <v>1</v>
      </c>
    </row>
    <row r="911">
      <c r="A911" s="2" t="inlineStr">
        <is>
          <t>89001042</t>
        </is>
      </c>
      <c r="B911" s="2" t="inlineStr"/>
      <c r="C911" s="2" t="inlineStr">
        <is>
          <t>CEPILLO LIMPIAPARABRISA 13</t>
        </is>
      </c>
      <c r="D911" s="2" t="inlineStr">
        <is>
          <t>ACDELCO</t>
        </is>
      </c>
      <c r="E911" s="3" t="n">
        <v>3.0769</v>
      </c>
      <c r="F911" s="4" t="n">
        <v>0.3</v>
      </c>
      <c r="G911" s="5">
        <f>ROUND(E911*(1+F911),2)</f>
        <v>4.00</v>
      </c>
      <c r="H911" s="5">
        <f>ROUND(G911*NOTAS!$B$2,2)</f>
        <v>2885.38</v>
      </c>
      <c r="I911" s="6">
        <f>ROUND(G911*NOTAS!$B$3,0)</f>
        <v>12995</v>
      </c>
      <c r="J911" s="2" t="n">
        <v>8</v>
      </c>
    </row>
    <row r="912">
      <c r="A912" s="2" t="inlineStr">
        <is>
          <t>350</t>
        </is>
      </c>
      <c r="B912" s="2" t="inlineStr"/>
      <c r="C912" s="2" t="inlineStr">
        <is>
          <t>CEPILLO LIMPIAPARABRISA 14 2UNID</t>
        </is>
      </c>
      <c r="D912" s="2" t="inlineStr">
        <is>
          <t>BOSCH</t>
        </is>
      </c>
      <c r="E912" s="3" t="n">
        <v>3.8462</v>
      </c>
      <c r="F912" s="4" t="n">
        <v>0.3</v>
      </c>
      <c r="G912" s="5">
        <f>ROUND(E912*(1+F912),2)</f>
        <v>5.00</v>
      </c>
      <c r="H912" s="5">
        <f>ROUND(G912*NOTAS!$B$2,2)</f>
        <v>3606.73</v>
      </c>
      <c r="I912" s="6">
        <f>ROUND(G912*NOTAS!$B$3,0)</f>
        <v>16244</v>
      </c>
      <c r="J912" s="2" t="n">
        <v>1</v>
      </c>
    </row>
    <row r="913">
      <c r="A913" s="2" t="inlineStr">
        <is>
          <t>95622245</t>
        </is>
      </c>
      <c r="B913" s="2" t="inlineStr"/>
      <c r="C913" s="2" t="inlineStr">
        <is>
          <t>CEPILLO LIMPIAPARABRISA 16</t>
        </is>
      </c>
      <c r="D913" s="2" t="inlineStr">
        <is>
          <t>CHEVY PARTES</t>
        </is>
      </c>
      <c r="E913" s="3" t="n">
        <v>2.0923</v>
      </c>
      <c r="F913" s="4" t="n">
        <v>0.3</v>
      </c>
      <c r="G913" s="5">
        <f>ROUND(E913*(1+F913),2)</f>
        <v>2.72</v>
      </c>
      <c r="H913" s="5">
        <f>ROUND(G913*NOTAS!$B$2,2)</f>
        <v>1962.06</v>
      </c>
      <c r="I913" s="6">
        <f>ROUND(G913*NOTAS!$B$3,0)</f>
        <v>8837</v>
      </c>
      <c r="J913" s="2" t="n">
        <v>6</v>
      </c>
    </row>
    <row r="914">
      <c r="A914" s="2" t="inlineStr">
        <is>
          <t>M400ME</t>
        </is>
      </c>
      <c r="B914" s="2" t="inlineStr">
        <is>
          <t>19101992</t>
        </is>
      </c>
      <c r="C914" s="2" t="inlineStr">
        <is>
          <t>CEPILLO LIMPIAPARABRISA 16</t>
        </is>
      </c>
      <c r="D914" s="2" t="inlineStr">
        <is>
          <t>ACDELCO</t>
        </is>
      </c>
      <c r="E914" s="3" t="n">
        <v>2.0923</v>
      </c>
      <c r="F914" s="4" t="n">
        <v>0.3</v>
      </c>
      <c r="G914" s="5">
        <f>ROUND(E914*(1+F914),2)</f>
        <v>2.72</v>
      </c>
      <c r="H914" s="5">
        <f>ROUND(G914*NOTAS!$B$2,2)</f>
        <v>1962.06</v>
      </c>
      <c r="I914" s="6">
        <f>ROUND(G914*NOTAS!$B$3,0)</f>
        <v>8837</v>
      </c>
      <c r="J914" s="2" t="n">
        <v>4</v>
      </c>
    </row>
    <row r="915">
      <c r="A915" s="2" t="inlineStr">
        <is>
          <t>M400DPME</t>
        </is>
      </c>
      <c r="B915" s="2" t="inlineStr"/>
      <c r="C915" s="2" t="inlineStr">
        <is>
          <t>CEPILLO LIMPIAPARABRISA 16 2UNID</t>
        </is>
      </c>
      <c r="D915" s="2" t="inlineStr">
        <is>
          <t>ACDELCO</t>
        </is>
      </c>
      <c r="E915" s="3" t="n">
        <v>4.1846</v>
      </c>
      <c r="F915" s="4" t="n">
        <v>0.3</v>
      </c>
      <c r="G915" s="5">
        <f>ROUND(E915*(1+F915),2)</f>
        <v>5.44</v>
      </c>
      <c r="H915" s="5">
        <f>ROUND(G915*NOTAS!$B$2,2)</f>
        <v>3924.12</v>
      </c>
      <c r="I915" s="6">
        <f>ROUND(G915*NOTAS!$B$3,0)</f>
        <v>17674</v>
      </c>
      <c r="J915" s="2" t="n">
        <v>6</v>
      </c>
    </row>
    <row r="916">
      <c r="A916" s="2" t="inlineStr">
        <is>
          <t>MFS400</t>
        </is>
      </c>
      <c r="B916" s="2" t="inlineStr"/>
      <c r="C916" s="2" t="inlineStr">
        <is>
          <t>CEPILLO LIMPIAPARABRISA 16 PLUMA</t>
        </is>
      </c>
      <c r="D916" s="2" t="inlineStr">
        <is>
          <t>ACDELCO</t>
        </is>
      </c>
      <c r="E916" s="3" t="n">
        <v>2.6923</v>
      </c>
      <c r="F916" s="4" t="n">
        <v>0.3</v>
      </c>
      <c r="G916" s="5">
        <f>ROUND(E916*(1+F916),2)</f>
        <v>3.50</v>
      </c>
      <c r="H916" s="5">
        <f>ROUND(G916*NOTAS!$B$2,2)</f>
        <v>2524.71</v>
      </c>
      <c r="I916" s="6">
        <f>ROUND(G916*NOTAS!$B$3,0)</f>
        <v>11371</v>
      </c>
      <c r="J916" s="2" t="n">
        <v>3</v>
      </c>
    </row>
    <row r="917">
      <c r="A917" s="2" t="inlineStr">
        <is>
          <t>M450ME</t>
        </is>
      </c>
      <c r="B917" s="2" t="inlineStr">
        <is>
          <t>19101993</t>
        </is>
      </c>
      <c r="C917" s="2" t="inlineStr">
        <is>
          <t xml:space="preserve">CEPILLO LIMPIAPARABRISA 18 </t>
        </is>
      </c>
      <c r="D917" s="2" t="inlineStr">
        <is>
          <t>ACDELCO</t>
        </is>
      </c>
      <c r="E917" s="3" t="n">
        <v>3.0154</v>
      </c>
      <c r="F917" s="4" t="n">
        <v>0.3</v>
      </c>
      <c r="G917" s="5">
        <f>ROUND(E917*(1+F917),2)</f>
        <v>3.92</v>
      </c>
      <c r="H917" s="5">
        <f>ROUND(G917*NOTAS!$B$2,2)</f>
        <v>2827.67</v>
      </c>
      <c r="I917" s="6">
        <f>ROUND(G917*NOTAS!$B$3,0)</f>
        <v>12736</v>
      </c>
      <c r="J917" s="2" t="n">
        <v>1</v>
      </c>
    </row>
    <row r="918">
      <c r="A918" s="2" t="inlineStr">
        <is>
          <t>MFS450</t>
        </is>
      </c>
      <c r="B918" s="2" t="inlineStr"/>
      <c r="C918" s="2" t="inlineStr">
        <is>
          <t>CEPILLO LIMPIAPARABRISA 18 PLUMA</t>
        </is>
      </c>
      <c r="D918" s="2" t="inlineStr">
        <is>
          <t>ACDELCO</t>
        </is>
      </c>
      <c r="E918" s="3" t="n">
        <v>3.0769</v>
      </c>
      <c r="F918" s="4" t="n">
        <v>0.3</v>
      </c>
      <c r="G918" s="5">
        <f>ROUND(E918*(1+F918),2)</f>
        <v>4.00</v>
      </c>
      <c r="H918" s="5">
        <f>ROUND(G918*NOTAS!$B$2,2)</f>
        <v>2885.38</v>
      </c>
      <c r="I918" s="6">
        <f>ROUND(G918*NOTAS!$B$3,0)</f>
        <v>12995</v>
      </c>
      <c r="J918" s="2" t="n">
        <v>8</v>
      </c>
    </row>
    <row r="919">
      <c r="A919" s="2" t="inlineStr"/>
      <c r="B919" s="2" t="inlineStr"/>
      <c r="C919" s="2" t="inlineStr">
        <is>
          <t>CEPILLO LIMPIAPARABRISA 19</t>
        </is>
      </c>
      <c r="D919" s="2" t="inlineStr">
        <is>
          <t>TRIDON</t>
        </is>
      </c>
      <c r="E919" s="3" t="n">
        <v>1.9231</v>
      </c>
      <c r="F919" s="4" t="n">
        <v>0.3</v>
      </c>
      <c r="G919" s="5">
        <f>ROUND(E919*(1+F919),2)</f>
        <v>2.50</v>
      </c>
      <c r="H919" s="5">
        <f>ROUND(G919*NOTAS!$B$2,2)</f>
        <v>1803.36</v>
      </c>
      <c r="I919" s="6">
        <f>ROUND(G919*NOTAS!$B$3,0)</f>
        <v>8122</v>
      </c>
      <c r="J919" s="2" t="n">
        <v>5</v>
      </c>
    </row>
    <row r="920">
      <c r="A920" s="2" t="inlineStr">
        <is>
          <t>95622247</t>
        </is>
      </c>
      <c r="B920" s="2" t="inlineStr"/>
      <c r="C920" s="2" t="inlineStr">
        <is>
          <t>CEPILLO LIMPIAPARABRISA 20</t>
        </is>
      </c>
      <c r="D920" s="2" t="inlineStr">
        <is>
          <t>CHEVY PARTES</t>
        </is>
      </c>
      <c r="E920" s="3" t="n">
        <v>1.9231</v>
      </c>
      <c r="F920" s="4" t="n">
        <v>0.3</v>
      </c>
      <c r="G920" s="5">
        <f>ROUND(E920*(1+F920),2)</f>
        <v>2.50</v>
      </c>
      <c r="H920" s="5">
        <f>ROUND(G920*NOTAS!$B$2,2)</f>
        <v>1803.36</v>
      </c>
      <c r="I920" s="6">
        <f>ROUND(G920*NOTAS!$B$3,0)</f>
        <v>8122</v>
      </c>
      <c r="J920" s="2" t="n">
        <v>7</v>
      </c>
    </row>
    <row r="921">
      <c r="A921" s="2" t="inlineStr">
        <is>
          <t>93812884</t>
        </is>
      </c>
      <c r="B921" s="2" t="inlineStr"/>
      <c r="C921" s="2" t="inlineStr">
        <is>
          <t>CEPILLO LIMPIAPARABRISA 22</t>
        </is>
      </c>
      <c r="D921" s="2" t="inlineStr">
        <is>
          <t>CHEVY PARTES</t>
        </is>
      </c>
      <c r="E921" s="3" t="n">
        <v>3.0154</v>
      </c>
      <c r="F921" s="4" t="n">
        <v>0.3</v>
      </c>
      <c r="G921" s="5">
        <f>ROUND(E921*(1+F921),2)</f>
        <v>3.92</v>
      </c>
      <c r="H921" s="5">
        <f>ROUND(G921*NOTAS!$B$2,2)</f>
        <v>2827.67</v>
      </c>
      <c r="I921" s="6">
        <f>ROUND(G921*NOTAS!$B$3,0)</f>
        <v>12736</v>
      </c>
      <c r="J921" s="2" t="n">
        <v>4</v>
      </c>
    </row>
    <row r="922">
      <c r="A922" s="2" t="inlineStr">
        <is>
          <t>M550ME</t>
        </is>
      </c>
      <c r="B922" s="2" t="inlineStr"/>
      <c r="C922" s="2" t="inlineStr">
        <is>
          <t>CEPILLO LIMPIAPARABRISA 22</t>
        </is>
      </c>
      <c r="D922" s="2" t="inlineStr">
        <is>
          <t>ACDELCO</t>
        </is>
      </c>
      <c r="E922" s="3" t="n">
        <v>3.0154</v>
      </c>
      <c r="F922" s="4" t="n">
        <v>0.3</v>
      </c>
      <c r="G922" s="5">
        <f>ROUND(E922*(1+F922),2)</f>
        <v>3.92</v>
      </c>
      <c r="H922" s="5">
        <f>ROUND(G922*NOTAS!$B$2,2)</f>
        <v>2827.67</v>
      </c>
      <c r="I922" s="6">
        <f>ROUND(G922*NOTAS!$B$3,0)</f>
        <v>12736</v>
      </c>
      <c r="J922" s="2" t="n">
        <v>1</v>
      </c>
    </row>
    <row r="923">
      <c r="A923" s="2" t="inlineStr">
        <is>
          <t>93812884</t>
        </is>
      </c>
      <c r="B923" s="2" t="inlineStr"/>
      <c r="C923" s="2" t="inlineStr">
        <is>
          <t>CEPILLO LIMPIAPARABRISA 22</t>
        </is>
      </c>
      <c r="D923" s="2" t="inlineStr">
        <is>
          <t>CHEVY PARTES</t>
        </is>
      </c>
      <c r="E923" s="3" t="n">
        <v>3.0154</v>
      </c>
      <c r="F923" s="4" t="n">
        <v>0.3</v>
      </c>
      <c r="G923" s="5">
        <f>ROUND(E923*(1+F923),2)</f>
        <v>3.92</v>
      </c>
      <c r="H923" s="5">
        <f>ROUND(G923*NOTAS!$B$2,2)</f>
        <v>2827.67</v>
      </c>
      <c r="I923" s="6">
        <f>ROUND(G923*NOTAS!$B$3,0)</f>
        <v>12736</v>
      </c>
      <c r="J923" s="2" t="n">
        <v>4</v>
      </c>
    </row>
    <row r="924">
      <c r="A924" s="2" t="inlineStr">
        <is>
          <t>MFS550</t>
        </is>
      </c>
      <c r="B924" s="2" t="inlineStr"/>
      <c r="C924" s="2" t="inlineStr">
        <is>
          <t>CEPILLO LIMPIAPARABRISA 22 PLUMA</t>
        </is>
      </c>
      <c r="D924" s="2" t="inlineStr">
        <is>
          <t>ACDELCO</t>
        </is>
      </c>
      <c r="E924" s="3" t="n">
        <v>3.0769</v>
      </c>
      <c r="F924" s="4" t="n">
        <v>0.3</v>
      </c>
      <c r="G924" s="5">
        <f>ROUND(E924*(1+F924),2)</f>
        <v>4.00</v>
      </c>
      <c r="H924" s="5">
        <f>ROUND(G924*NOTAS!$B$2,2)</f>
        <v>2885.38</v>
      </c>
      <c r="I924" s="6">
        <f>ROUND(G924*NOTAS!$B$3,0)</f>
        <v>12995</v>
      </c>
      <c r="J924" s="2" t="n">
        <v>1</v>
      </c>
    </row>
    <row r="925">
      <c r="A925" s="2" t="inlineStr">
        <is>
          <t>93812885</t>
        </is>
      </c>
      <c r="B925" s="2" t="inlineStr"/>
      <c r="C925" s="2" t="inlineStr">
        <is>
          <t>CEPILLO LIMPIAPARABRISA 23</t>
        </is>
      </c>
      <c r="D925" s="2" t="inlineStr">
        <is>
          <t>CHEVY PARTES</t>
        </is>
      </c>
      <c r="E925" s="3" t="n">
        <v>1.9231</v>
      </c>
      <c r="F925" s="4" t="n">
        <v>0.3</v>
      </c>
      <c r="G925" s="5">
        <f>ROUND(E925*(1+F925),2)</f>
        <v>2.50</v>
      </c>
      <c r="H925" s="5">
        <f>ROUND(G925*NOTAS!$B$2,2)</f>
        <v>1803.36</v>
      </c>
      <c r="I925" s="6">
        <f>ROUND(G925*NOTAS!$B$3,0)</f>
        <v>8122</v>
      </c>
      <c r="J925" s="2" t="n">
        <v>8</v>
      </c>
    </row>
    <row r="926">
      <c r="A926" s="2" t="inlineStr">
        <is>
          <t>M600ME</t>
        </is>
      </c>
      <c r="B926" s="2" t="inlineStr"/>
      <c r="C926" s="2" t="inlineStr">
        <is>
          <t>CEPILLO LIMPIAPARABRISA 24</t>
        </is>
      </c>
      <c r="D926" s="2" t="inlineStr">
        <is>
          <t>ACDELCO</t>
        </is>
      </c>
      <c r="E926" s="3" t="n">
        <v>1.9231</v>
      </c>
      <c r="F926" s="4" t="n">
        <v>0.3</v>
      </c>
      <c r="G926" s="5">
        <f>ROUND(E926*(1+F926),2)</f>
        <v>2.50</v>
      </c>
      <c r="H926" s="5">
        <f>ROUND(G926*NOTAS!$B$2,2)</f>
        <v>1803.36</v>
      </c>
      <c r="I926" s="6">
        <f>ROUND(G926*NOTAS!$B$3,0)</f>
        <v>8122</v>
      </c>
      <c r="J926" s="2" t="n">
        <v>6</v>
      </c>
    </row>
    <row r="927">
      <c r="A927" s="2" t="inlineStr">
        <is>
          <t>904049</t>
        </is>
      </c>
      <c r="B927" s="2" t="inlineStr">
        <is>
          <t>YS65A17528AA</t>
        </is>
      </c>
      <c r="C927" s="2" t="inlineStr">
        <is>
          <t>CEPILLO LIMPIAPARABRISA TRASERO FIESTA 00/13</t>
        </is>
      </c>
      <c r="D927" s="2" t="inlineStr">
        <is>
          <t>MOTORCRAFT</t>
        </is>
      </c>
      <c r="E927" s="3" t="n">
        <v>3.8462</v>
      </c>
      <c r="F927" s="4" t="n">
        <v>0.3</v>
      </c>
      <c r="G927" s="5">
        <f>ROUND(E927*(1+F927),2)</f>
        <v>5.00</v>
      </c>
      <c r="H927" s="5">
        <f>ROUND(G927*NOTAS!$B$2,2)</f>
        <v>3606.73</v>
      </c>
      <c r="I927" s="6">
        <f>ROUND(G927*NOTAS!$B$3,0)</f>
        <v>16244</v>
      </c>
      <c r="J927" s="2" t="n">
        <v>1</v>
      </c>
    </row>
    <row r="928">
      <c r="A928" s="2" t="inlineStr">
        <is>
          <t>930057</t>
        </is>
      </c>
      <c r="B928" s="2" t="inlineStr">
        <is>
          <t>2S6517402AA</t>
        </is>
      </c>
      <c r="C928" s="2" t="inlineStr">
        <is>
          <t>CEPILLO LIMPIAPARABRISA TRASERO FIESTA/ECOSPORT</t>
        </is>
      </c>
      <c r="D928" s="2" t="inlineStr">
        <is>
          <t>FORD</t>
        </is>
      </c>
      <c r="E928" s="3" t="n">
        <v>3.8462</v>
      </c>
      <c r="F928" s="4" t="n">
        <v>0.3</v>
      </c>
      <c r="G928" s="5">
        <f>ROUND(E928*(1+F928),2)</f>
        <v>5.00</v>
      </c>
      <c r="H928" s="5">
        <f>ROUND(G928*NOTAS!$B$2,2)</f>
        <v>3606.73</v>
      </c>
      <c r="I928" s="6">
        <f>ROUND(G928*NOTAS!$B$3,0)</f>
        <v>16244</v>
      </c>
      <c r="J928" s="2" t="n">
        <v>1</v>
      </c>
    </row>
    <row r="929">
      <c r="A929" s="2" t="inlineStr">
        <is>
          <t>60303-7</t>
        </is>
      </c>
      <c r="B929" s="2" t="inlineStr"/>
      <c r="C929" s="2" t="inlineStr">
        <is>
          <t>CEPILLO PUERTA  DERECHA INTERNO F-UNO 2 PUERTAS</t>
        </is>
      </c>
      <c r="D929" s="2" t="inlineStr">
        <is>
          <t>JAHU</t>
        </is>
      </c>
      <c r="E929" s="3" t="n">
        <v>6.1538</v>
      </c>
      <c r="F929" s="4" t="n">
        <v>0.3</v>
      </c>
      <c r="G929" s="5">
        <f>ROUND(E929*(1+F929),2)</f>
        <v>8.00</v>
      </c>
      <c r="H929" s="5">
        <f>ROUND(G929*NOTAS!$B$2,2)</f>
        <v>5770.76</v>
      </c>
      <c r="I929" s="6">
        <f>ROUND(G929*NOTAS!$B$3,0)</f>
        <v>25991</v>
      </c>
      <c r="J929" s="2" t="n">
        <v>1</v>
      </c>
    </row>
    <row r="930">
      <c r="A930" s="2" t="inlineStr">
        <is>
          <t>60483-6</t>
        </is>
      </c>
      <c r="B930" s="2" t="inlineStr"/>
      <c r="C930" s="2" t="inlineStr">
        <is>
          <t>CEPILLO PUERTA DELANTERA DERECHA EXTERNO F-UNO/PREMIO</t>
        </is>
      </c>
      <c r="D930" s="2" t="inlineStr">
        <is>
          <t>JAHU</t>
        </is>
      </c>
      <c r="E930" s="3" t="n">
        <v>6.1538</v>
      </c>
      <c r="F930" s="4" t="n">
        <v>0.3</v>
      </c>
      <c r="G930" s="5">
        <f>ROUND(E930*(1+F930),2)</f>
        <v>8.00</v>
      </c>
      <c r="H930" s="5">
        <f>ROUND(G930*NOTAS!$B$2,2)</f>
        <v>5770.76</v>
      </c>
      <c r="I930" s="6">
        <f>ROUND(G930*NOTAS!$B$3,0)</f>
        <v>25991</v>
      </c>
      <c r="J930" s="2" t="n">
        <v>3</v>
      </c>
    </row>
    <row r="931">
      <c r="A931" s="2" t="inlineStr">
        <is>
          <t>60481-2</t>
        </is>
      </c>
      <c r="B931" s="2" t="inlineStr"/>
      <c r="C931" s="2" t="inlineStr">
        <is>
          <t>CEPILLO PUERTA DELANTERA DERECHA INTERNO F-UNO/PREMIO</t>
        </is>
      </c>
      <c r="D931" s="2" t="inlineStr">
        <is>
          <t>JAHU</t>
        </is>
      </c>
      <c r="E931" s="3" t="n">
        <v>6.1538</v>
      </c>
      <c r="F931" s="4" t="n">
        <v>0.3</v>
      </c>
      <c r="G931" s="5">
        <f>ROUND(E931*(1+F931),2)</f>
        <v>8.00</v>
      </c>
      <c r="H931" s="5">
        <f>ROUND(G931*NOTAS!$B$2,2)</f>
        <v>5770.76</v>
      </c>
      <c r="I931" s="6">
        <f>ROUND(G931*NOTAS!$B$3,0)</f>
        <v>25991</v>
      </c>
      <c r="J931" s="2" t="n">
        <v>3</v>
      </c>
    </row>
    <row r="932">
      <c r="A932" s="2" t="inlineStr">
        <is>
          <t>60484-3</t>
        </is>
      </c>
      <c r="B932" s="2" t="inlineStr"/>
      <c r="C932" s="2" t="inlineStr">
        <is>
          <t>CEPILLO PUERTA DELANTERA IZQUIERDA EXTERNO F-UNO/PREMIO</t>
        </is>
      </c>
      <c r="D932" s="2" t="inlineStr">
        <is>
          <t>JAHU</t>
        </is>
      </c>
      <c r="E932" s="3" t="n">
        <v>6.1538</v>
      </c>
      <c r="F932" s="4" t="n">
        <v>0.3</v>
      </c>
      <c r="G932" s="5">
        <f>ROUND(E932*(1+F932),2)</f>
        <v>8.00</v>
      </c>
      <c r="H932" s="5">
        <f>ROUND(G932*NOTAS!$B$2,2)</f>
        <v>5770.76</v>
      </c>
      <c r="I932" s="6">
        <f>ROUND(G932*NOTAS!$B$3,0)</f>
        <v>25991</v>
      </c>
      <c r="J932" s="2" t="n">
        <v>1</v>
      </c>
    </row>
    <row r="933">
      <c r="A933" s="2" t="inlineStr">
        <is>
          <t>60482-9</t>
        </is>
      </c>
      <c r="B933" s="2" t="inlineStr"/>
      <c r="C933" s="2" t="inlineStr">
        <is>
          <t>CEPILLO PUERTA DELANTERA IZQUIERDA INTERNO F-UNO/PREMIO</t>
        </is>
      </c>
      <c r="D933" s="2" t="inlineStr">
        <is>
          <t>JAHU</t>
        </is>
      </c>
      <c r="E933" s="3" t="n">
        <v>6.1538</v>
      </c>
      <c r="F933" s="4" t="n">
        <v>0.3</v>
      </c>
      <c r="G933" s="5">
        <f>ROUND(E933*(1+F933),2)</f>
        <v>8.00</v>
      </c>
      <c r="H933" s="5">
        <f>ROUND(G933*NOTAS!$B$2,2)</f>
        <v>5770.76</v>
      </c>
      <c r="I933" s="6">
        <f>ROUND(G933*NOTAS!$B$3,0)</f>
        <v>25991</v>
      </c>
      <c r="J933" s="2" t="n">
        <v>1</v>
      </c>
    </row>
    <row r="934">
      <c r="A934" s="2" t="inlineStr">
        <is>
          <t>F-I209</t>
        </is>
      </c>
      <c r="B934" s="2" t="inlineStr"/>
      <c r="C934" s="2" t="inlineStr">
        <is>
          <t>CERRADURA MALETA F-147/SPAZIO</t>
        </is>
      </c>
      <c r="D934" s="2" t="inlineStr">
        <is>
          <t>ZINNI</t>
        </is>
      </c>
      <c r="E934" s="3" t="n">
        <v>11.5385</v>
      </c>
      <c r="F934" s="4" t="n">
        <v>0.3</v>
      </c>
      <c r="G934" s="5">
        <f>ROUND(E934*(1+F934),2)</f>
        <v>15.00</v>
      </c>
      <c r="H934" s="5">
        <f>ROUND(G934*NOTAS!$B$2,2)</f>
        <v>10820.18</v>
      </c>
      <c r="I934" s="6">
        <f>ROUND(G934*NOTAS!$B$3,0)</f>
        <v>48733</v>
      </c>
      <c r="J934" s="2" t="n">
        <v>3</v>
      </c>
    </row>
    <row r="935">
      <c r="A935" s="2" t="inlineStr">
        <is>
          <t>60799</t>
        </is>
      </c>
      <c r="B935" s="2" t="inlineStr"/>
      <c r="C935" s="2" t="inlineStr">
        <is>
          <t>CERRADURA MALETA F-PREMIO</t>
        </is>
      </c>
      <c r="D935" s="2" t="inlineStr">
        <is>
          <t>UNIVERSAL</t>
        </is>
      </c>
      <c r="E935" s="3" t="n">
        <v>11.5385</v>
      </c>
      <c r="F935" s="4" t="n">
        <v>0.3</v>
      </c>
      <c r="G935" s="5">
        <f>ROUND(E935*(1+F935),2)</f>
        <v>15.00</v>
      </c>
      <c r="H935" s="5">
        <f>ROUND(G935*NOTAS!$B$2,2)</f>
        <v>10820.18</v>
      </c>
      <c r="I935" s="6">
        <f>ROUND(G935*NOTAS!$B$3,0)</f>
        <v>48733</v>
      </c>
      <c r="J935" s="2" t="n">
        <v>2</v>
      </c>
    </row>
    <row r="936">
      <c r="A936" s="2" t="inlineStr">
        <is>
          <t>37/141</t>
        </is>
      </c>
      <c r="B936" s="2" t="inlineStr"/>
      <c r="C936" s="2" t="inlineStr">
        <is>
          <t xml:space="preserve">CERRADURA MALETA F-UNO </t>
        </is>
      </c>
      <c r="D936" s="2" t="inlineStr">
        <is>
          <t>MIRAGLIO</t>
        </is>
      </c>
      <c r="E936" s="3" t="n">
        <v>11.5385</v>
      </c>
      <c r="F936" s="4" t="n">
        <v>0.3</v>
      </c>
      <c r="G936" s="5">
        <f>ROUND(E936*(1+F936),2)</f>
        <v>15.00</v>
      </c>
      <c r="H936" s="5">
        <f>ROUND(G936*NOTAS!$B$2,2)</f>
        <v>10820.18</v>
      </c>
      <c r="I936" s="6">
        <f>ROUND(G936*NOTAS!$B$3,0)</f>
        <v>48733</v>
      </c>
      <c r="J936" s="2" t="n">
        <v>1</v>
      </c>
    </row>
    <row r="937">
      <c r="A937" s="2" t="inlineStr">
        <is>
          <t>WA00135</t>
        </is>
      </c>
      <c r="B937" s="2" t="inlineStr"/>
      <c r="C937" s="2" t="inlineStr">
        <is>
          <t>CERRADURA MALETA R-19 1.4</t>
        </is>
      </c>
      <c r="D937" s="2" t="inlineStr">
        <is>
          <t>YA</t>
        </is>
      </c>
      <c r="E937" s="3" t="n">
        <v>11.5385</v>
      </c>
      <c r="F937" s="4" t="n">
        <v>0.3</v>
      </c>
      <c r="G937" s="5">
        <f>ROUND(E937*(1+F937),2)</f>
        <v>15.00</v>
      </c>
      <c r="H937" s="5">
        <f>ROUND(G937*NOTAS!$B$2,2)</f>
        <v>10820.18</v>
      </c>
      <c r="I937" s="6">
        <f>ROUND(G937*NOTAS!$B$3,0)</f>
        <v>48733</v>
      </c>
      <c r="J937" s="2" t="n">
        <v>2</v>
      </c>
    </row>
    <row r="938">
      <c r="A938" s="2" t="inlineStr"/>
      <c r="B938" s="2" t="inlineStr"/>
      <c r="C938" s="2" t="inlineStr">
        <is>
          <t>CERRADURA PUERTA DELANTERA DERECHA F-147/SPAZIO</t>
        </is>
      </c>
      <c r="D938" s="2" t="inlineStr">
        <is>
          <t>BRAZIL</t>
        </is>
      </c>
      <c r="E938" s="3" t="n">
        <v>13.8462</v>
      </c>
      <c r="F938" s="4" t="n">
        <v>0.3</v>
      </c>
      <c r="G938" s="5">
        <f>ROUND(E938*(1+F938),2)</f>
        <v>18.00</v>
      </c>
      <c r="H938" s="5">
        <f>ROUND(G938*NOTAS!$B$2,2)</f>
        <v>12984.22</v>
      </c>
      <c r="I938" s="6">
        <f>ROUND(G938*NOTAS!$B$3,0)</f>
        <v>58480</v>
      </c>
      <c r="J938" s="2" t="n">
        <v>2</v>
      </c>
    </row>
    <row r="939">
      <c r="A939" s="2" t="inlineStr">
        <is>
          <t>K96144045</t>
        </is>
      </c>
      <c r="B939" s="2" t="inlineStr">
        <is>
          <t>96385403</t>
        </is>
      </c>
      <c r="C939" s="2" t="inlineStr">
        <is>
          <t>CIGUENAL AVEO 1.6</t>
        </is>
      </c>
      <c r="D939" s="2" t="inlineStr">
        <is>
          <t>4USA</t>
        </is>
      </c>
      <c r="E939" s="3" t="n">
        <v>90</v>
      </c>
      <c r="F939" s="4" t="n">
        <v>0.3</v>
      </c>
      <c r="G939" s="5">
        <f>ROUND(E939*(1+F939),2)</f>
        <v>117.00</v>
      </c>
      <c r="H939" s="5">
        <f>ROUND(G939*NOTAS!$B$2,2)</f>
        <v>84397.44</v>
      </c>
      <c r="I939" s="6">
        <f>ROUND(G939*NOTAS!$B$3,0)</f>
        <v>380118</v>
      </c>
      <c r="J939" s="2" t="n">
        <v>1</v>
      </c>
    </row>
    <row r="940">
      <c r="A940" s="2" t="inlineStr">
        <is>
          <t>94658971</t>
        </is>
      </c>
      <c r="B940" s="2" t="inlineStr"/>
      <c r="C940" s="2" t="inlineStr">
        <is>
          <t>CIGUENAL CHEVETTE</t>
        </is>
      </c>
      <c r="D940" s="2" t="inlineStr">
        <is>
          <t>LEPE</t>
        </is>
      </c>
      <c r="E940" s="3" t="n">
        <v>80</v>
      </c>
      <c r="F940" s="4" t="n">
        <v>0.3</v>
      </c>
      <c r="G940" s="5">
        <f>ROUND(E940*(1+F940),2)</f>
        <v>104.00</v>
      </c>
      <c r="H940" s="5">
        <f>ROUND(G940*NOTAS!$B$2,2)</f>
        <v>75019.94</v>
      </c>
      <c r="I940" s="6">
        <f>ROUND(G940*NOTAS!$B$3,0)</f>
        <v>337882</v>
      </c>
      <c r="J940" s="2" t="n">
        <v>2</v>
      </c>
    </row>
    <row r="941">
      <c r="A941" s="2" t="inlineStr">
        <is>
          <t>90209963</t>
        </is>
      </c>
      <c r="B941" s="2" t="inlineStr"/>
      <c r="C941" s="2" t="inlineStr">
        <is>
          <t>CIGUENAL CORSA 1.4</t>
        </is>
      </c>
      <c r="D941" s="2" t="inlineStr">
        <is>
          <t>LEPE</t>
        </is>
      </c>
      <c r="E941" s="3" t="n">
        <v>80</v>
      </c>
      <c r="F941" s="4" t="n">
        <v>0.3</v>
      </c>
      <c r="G941" s="5">
        <f>ROUND(E941*(1+F941),2)</f>
        <v>104.00</v>
      </c>
      <c r="H941" s="5">
        <f>ROUND(G941*NOTAS!$B$2,2)</f>
        <v>75019.94</v>
      </c>
      <c r="I941" s="6">
        <f>ROUND(G941*NOTAS!$B$3,0)</f>
        <v>337882</v>
      </c>
      <c r="J941" s="2" t="n">
        <v>1</v>
      </c>
    </row>
    <row r="942">
      <c r="A942" s="2" t="inlineStr"/>
      <c r="B942" s="2" t="inlineStr"/>
      <c r="C942" s="2" t="inlineStr">
        <is>
          <t>CIGUENAL FIAT-147/UNO 1.3</t>
        </is>
      </c>
      <c r="D942" s="2" t="inlineStr">
        <is>
          <t>LEPE</t>
        </is>
      </c>
      <c r="E942" s="3" t="n">
        <v>70</v>
      </c>
      <c r="F942" s="4" t="n">
        <v>0.3</v>
      </c>
      <c r="G942" s="5">
        <f>ROUND(E942*(1+F942),2)</f>
        <v>91.00</v>
      </c>
      <c r="H942" s="5">
        <f>ROUND(G942*NOTAS!$B$2,2)</f>
        <v>65642.45</v>
      </c>
      <c r="I942" s="6">
        <f>ROUND(G942*NOTAS!$B$3,0)</f>
        <v>295647</v>
      </c>
      <c r="J942" s="2" t="n">
        <v>1</v>
      </c>
    </row>
    <row r="943">
      <c r="A943" s="2" t="inlineStr">
        <is>
          <t>47570-16010</t>
        </is>
      </c>
      <c r="B943" s="2" t="inlineStr"/>
      <c r="C943" s="2" t="inlineStr">
        <is>
          <t>CILINDRO FRENO COROLLA 92/02</t>
        </is>
      </c>
      <c r="D943" s="2" t="inlineStr">
        <is>
          <t>JT</t>
        </is>
      </c>
      <c r="E943" s="3" t="n">
        <v>15.3846</v>
      </c>
      <c r="F943" s="4" t="n">
        <v>0.3</v>
      </c>
      <c r="G943" s="5">
        <f>ROUND(E943*(1+F943),2)</f>
        <v>20.00</v>
      </c>
      <c r="H943" s="5">
        <f>ROUND(G943*NOTAS!$B$2,2)</f>
        <v>14426.91</v>
      </c>
      <c r="I943" s="6">
        <f>ROUND(G943*NOTAS!$B$3,0)</f>
        <v>64977</v>
      </c>
      <c r="J943" s="2" t="n">
        <v>1</v>
      </c>
    </row>
    <row r="944">
      <c r="A944" s="2" t="inlineStr">
        <is>
          <t>96574719</t>
        </is>
      </c>
      <c r="B944" s="2" t="inlineStr"/>
      <c r="C944" s="2" t="inlineStr">
        <is>
          <t>CILINDRO FRENO TRASERO AVEO</t>
        </is>
      </c>
      <c r="D944" s="2" t="inlineStr">
        <is>
          <t>PERFECTION BRAKE</t>
        </is>
      </c>
      <c r="E944" s="3" t="n">
        <v>10</v>
      </c>
      <c r="F944" s="4" t="n">
        <v>0.3</v>
      </c>
      <c r="G944" s="5">
        <f>ROUND(E944*(1+F944),2)</f>
        <v>13.00</v>
      </c>
      <c r="H944" s="5">
        <f>ROUND(G944*NOTAS!$B$2,2)</f>
        <v>9377.49</v>
      </c>
      <c r="I944" s="6">
        <f>ROUND(G944*NOTAS!$B$3,0)</f>
        <v>42235</v>
      </c>
      <c r="J944" s="2" t="n">
        <v>11</v>
      </c>
    </row>
    <row r="945">
      <c r="A945" s="2" t="inlineStr">
        <is>
          <t>CF210000A</t>
        </is>
      </c>
      <c r="B945" s="2" t="inlineStr"/>
      <c r="C945" s="2" t="inlineStr">
        <is>
          <t>CILINDRO FRENO TRASERO CORSA</t>
        </is>
      </c>
      <c r="D945" s="2" t="inlineStr">
        <is>
          <t>BKPS</t>
        </is>
      </c>
      <c r="E945" s="3" t="n">
        <v>10</v>
      </c>
      <c r="F945" s="4" t="n">
        <v>0.3</v>
      </c>
      <c r="G945" s="5">
        <f>ROUND(E945*(1+F945),2)</f>
        <v>13.00</v>
      </c>
      <c r="H945" s="5">
        <f>ROUND(G945*NOTAS!$B$2,2)</f>
        <v>9377.49</v>
      </c>
      <c r="I945" s="6">
        <f>ROUND(G945*NOTAS!$B$3,0)</f>
        <v>42235</v>
      </c>
      <c r="J945" s="2" t="n">
        <v>1</v>
      </c>
    </row>
    <row r="946">
      <c r="A946" s="2" t="inlineStr">
        <is>
          <t>34071</t>
        </is>
      </c>
      <c r="B946" s="2" t="inlineStr"/>
      <c r="C946" s="2" t="inlineStr">
        <is>
          <t>CILINDRO FRENO TRASERO CORSA</t>
        </is>
      </c>
      <c r="D946" s="2" t="inlineStr">
        <is>
          <t>PERFECTION BRAKE</t>
        </is>
      </c>
      <c r="E946" s="3" t="n">
        <v>10</v>
      </c>
      <c r="F946" s="4" t="n">
        <v>0.3</v>
      </c>
      <c r="G946" s="5">
        <f>ROUND(E946*(1+F946),2)</f>
        <v>13.00</v>
      </c>
      <c r="H946" s="5">
        <f>ROUND(G946*NOTAS!$B$2,2)</f>
        <v>9377.49</v>
      </c>
      <c r="I946" s="6">
        <f>ROUND(G946*NOTAS!$B$3,0)</f>
        <v>42235</v>
      </c>
      <c r="J946" s="2" t="n">
        <v>15</v>
      </c>
    </row>
    <row r="947">
      <c r="A947" s="2" t="inlineStr">
        <is>
          <t>4245</t>
        </is>
      </c>
      <c r="B947" s="2" t="inlineStr"/>
      <c r="C947" s="2" t="inlineStr">
        <is>
          <t>CILINDRO FRENO TRASERO CORSA</t>
        </is>
      </c>
      <c r="D947" s="2" t="inlineStr">
        <is>
          <t>LPR</t>
        </is>
      </c>
      <c r="E947" s="3" t="n">
        <v>10</v>
      </c>
      <c r="F947" s="4" t="n">
        <v>0.3</v>
      </c>
      <c r="G947" s="5">
        <f>ROUND(E947*(1+F947),2)</f>
        <v>13.00</v>
      </c>
      <c r="H947" s="5">
        <f>ROUND(G947*NOTAS!$B$2,2)</f>
        <v>9377.49</v>
      </c>
      <c r="I947" s="6">
        <f>ROUND(G947*NOTAS!$B$3,0)</f>
        <v>42235</v>
      </c>
      <c r="J947" s="2" t="n">
        <v>5</v>
      </c>
    </row>
    <row r="948">
      <c r="A948" s="2" t="inlineStr">
        <is>
          <t>4248</t>
        </is>
      </c>
      <c r="B948" s="2" t="inlineStr"/>
      <c r="C948" s="2" t="inlineStr">
        <is>
          <t>CILINDRO FRENO TRASERO CORSA</t>
        </is>
      </c>
      <c r="D948" s="2" t="inlineStr">
        <is>
          <t>LPR</t>
        </is>
      </c>
      <c r="E948" s="3" t="n">
        <v>10</v>
      </c>
      <c r="F948" s="4" t="n">
        <v>0.3</v>
      </c>
      <c r="G948" s="5">
        <f>ROUND(E948*(1+F948),2)</f>
        <v>13.00</v>
      </c>
      <c r="H948" s="5">
        <f>ROUND(G948*NOTAS!$B$2,2)</f>
        <v>9377.49</v>
      </c>
      <c r="I948" s="6">
        <f>ROUND(G948*NOTAS!$B$3,0)</f>
        <v>42235</v>
      </c>
      <c r="J948" s="2" t="n">
        <v>9</v>
      </c>
    </row>
    <row r="949">
      <c r="A949" s="2" t="inlineStr">
        <is>
          <t>4253</t>
        </is>
      </c>
      <c r="B949" s="2" t="inlineStr"/>
      <c r="C949" s="2" t="inlineStr">
        <is>
          <t>CILINDRO FRENO TRASERO CORSA</t>
        </is>
      </c>
      <c r="D949" s="2" t="inlineStr">
        <is>
          <t>LPR</t>
        </is>
      </c>
      <c r="E949" s="3" t="n">
        <v>10</v>
      </c>
      <c r="F949" s="4" t="n">
        <v>0.3</v>
      </c>
      <c r="G949" s="5">
        <f>ROUND(E949*(1+F949),2)</f>
        <v>13.00</v>
      </c>
      <c r="H949" s="5">
        <f>ROUND(G949*NOTAS!$B$2,2)</f>
        <v>9377.49</v>
      </c>
      <c r="I949" s="6">
        <f>ROUND(G949*NOTAS!$B$3,0)</f>
        <v>42235</v>
      </c>
      <c r="J949" s="2" t="n">
        <v>4</v>
      </c>
    </row>
    <row r="950">
      <c r="A950" s="2" t="inlineStr">
        <is>
          <t>CF229621</t>
        </is>
      </c>
      <c r="B950" s="2" t="inlineStr"/>
      <c r="C950" s="2" t="inlineStr">
        <is>
          <t>CILINDRO FRENO TRASERO DER CORCEL</t>
        </is>
      </c>
      <c r="D950" s="2" t="inlineStr">
        <is>
          <t>BKPS</t>
        </is>
      </c>
      <c r="E950" s="3" t="n">
        <v>10</v>
      </c>
      <c r="F950" s="4" t="n">
        <v>0.3</v>
      </c>
      <c r="G950" s="5">
        <f>ROUND(E950*(1+F950),2)</f>
        <v>13.00</v>
      </c>
      <c r="H950" s="5">
        <f>ROUND(G950*NOTAS!$B$2,2)</f>
        <v>9377.49</v>
      </c>
      <c r="I950" s="6">
        <f>ROUND(G950*NOTAS!$B$3,0)</f>
        <v>42235</v>
      </c>
      <c r="J950" s="2" t="n">
        <v>3</v>
      </c>
    </row>
    <row r="951">
      <c r="A951" s="2" t="inlineStr">
        <is>
          <t>4523</t>
        </is>
      </c>
      <c r="B951" s="2" t="inlineStr"/>
      <c r="C951" s="2" t="inlineStr">
        <is>
          <t>CILINDRO FRENO TRASERO DER R-11</t>
        </is>
      </c>
      <c r="D951" s="2" t="inlineStr">
        <is>
          <t>LPR</t>
        </is>
      </c>
      <c r="E951" s="3" t="n">
        <v>6</v>
      </c>
      <c r="F951" s="4" t="n">
        <v>0.3</v>
      </c>
      <c r="G951" s="5">
        <f>ROUND(E951*(1+F951),2)</f>
        <v>7.80</v>
      </c>
      <c r="H951" s="5">
        <f>ROUND(G951*NOTAS!$B$2,2)</f>
        <v>5626.50</v>
      </c>
      <c r="I951" s="6">
        <f>ROUND(G951*NOTAS!$B$3,0)</f>
        <v>25341</v>
      </c>
      <c r="J951" s="2" t="n">
        <v>14</v>
      </c>
    </row>
    <row r="952">
      <c r="A952" s="2" t="inlineStr">
        <is>
          <t>206168</t>
        </is>
      </c>
      <c r="B952" s="2" t="inlineStr"/>
      <c r="C952" s="2" t="inlineStr">
        <is>
          <t>CILINDRO FRENO TRASERO DER R-11</t>
        </is>
      </c>
      <c r="D952" s="2" t="inlineStr">
        <is>
          <t>DAR</t>
        </is>
      </c>
      <c r="E952" s="3" t="n">
        <v>6</v>
      </c>
      <c r="F952" s="4" t="n">
        <v>0.3</v>
      </c>
      <c r="G952" s="5">
        <f>ROUND(E952*(1+F952),2)</f>
        <v>7.80</v>
      </c>
      <c r="H952" s="5">
        <f>ROUND(G952*NOTAS!$B$2,2)</f>
        <v>5626.50</v>
      </c>
      <c r="I952" s="6">
        <f>ROUND(G952*NOTAS!$B$3,0)</f>
        <v>25341</v>
      </c>
      <c r="J952" s="2" t="n">
        <v>2</v>
      </c>
    </row>
    <row r="953">
      <c r="A953" s="2" t="inlineStr">
        <is>
          <t>CF0212134</t>
        </is>
      </c>
      <c r="B953" s="2" t="inlineStr"/>
      <c r="C953" s="2" t="inlineStr">
        <is>
          <t>CILINDRO FRENO TRASERO DER R-19 1.4</t>
        </is>
      </c>
      <c r="D953" s="2" t="inlineStr">
        <is>
          <t>BKPS</t>
        </is>
      </c>
      <c r="E953" s="3" t="n">
        <v>8</v>
      </c>
      <c r="F953" s="4" t="n">
        <v>0.3</v>
      </c>
      <c r="G953" s="5">
        <f>ROUND(E953*(1+F953),2)</f>
        <v>10.40</v>
      </c>
      <c r="H953" s="5">
        <f>ROUND(G953*NOTAS!$B$2,2)</f>
        <v>7501.99</v>
      </c>
      <c r="I953" s="6">
        <f>ROUND(G953*NOTAS!$B$3,0)</f>
        <v>33788</v>
      </c>
      <c r="J953" s="2" t="n">
        <v>8</v>
      </c>
    </row>
    <row r="954">
      <c r="A954" s="2" t="inlineStr">
        <is>
          <t>4580</t>
        </is>
      </c>
      <c r="B954" s="2" t="inlineStr"/>
      <c r="C954" s="2" t="inlineStr">
        <is>
          <t>CILINDRO FRENO TRASERO DER R-19 1.4</t>
        </is>
      </c>
      <c r="D954" s="2" t="inlineStr">
        <is>
          <t>LPR</t>
        </is>
      </c>
      <c r="E954" s="3" t="n">
        <v>10</v>
      </c>
      <c r="F954" s="4" t="n">
        <v>0.3</v>
      </c>
      <c r="G954" s="5">
        <f>ROUND(E954*(1+F954),2)</f>
        <v>13.00</v>
      </c>
      <c r="H954" s="5">
        <f>ROUND(G954*NOTAS!$B$2,2)</f>
        <v>9377.49</v>
      </c>
      <c r="I954" s="6">
        <f>ROUND(G954*NOTAS!$B$3,0)</f>
        <v>42235</v>
      </c>
      <c r="J954" s="2" t="n">
        <v>2</v>
      </c>
    </row>
    <row r="955">
      <c r="A955" s="2" t="inlineStr">
        <is>
          <t>7701036386P</t>
        </is>
      </c>
      <c r="B955" s="2" t="inlineStr"/>
      <c r="C955" s="2" t="inlineStr">
        <is>
          <t>CILINDRO FRENO TRASERO DER R-TWINGO</t>
        </is>
      </c>
      <c r="D955" s="2" t="inlineStr">
        <is>
          <t>PERFECTION BRAKE</t>
        </is>
      </c>
      <c r="E955" s="3" t="n">
        <v>8</v>
      </c>
      <c r="F955" s="4" t="n">
        <v>0.3</v>
      </c>
      <c r="G955" s="5">
        <f>ROUND(E955*(1+F955),2)</f>
        <v>10.40</v>
      </c>
      <c r="H955" s="5">
        <f>ROUND(G955*NOTAS!$B$2,2)</f>
        <v>7501.99</v>
      </c>
      <c r="I955" s="6">
        <f>ROUND(G955*NOTAS!$B$3,0)</f>
        <v>33788</v>
      </c>
      <c r="J955" s="2" t="n">
        <v>1</v>
      </c>
    </row>
    <row r="956">
      <c r="A956" s="2" t="inlineStr">
        <is>
          <t>4406</t>
        </is>
      </c>
      <c r="B956" s="2" t="inlineStr"/>
      <c r="C956" s="2" t="inlineStr">
        <is>
          <t>CILINDRO FRENO TRASERO F-131/132</t>
        </is>
      </c>
      <c r="D956" s="2" t="inlineStr">
        <is>
          <t>LPR</t>
        </is>
      </c>
      <c r="E956" s="3" t="n">
        <v>6</v>
      </c>
      <c r="F956" s="4" t="n">
        <v>0.3</v>
      </c>
      <c r="G956" s="5">
        <f>ROUND(E956*(1+F956),2)</f>
        <v>7.80</v>
      </c>
      <c r="H956" s="5">
        <f>ROUND(G956*NOTAS!$B$2,2)</f>
        <v>5626.50</v>
      </c>
      <c r="I956" s="6">
        <f>ROUND(G956*NOTAS!$B$3,0)</f>
        <v>25341</v>
      </c>
      <c r="J956" s="2" t="n">
        <v>2</v>
      </c>
    </row>
    <row r="957">
      <c r="A957" s="2" t="inlineStr">
        <is>
          <t>790665</t>
        </is>
      </c>
      <c r="B957" s="2" t="inlineStr"/>
      <c r="C957" s="2" t="inlineStr">
        <is>
          <t>CILINDRO FRENO TRASERO F-131/132</t>
        </is>
      </c>
      <c r="D957" s="2" t="inlineStr">
        <is>
          <t>METELLI</t>
        </is>
      </c>
      <c r="E957" s="3" t="n">
        <v>6</v>
      </c>
      <c r="F957" s="4" t="n">
        <v>0.3</v>
      </c>
      <c r="G957" s="5">
        <f>ROUND(E957*(1+F957),2)</f>
        <v>7.80</v>
      </c>
      <c r="H957" s="5">
        <f>ROUND(G957*NOTAS!$B$2,2)</f>
        <v>5626.50</v>
      </c>
      <c r="I957" s="6">
        <f>ROUND(G957*NOTAS!$B$3,0)</f>
        <v>25341</v>
      </c>
      <c r="J957" s="2" t="n">
        <v>1</v>
      </c>
    </row>
    <row r="958">
      <c r="A958" s="2" t="inlineStr">
        <is>
          <t>4405</t>
        </is>
      </c>
      <c r="B958" s="2" t="inlineStr"/>
      <c r="C958" s="2" t="inlineStr">
        <is>
          <t>CILINDRO FRENO TRASERO F-147/SPAZIO</t>
        </is>
      </c>
      <c r="D958" s="2" t="inlineStr">
        <is>
          <t>LPR</t>
        </is>
      </c>
      <c r="E958" s="3" t="n">
        <v>6</v>
      </c>
      <c r="F958" s="4" t="n">
        <v>0.3</v>
      </c>
      <c r="G958" s="5">
        <f>ROUND(E958*(1+F958),2)</f>
        <v>7.80</v>
      </c>
      <c r="H958" s="5">
        <f>ROUND(G958*NOTAS!$B$2,2)</f>
        <v>5626.50</v>
      </c>
      <c r="I958" s="6">
        <f>ROUND(G958*NOTAS!$B$3,0)</f>
        <v>25341</v>
      </c>
      <c r="J958" s="2" t="n">
        <v>33</v>
      </c>
    </row>
    <row r="959">
      <c r="A959" s="2" t="inlineStr">
        <is>
          <t>04-0072</t>
        </is>
      </c>
      <c r="B959" s="2" t="inlineStr"/>
      <c r="C959" s="2" t="inlineStr">
        <is>
          <t>CILINDRO FRENO TRASERO F-147/SPAZIO</t>
        </is>
      </c>
      <c r="D959" s="2" t="inlineStr">
        <is>
          <t>METELLI</t>
        </is>
      </c>
      <c r="E959" s="3" t="n">
        <v>6</v>
      </c>
      <c r="F959" s="4" t="n">
        <v>0.3</v>
      </c>
      <c r="G959" s="5">
        <f>ROUND(E959*(1+F959),2)</f>
        <v>7.80</v>
      </c>
      <c r="H959" s="5">
        <f>ROUND(G959*NOTAS!$B$2,2)</f>
        <v>5626.50</v>
      </c>
      <c r="I959" s="6">
        <f>ROUND(G959*NOTAS!$B$3,0)</f>
        <v>25341</v>
      </c>
      <c r="J959" s="2" t="n">
        <v>1</v>
      </c>
    </row>
    <row r="960">
      <c r="A960" s="2" t="inlineStr">
        <is>
          <t>MDX01-26-610A-K</t>
        </is>
      </c>
      <c r="B960" s="2" t="inlineStr"/>
      <c r="C960" s="2" t="inlineStr">
        <is>
          <t>CILINDRO FRENO TRASERO FESTIVA</t>
        </is>
      </c>
      <c r="D960" s="2" t="inlineStr">
        <is>
          <t>IROADA</t>
        </is>
      </c>
      <c r="E960" s="3" t="n">
        <v>8</v>
      </c>
      <c r="F960" s="4" t="n">
        <v>0.3</v>
      </c>
      <c r="G960" s="5">
        <f>ROUND(E960*(1+F960),2)</f>
        <v>10.40</v>
      </c>
      <c r="H960" s="5">
        <f>ROUND(G960*NOTAS!$B$2,2)</f>
        <v>7501.99</v>
      </c>
      <c r="I960" s="6">
        <f>ROUND(G960*NOTAS!$B$3,0)</f>
        <v>33788</v>
      </c>
      <c r="J960" s="2" t="n">
        <v>4</v>
      </c>
    </row>
    <row r="961">
      <c r="A961" s="2" t="inlineStr">
        <is>
          <t>4489</t>
        </is>
      </c>
      <c r="B961" s="2" t="inlineStr"/>
      <c r="C961" s="2" t="inlineStr">
        <is>
          <t>CILINDRO FRENO TRASERO F-PAL/SIE</t>
        </is>
      </c>
      <c r="D961" s="2" t="inlineStr">
        <is>
          <t>LPR</t>
        </is>
      </c>
      <c r="E961" s="3" t="n">
        <v>10</v>
      </c>
      <c r="F961" s="4" t="n">
        <v>0.3</v>
      </c>
      <c r="G961" s="5">
        <f>ROUND(E961*(1+F961),2)</f>
        <v>13.00</v>
      </c>
      <c r="H961" s="5">
        <f>ROUND(G961*NOTAS!$B$2,2)</f>
        <v>9377.49</v>
      </c>
      <c r="I961" s="6">
        <f>ROUND(G961*NOTAS!$B$3,0)</f>
        <v>42235</v>
      </c>
      <c r="J961" s="2" t="n">
        <v>21</v>
      </c>
    </row>
    <row r="962">
      <c r="A962" s="2" t="inlineStr">
        <is>
          <t>CF708142</t>
        </is>
      </c>
      <c r="B962" s="2" t="inlineStr"/>
      <c r="C962" s="2" t="inlineStr">
        <is>
          <t>CILINDRO FRENO TRASERO F-PAL/SIE 1.3 16V FIRE/ FIESTA 04/…</t>
        </is>
      </c>
      <c r="D962" s="2" t="inlineStr">
        <is>
          <t>BKPS</t>
        </is>
      </c>
      <c r="E962" s="3" t="n">
        <v>10</v>
      </c>
      <c r="F962" s="4" t="n">
        <v>0.3</v>
      </c>
      <c r="G962" s="5">
        <f>ROUND(E962*(1+F962),2)</f>
        <v>13.00</v>
      </c>
      <c r="H962" s="5">
        <f>ROUND(G962*NOTAS!$B$2,2)</f>
        <v>9377.49</v>
      </c>
      <c r="I962" s="6">
        <f>ROUND(G962*NOTAS!$B$3,0)</f>
        <v>42235</v>
      </c>
      <c r="J962" s="2" t="n">
        <v>6</v>
      </c>
    </row>
    <row r="963">
      <c r="A963" s="2" t="inlineStr">
        <is>
          <t>5168</t>
        </is>
      </c>
      <c r="B963" s="2" t="inlineStr"/>
      <c r="C963" s="2" t="inlineStr">
        <is>
          <t>CILINDRO FRENO TRASERO F-PAL/SIE 1.3 16V FIRE/ FIESTA 04/…</t>
        </is>
      </c>
      <c r="D963" s="2" t="inlineStr">
        <is>
          <t>LPR</t>
        </is>
      </c>
      <c r="E963" s="3" t="n">
        <v>10</v>
      </c>
      <c r="F963" s="4" t="n">
        <v>0.3</v>
      </c>
      <c r="G963" s="5">
        <f>ROUND(E963*(1+F963),2)</f>
        <v>13.00</v>
      </c>
      <c r="H963" s="5">
        <f>ROUND(G963*NOTAS!$B$2,2)</f>
        <v>9377.49</v>
      </c>
      <c r="I963" s="6">
        <f>ROUND(G963*NOTAS!$B$3,0)</f>
        <v>42235</v>
      </c>
      <c r="J963" s="2" t="n">
        <v>18</v>
      </c>
    </row>
    <row r="964">
      <c r="A964" s="2" t="inlineStr">
        <is>
          <t>C-3472</t>
        </is>
      </c>
      <c r="B964" s="2" t="inlineStr"/>
      <c r="C964" s="2" t="inlineStr">
        <is>
          <t>CILINDRO FRENO TRASERO F-PAL/SIE 1.3 16V FIRE/ FIESTA 04/…</t>
        </is>
      </c>
      <c r="D964" s="2" t="inlineStr">
        <is>
          <t>CONTROIL</t>
        </is>
      </c>
      <c r="E964" s="3" t="n">
        <v>10</v>
      </c>
      <c r="F964" s="4" t="n">
        <v>0.3</v>
      </c>
      <c r="G964" s="5">
        <f>ROUND(E964*(1+F964),2)</f>
        <v>13.00</v>
      </c>
      <c r="H964" s="5">
        <f>ROUND(G964*NOTAS!$B$2,2)</f>
        <v>9377.49</v>
      </c>
      <c r="I964" s="6">
        <f>ROUND(G964*NOTAS!$B$3,0)</f>
        <v>42235</v>
      </c>
      <c r="J964" s="2" t="n">
        <v>4</v>
      </c>
    </row>
    <row r="965">
      <c r="A965" s="2" t="inlineStr">
        <is>
          <t>4452</t>
        </is>
      </c>
      <c r="B965" s="2" t="inlineStr"/>
      <c r="C965" s="2" t="inlineStr">
        <is>
          <t>CILINDRO FRENO TRASERO F-UNO/PREMIO</t>
        </is>
      </c>
      <c r="D965" s="2" t="inlineStr">
        <is>
          <t>LPR</t>
        </is>
      </c>
      <c r="E965" s="3" t="n">
        <v>8</v>
      </c>
      <c r="F965" s="4" t="n">
        <v>0.3</v>
      </c>
      <c r="G965" s="5">
        <f>ROUND(E965*(1+F965),2)</f>
        <v>10.40</v>
      </c>
      <c r="H965" s="5">
        <f>ROUND(G965*NOTAS!$B$2,2)</f>
        <v>7501.99</v>
      </c>
      <c r="I965" s="6">
        <f>ROUND(G965*NOTAS!$B$3,0)</f>
        <v>33788</v>
      </c>
      <c r="J965" s="2" t="n">
        <v>19</v>
      </c>
    </row>
    <row r="966">
      <c r="A966" s="2" t="inlineStr">
        <is>
          <t>SB-22</t>
        </is>
      </c>
      <c r="B966" s="2" t="inlineStr"/>
      <c r="C966" s="2" t="inlineStr">
        <is>
          <t>CILINDRO FRENO TRASERO HYUNDAI ACCENT/EXCEL</t>
        </is>
      </c>
      <c r="D966" s="2" t="inlineStr">
        <is>
          <t>SUN BRAKE</t>
        </is>
      </c>
      <c r="E966" s="3" t="n">
        <v>8</v>
      </c>
      <c r="F966" s="4" t="n">
        <v>0.3</v>
      </c>
      <c r="G966" s="5">
        <f>ROUND(E966*(1+F966),2)</f>
        <v>10.40</v>
      </c>
      <c r="H966" s="5">
        <f>ROUND(G966*NOTAS!$B$2,2)</f>
        <v>7501.99</v>
      </c>
      <c r="I966" s="6">
        <f>ROUND(G966*NOTAS!$B$3,0)</f>
        <v>33788</v>
      </c>
      <c r="J966" s="2" t="n">
        <v>2</v>
      </c>
    </row>
    <row r="967">
      <c r="A967" s="2" t="inlineStr">
        <is>
          <t>CF229620</t>
        </is>
      </c>
      <c r="B967" s="2" t="inlineStr"/>
      <c r="C967" s="2" t="inlineStr">
        <is>
          <t>CILINDRO FRENO TRASERO IZQ CORCEL</t>
        </is>
      </c>
      <c r="D967" s="2" t="inlineStr">
        <is>
          <t>BKPS</t>
        </is>
      </c>
      <c r="E967" s="3" t="n">
        <v>10</v>
      </c>
      <c r="F967" s="4" t="n">
        <v>0.3</v>
      </c>
      <c r="G967" s="5">
        <f>ROUND(E967*(1+F967),2)</f>
        <v>13.00</v>
      </c>
      <c r="H967" s="5">
        <f>ROUND(G967*NOTAS!$B$2,2)</f>
        <v>9377.49</v>
      </c>
      <c r="I967" s="6">
        <f>ROUND(G967*NOTAS!$B$3,0)</f>
        <v>42235</v>
      </c>
      <c r="J967" s="2" t="n">
        <v>6</v>
      </c>
    </row>
    <row r="968">
      <c r="A968" s="2" t="inlineStr">
        <is>
          <t>7460</t>
        </is>
      </c>
      <c r="B968" s="2" t="inlineStr"/>
      <c r="C968" s="2" t="inlineStr">
        <is>
          <t>CILINDRO FRENO TRASERO IZQ CORCEL</t>
        </is>
      </c>
      <c r="D968" s="2" t="inlineStr"/>
      <c r="E968" s="3" t="n">
        <v>10</v>
      </c>
      <c r="F968" s="4" t="n">
        <v>0.3</v>
      </c>
      <c r="G968" s="5">
        <f>ROUND(E968*(1+F968),2)</f>
        <v>13.00</v>
      </c>
      <c r="H968" s="5">
        <f>ROUND(G968*NOTAS!$B$2,2)</f>
        <v>9377.49</v>
      </c>
      <c r="I968" s="6">
        <f>ROUND(G968*NOTAS!$B$3,0)</f>
        <v>42235</v>
      </c>
      <c r="J968" s="2" t="n">
        <v>1</v>
      </c>
    </row>
    <row r="969">
      <c r="A969" s="2" t="inlineStr">
        <is>
          <t>7701041021P</t>
        </is>
      </c>
      <c r="B969" s="2" t="inlineStr"/>
      <c r="C969" s="2" t="inlineStr">
        <is>
          <t>CILINDRO FRENO TRASERO IZQ LOGAN/MEGANE/SCENIC</t>
        </is>
      </c>
      <c r="D969" s="2" t="inlineStr">
        <is>
          <t>PERFECTION BRAKE</t>
        </is>
      </c>
      <c r="E969" s="3" t="n">
        <v>10</v>
      </c>
      <c r="F969" s="4" t="n">
        <v>0.3</v>
      </c>
      <c r="G969" s="5">
        <f>ROUND(E969*(1+F969),2)</f>
        <v>13.00</v>
      </c>
      <c r="H969" s="5">
        <f>ROUND(G969*NOTAS!$B$2,2)</f>
        <v>9377.49</v>
      </c>
      <c r="I969" s="6">
        <f>ROUND(G969*NOTAS!$B$3,0)</f>
        <v>42235</v>
      </c>
      <c r="J969" s="2" t="n">
        <v>1</v>
      </c>
    </row>
    <row r="970">
      <c r="A970" s="2" t="inlineStr">
        <is>
          <t>RCCR00325</t>
        </is>
      </c>
      <c r="B970" s="2" t="inlineStr"/>
      <c r="C970" s="2" t="inlineStr">
        <is>
          <t>CILINDRO FRENO TRASERO IZQ MONZA</t>
        </is>
      </c>
      <c r="D970" s="2" t="inlineStr">
        <is>
          <t>VARGA</t>
        </is>
      </c>
      <c r="E970" s="3" t="n">
        <v>10</v>
      </c>
      <c r="F970" s="4" t="n">
        <v>0.3</v>
      </c>
      <c r="G970" s="5">
        <f>ROUND(E970*(1+F970),2)</f>
        <v>13.00</v>
      </c>
      <c r="H970" s="5">
        <f>ROUND(G970*NOTAS!$B$2,2)</f>
        <v>9377.49</v>
      </c>
      <c r="I970" s="6">
        <f>ROUND(G970*NOTAS!$B$3,0)</f>
        <v>42235</v>
      </c>
      <c r="J970" s="2" t="n">
        <v>1</v>
      </c>
    </row>
    <row r="971">
      <c r="A971" s="2" t="inlineStr">
        <is>
          <t>4521</t>
        </is>
      </c>
      <c r="B971" s="2" t="inlineStr"/>
      <c r="C971" s="2" t="inlineStr">
        <is>
          <t xml:space="preserve">CILINDRO FRENO TRASERO IZQ R-11 </t>
        </is>
      </c>
      <c r="D971" s="2" t="inlineStr">
        <is>
          <t>LPR</t>
        </is>
      </c>
      <c r="E971" s="3" t="n">
        <v>6</v>
      </c>
      <c r="F971" s="4" t="n">
        <v>0.3</v>
      </c>
      <c r="G971" s="5">
        <f>ROUND(E971*(1+F971),2)</f>
        <v>7.80</v>
      </c>
      <c r="H971" s="5">
        <f>ROUND(G971*NOTAS!$B$2,2)</f>
        <v>5626.50</v>
      </c>
      <c r="I971" s="6">
        <f>ROUND(G971*NOTAS!$B$3,0)</f>
        <v>25341</v>
      </c>
      <c r="J971" s="2" t="n">
        <v>8</v>
      </c>
    </row>
    <row r="972">
      <c r="A972" s="2" t="inlineStr">
        <is>
          <t>206169</t>
        </is>
      </c>
      <c r="B972" s="2" t="inlineStr"/>
      <c r="C972" s="2" t="inlineStr">
        <is>
          <t xml:space="preserve">CILINDRO FRENO TRASERO IZQ R-11 </t>
        </is>
      </c>
      <c r="D972" s="2" t="inlineStr">
        <is>
          <t>DAR</t>
        </is>
      </c>
      <c r="E972" s="3" t="n">
        <v>6</v>
      </c>
      <c r="F972" s="4" t="n">
        <v>0.3</v>
      </c>
      <c r="G972" s="5">
        <f>ROUND(E972*(1+F972),2)</f>
        <v>7.80</v>
      </c>
      <c r="H972" s="5">
        <f>ROUND(G972*NOTAS!$B$2,2)</f>
        <v>5626.50</v>
      </c>
      <c r="I972" s="6">
        <f>ROUND(G972*NOTAS!$B$3,0)</f>
        <v>25341</v>
      </c>
      <c r="J972" s="2" t="n">
        <v>2</v>
      </c>
    </row>
    <row r="973">
      <c r="A973" s="2" t="inlineStr">
        <is>
          <t>CF0212133</t>
        </is>
      </c>
      <c r="B973" s="2" t="inlineStr"/>
      <c r="C973" s="2" t="inlineStr">
        <is>
          <t>CILINDRO FRENO TRASERO IZQ R-19 1.4</t>
        </is>
      </c>
      <c r="D973" s="2" t="inlineStr">
        <is>
          <t>BKPS</t>
        </is>
      </c>
      <c r="E973" s="3" t="n">
        <v>8</v>
      </c>
      <c r="F973" s="4" t="n">
        <v>0.3</v>
      </c>
      <c r="G973" s="5">
        <f>ROUND(E973*(1+F973),2)</f>
        <v>10.40</v>
      </c>
      <c r="H973" s="5">
        <f>ROUND(G973*NOTAS!$B$2,2)</f>
        <v>7501.99</v>
      </c>
      <c r="I973" s="6">
        <f>ROUND(G973*NOTAS!$B$3,0)</f>
        <v>33788</v>
      </c>
      <c r="J973" s="2" t="n">
        <v>9</v>
      </c>
    </row>
    <row r="974">
      <c r="A974" s="2" t="inlineStr">
        <is>
          <t>4581</t>
        </is>
      </c>
      <c r="B974" s="2" t="inlineStr"/>
      <c r="C974" s="2" t="inlineStr">
        <is>
          <t>CILINDRO FRENO TRASERO IZQ R-19 1.4</t>
        </is>
      </c>
      <c r="D974" s="2" t="inlineStr">
        <is>
          <t>LPR</t>
        </is>
      </c>
      <c r="E974" s="3" t="n">
        <v>10</v>
      </c>
      <c r="F974" s="4" t="n">
        <v>0.3</v>
      </c>
      <c r="G974" s="5">
        <f>ROUND(E974*(1+F974),2)</f>
        <v>13.00</v>
      </c>
      <c r="H974" s="5">
        <f>ROUND(G974*NOTAS!$B$2,2)</f>
        <v>9377.49</v>
      </c>
      <c r="I974" s="6">
        <f>ROUND(G974*NOTAS!$B$3,0)</f>
        <v>42235</v>
      </c>
      <c r="J974" s="2" t="n">
        <v>2</v>
      </c>
    </row>
    <row r="975">
      <c r="A975" s="2" t="inlineStr">
        <is>
          <t>621771</t>
        </is>
      </c>
      <c r="B975" s="2" t="inlineStr"/>
      <c r="C975" s="2" t="inlineStr">
        <is>
          <t>CILINDRO FRENO TRASERO IZQ R-21</t>
        </is>
      </c>
      <c r="D975" s="2" t="inlineStr">
        <is>
          <t>PERFECTION BRAKE</t>
        </is>
      </c>
      <c r="E975" s="3" t="n">
        <v>8</v>
      </c>
      <c r="F975" s="4" t="n">
        <v>0.3</v>
      </c>
      <c r="G975" s="5">
        <f>ROUND(E975*(1+F975),2)</f>
        <v>10.40</v>
      </c>
      <c r="H975" s="5">
        <f>ROUND(G975*NOTAS!$B$2,2)</f>
        <v>7501.99</v>
      </c>
      <c r="I975" s="6">
        <f>ROUND(G975*NOTAS!$B$3,0)</f>
        <v>33788</v>
      </c>
      <c r="J975" s="2" t="n">
        <v>1</v>
      </c>
    </row>
    <row r="976">
      <c r="A976" s="2" t="inlineStr">
        <is>
          <t>7701036385P</t>
        </is>
      </c>
      <c r="B976" s="2" t="inlineStr"/>
      <c r="C976" s="2" t="inlineStr">
        <is>
          <t>CILINDRO FRENO TRASERO IZQ R-TWINGO</t>
        </is>
      </c>
      <c r="D976" s="2" t="inlineStr">
        <is>
          <t>PERFECTION BRAKE</t>
        </is>
      </c>
      <c r="E976" s="3" t="n">
        <v>8</v>
      </c>
      <c r="F976" s="4" t="n">
        <v>0.3</v>
      </c>
      <c r="G976" s="5">
        <f>ROUND(E976*(1+F976),2)</f>
        <v>10.40</v>
      </c>
      <c r="H976" s="5">
        <f>ROUND(G976*NOTAS!$B$2,2)</f>
        <v>7501.99</v>
      </c>
      <c r="I976" s="6">
        <f>ROUND(G976*NOTAS!$B$3,0)</f>
        <v>33788</v>
      </c>
      <c r="J976" s="2" t="n">
        <v>1</v>
      </c>
    </row>
    <row r="977">
      <c r="A977" s="2" t="inlineStr">
        <is>
          <t>4850</t>
        </is>
      </c>
      <c r="B977" s="2" t="inlineStr"/>
      <c r="C977" s="2" t="inlineStr">
        <is>
          <t>CILINDRO FRENO TRASERO LOGAN</t>
        </is>
      </c>
      <c r="D977" s="2" t="inlineStr">
        <is>
          <t>WOLF</t>
        </is>
      </c>
      <c r="E977" s="3" t="n">
        <v>9.800000000000001</v>
      </c>
      <c r="F977" s="4" t="n">
        <v>0.3</v>
      </c>
      <c r="G977" s="5">
        <f>ROUND(E977*(1+F977),2)</f>
        <v>12.74</v>
      </c>
      <c r="H977" s="5">
        <f>ROUND(G977*NOTAS!$B$2,2)</f>
        <v>9189.94</v>
      </c>
      <c r="I977" s="6">
        <f>ROUND(G977*NOTAS!$B$3,0)</f>
        <v>41391</v>
      </c>
      <c r="J977" s="2" t="n">
        <v>1</v>
      </c>
    </row>
    <row r="978">
      <c r="A978" s="2" t="inlineStr">
        <is>
          <t>RCCR00384</t>
        </is>
      </c>
      <c r="B978" s="2" t="inlineStr"/>
      <c r="C978" s="2" t="inlineStr">
        <is>
          <t>CILINDRO FRENO TRASERO VW GOL/PARATI/SAVEIRO</t>
        </is>
      </c>
      <c r="D978" s="2" t="inlineStr">
        <is>
          <t>VARGA</t>
        </is>
      </c>
      <c r="E978" s="3" t="n">
        <v>10</v>
      </c>
      <c r="F978" s="4" t="n">
        <v>0.3</v>
      </c>
      <c r="G978" s="5">
        <f>ROUND(E978*(1+F978),2)</f>
        <v>13.00</v>
      </c>
      <c r="H978" s="5">
        <f>ROUND(G978*NOTAS!$B$2,2)</f>
        <v>9377.49</v>
      </c>
      <c r="I978" s="6">
        <f>ROUND(G978*NOTAS!$B$3,0)</f>
        <v>42235</v>
      </c>
      <c r="J978" s="2" t="n">
        <v>4</v>
      </c>
    </row>
    <row r="979">
      <c r="A979" s="2" t="inlineStr"/>
      <c r="B979" s="2" t="inlineStr"/>
      <c r="C979" s="2" t="inlineStr">
        <is>
          <t>CIRCUITO STOP DERECHO F-PREMIO</t>
        </is>
      </c>
      <c r="D979" s="2" t="inlineStr">
        <is>
          <t>ARTEB</t>
        </is>
      </c>
      <c r="E979" s="3" t="n">
        <v>7</v>
      </c>
      <c r="F979" s="4" t="n">
        <v>0.3</v>
      </c>
      <c r="G979" s="5">
        <f>ROUND(E979*(1+F979),2)</f>
        <v>9.10</v>
      </c>
      <c r="H979" s="5">
        <f>ROUND(G979*NOTAS!$B$2,2)</f>
        <v>6564.24</v>
      </c>
      <c r="I979" s="6">
        <f>ROUND(G979*NOTAS!$B$3,0)</f>
        <v>29565</v>
      </c>
      <c r="J979" s="2" t="n">
        <v>3</v>
      </c>
    </row>
    <row r="980">
      <c r="A980" s="2" t="inlineStr">
        <is>
          <t>M511218</t>
        </is>
      </c>
      <c r="B980" s="2" t="inlineStr"/>
      <c r="C980" s="2" t="inlineStr">
        <is>
          <t>CIRCUITO STOP DERECHO R-SYMBOL 00/03</t>
        </is>
      </c>
      <c r="D980" s="2" t="inlineStr">
        <is>
          <t>TAKSIM GROUP</t>
        </is>
      </c>
      <c r="E980" s="3" t="n">
        <v>7</v>
      </c>
      <c r="F980" s="4" t="n">
        <v>0.3</v>
      </c>
      <c r="G980" s="5">
        <f>ROUND(E980*(1+F980),2)</f>
        <v>9.10</v>
      </c>
      <c r="H980" s="5">
        <f>ROUND(G980*NOTAS!$B$2,2)</f>
        <v>6564.24</v>
      </c>
      <c r="I980" s="6">
        <f>ROUND(G980*NOTAS!$B$3,0)</f>
        <v>29565</v>
      </c>
      <c r="J980" s="2" t="n">
        <v>5</v>
      </c>
    </row>
    <row r="981">
      <c r="A981" s="2" t="inlineStr"/>
      <c r="B981" s="2" t="inlineStr"/>
      <c r="C981" s="2" t="inlineStr">
        <is>
          <t>CIRCUITO STOP IZQUIERDO F-PREMIO</t>
        </is>
      </c>
      <c r="D981" s="2" t="inlineStr">
        <is>
          <t>ARTEB</t>
        </is>
      </c>
      <c r="E981" s="3" t="n">
        <v>7</v>
      </c>
      <c r="F981" s="4" t="n">
        <v>0.3</v>
      </c>
      <c r="G981" s="5">
        <f>ROUND(E981*(1+F981),2)</f>
        <v>9.10</v>
      </c>
      <c r="H981" s="5">
        <f>ROUND(G981*NOTAS!$B$2,2)</f>
        <v>6564.24</v>
      </c>
      <c r="I981" s="6">
        <f>ROUND(G981*NOTAS!$B$3,0)</f>
        <v>29565</v>
      </c>
      <c r="J981" s="2" t="n">
        <v>3</v>
      </c>
    </row>
    <row r="982">
      <c r="A982" s="2" t="inlineStr">
        <is>
          <t>M511219</t>
        </is>
      </c>
      <c r="B982" s="2" t="inlineStr"/>
      <c r="C982" s="2" t="inlineStr">
        <is>
          <t>CIRCUITO STOP IZQUIERDO R-SYMBOL 00/03</t>
        </is>
      </c>
      <c r="D982" s="2" t="inlineStr">
        <is>
          <t>TAKSIM GROUP</t>
        </is>
      </c>
      <c r="E982" s="3" t="n">
        <v>7</v>
      </c>
      <c r="F982" s="4" t="n">
        <v>0.3</v>
      </c>
      <c r="G982" s="5">
        <f>ROUND(E982*(1+F982),2)</f>
        <v>9.10</v>
      </c>
      <c r="H982" s="5">
        <f>ROUND(G982*NOTAS!$B$2,2)</f>
        <v>6564.24</v>
      </c>
      <c r="I982" s="6">
        <f>ROUND(G982*NOTAS!$B$3,0)</f>
        <v>29565</v>
      </c>
      <c r="J982" s="2" t="n">
        <v>4</v>
      </c>
    </row>
    <row r="983">
      <c r="A983" s="2" t="inlineStr">
        <is>
          <t>560040</t>
        </is>
      </c>
      <c r="B983" s="2" t="inlineStr"/>
      <c r="C983" s="2" t="inlineStr">
        <is>
          <t>COCUYO CRUCE DERECHO CHEVETTE AMARILLO</t>
        </is>
      </c>
      <c r="D983" s="2" t="inlineStr">
        <is>
          <t>ARTEB</t>
        </is>
      </c>
      <c r="E983" s="3" t="n">
        <v>10</v>
      </c>
      <c r="F983" s="4" t="n">
        <v>0.3</v>
      </c>
      <c r="G983" s="5">
        <f>ROUND(E983*(1+F983),2)</f>
        <v>13.00</v>
      </c>
      <c r="H983" s="5">
        <f>ROUND(G983*NOTAS!$B$2,2)</f>
        <v>9377.49</v>
      </c>
      <c r="I983" s="6">
        <f>ROUND(G983*NOTAS!$B$3,0)</f>
        <v>42235</v>
      </c>
      <c r="J983" s="2" t="n">
        <v>1</v>
      </c>
    </row>
    <row r="984">
      <c r="A984" s="2" t="inlineStr">
        <is>
          <t>560006</t>
        </is>
      </c>
      <c r="B984" s="2" t="inlineStr"/>
      <c r="C984" s="2" t="inlineStr">
        <is>
          <t>COCUYO CRUCE DERECHO CORCEL TRASPARENTE</t>
        </is>
      </c>
      <c r="D984" s="2" t="inlineStr">
        <is>
          <t>ARTEB</t>
        </is>
      </c>
      <c r="E984" s="3" t="n">
        <v>10</v>
      </c>
      <c r="F984" s="4" t="n">
        <v>0.3</v>
      </c>
      <c r="G984" s="5">
        <f>ROUND(E984*(1+F984),2)</f>
        <v>13.00</v>
      </c>
      <c r="H984" s="5">
        <f>ROUND(G984*NOTAS!$B$2,2)</f>
        <v>9377.49</v>
      </c>
      <c r="I984" s="6">
        <f>ROUND(G984*NOTAS!$B$3,0)</f>
        <v>42235</v>
      </c>
      <c r="J984" s="2" t="n">
        <v>1</v>
      </c>
    </row>
    <row r="985">
      <c r="A985" s="2" t="inlineStr"/>
      <c r="B985" s="2" t="inlineStr"/>
      <c r="C985" s="2" t="inlineStr">
        <is>
          <t>COCUYO CRUCE DERECHO F-SPAZIO/TUCAN</t>
        </is>
      </c>
      <c r="D985" s="2" t="inlineStr">
        <is>
          <t>BRAZIL</t>
        </is>
      </c>
      <c r="E985" s="3" t="n">
        <v>7</v>
      </c>
      <c r="F985" s="4" t="n">
        <v>0.3</v>
      </c>
      <c r="G985" s="5">
        <f>ROUND(E985*(1+F985),2)</f>
        <v>9.10</v>
      </c>
      <c r="H985" s="5">
        <f>ROUND(G985*NOTAS!$B$2,2)</f>
        <v>6564.24</v>
      </c>
      <c r="I985" s="6">
        <f>ROUND(G985*NOTAS!$B$3,0)</f>
        <v>29565</v>
      </c>
      <c r="J985" s="2" t="n">
        <v>9</v>
      </c>
    </row>
    <row r="986">
      <c r="A986" s="2" t="inlineStr">
        <is>
          <t>I2370LD</t>
        </is>
      </c>
      <c r="B986" s="2" t="inlineStr"/>
      <c r="C986" s="2" t="inlineStr">
        <is>
          <t>COCUYO CRUCE DERECHO F-UNO/PREMIO 90/99 TUNING FUME</t>
        </is>
      </c>
      <c r="D986" s="2" t="inlineStr">
        <is>
          <t>RCD</t>
        </is>
      </c>
      <c r="E986" s="3" t="n">
        <v>7</v>
      </c>
      <c r="F986" s="4" t="n">
        <v>0.3</v>
      </c>
      <c r="G986" s="5">
        <f>ROUND(E986*(1+F986),2)</f>
        <v>9.10</v>
      </c>
      <c r="H986" s="5">
        <f>ROUND(G986*NOTAS!$B$2,2)</f>
        <v>6564.24</v>
      </c>
      <c r="I986" s="6">
        <f>ROUND(G986*NOTAS!$B$3,0)</f>
        <v>29565</v>
      </c>
      <c r="J986" s="2" t="n">
        <v>1</v>
      </c>
    </row>
    <row r="987">
      <c r="A987" s="2" t="inlineStr">
        <is>
          <t>560039</t>
        </is>
      </c>
      <c r="B987" s="2" t="inlineStr"/>
      <c r="C987" s="2" t="inlineStr">
        <is>
          <t>COCUYO CRUCE IZQUIERDO CHEVETTE AMARILLO</t>
        </is>
      </c>
      <c r="D987" s="2" t="inlineStr">
        <is>
          <t>ARTEB</t>
        </is>
      </c>
      <c r="E987" s="3" t="n">
        <v>10</v>
      </c>
      <c r="F987" s="4" t="n">
        <v>0.3</v>
      </c>
      <c r="G987" s="5">
        <f>ROUND(E987*(1+F987),2)</f>
        <v>13.00</v>
      </c>
      <c r="H987" s="5">
        <f>ROUND(G987*NOTAS!$B$2,2)</f>
        <v>9377.49</v>
      </c>
      <c r="I987" s="6">
        <f>ROUND(G987*NOTAS!$B$3,0)</f>
        <v>42235</v>
      </c>
      <c r="J987" s="2" t="n">
        <v>1</v>
      </c>
    </row>
    <row r="988">
      <c r="A988" s="2" t="inlineStr">
        <is>
          <t>560137</t>
        </is>
      </c>
      <c r="B988" s="2" t="inlineStr"/>
      <c r="C988" s="2" t="inlineStr">
        <is>
          <t>COCUYO CRUCE IZQUIERDO F-PALIO/SIENA 96/99 BLANCO</t>
        </is>
      </c>
      <c r="D988" s="2" t="inlineStr">
        <is>
          <t>ARTEB</t>
        </is>
      </c>
      <c r="E988" s="3" t="n">
        <v>10</v>
      </c>
      <c r="F988" s="4" t="n">
        <v>0.3</v>
      </c>
      <c r="G988" s="5">
        <f>ROUND(E988*(1+F988),2)</f>
        <v>13.00</v>
      </c>
      <c r="H988" s="5">
        <f>ROUND(G988*NOTAS!$B$2,2)</f>
        <v>9377.49</v>
      </c>
      <c r="I988" s="6">
        <f>ROUND(G988*NOTAS!$B$3,0)</f>
        <v>42235</v>
      </c>
      <c r="J988" s="2" t="n">
        <v>2</v>
      </c>
    </row>
    <row r="989">
      <c r="A989" s="2" t="inlineStr"/>
      <c r="B989" s="2" t="inlineStr"/>
      <c r="C989" s="2" t="inlineStr">
        <is>
          <t>COCUYO CRUCE IZQUIERDO F-SPAZIO/TUCAN</t>
        </is>
      </c>
      <c r="D989" s="2" t="inlineStr">
        <is>
          <t>BRAZIL</t>
        </is>
      </c>
      <c r="E989" s="3" t="n">
        <v>7</v>
      </c>
      <c r="F989" s="4" t="n">
        <v>0.3</v>
      </c>
      <c r="G989" s="5">
        <f>ROUND(E989*(1+F989),2)</f>
        <v>9.10</v>
      </c>
      <c r="H989" s="5">
        <f>ROUND(G989*NOTAS!$B$2,2)</f>
        <v>6564.24</v>
      </c>
      <c r="I989" s="6">
        <f>ROUND(G989*NOTAS!$B$3,0)</f>
        <v>29565</v>
      </c>
      <c r="J989" s="2" t="n">
        <v>15</v>
      </c>
    </row>
    <row r="990">
      <c r="A990" s="2" t="inlineStr"/>
      <c r="B990" s="2" t="inlineStr"/>
      <c r="C990" s="2" t="inlineStr">
        <is>
          <t>COCUYO CRUCE IZQUIERDO F-UNO/PREMIO …/89</t>
        </is>
      </c>
      <c r="D990" s="2" t="inlineStr">
        <is>
          <t>HT</t>
        </is>
      </c>
      <c r="E990" s="3" t="n">
        <v>6</v>
      </c>
      <c r="F990" s="4" t="n">
        <v>0.3</v>
      </c>
      <c r="G990" s="5">
        <f>ROUND(E990*(1+F990),2)</f>
        <v>7.80</v>
      </c>
      <c r="H990" s="5">
        <f>ROUND(G990*NOTAS!$B$2,2)</f>
        <v>5626.50</v>
      </c>
      <c r="I990" s="6">
        <f>ROUND(G990*NOTAS!$B$3,0)</f>
        <v>25341</v>
      </c>
      <c r="J990" s="2" t="n">
        <v>2</v>
      </c>
    </row>
    <row r="991">
      <c r="A991" s="2" t="inlineStr">
        <is>
          <t>6.1126.06</t>
        </is>
      </c>
      <c r="B991" s="2" t="inlineStr"/>
      <c r="C991" s="2" t="inlineStr">
        <is>
          <t xml:space="preserve">COCUYO CRUCE IZQUIERDO F-UNO/PREMIO 90/99 </t>
        </is>
      </c>
      <c r="D991" s="2" t="inlineStr">
        <is>
          <t>GODKS</t>
        </is>
      </c>
      <c r="E991" s="3" t="n">
        <v>7</v>
      </c>
      <c r="F991" s="4" t="n">
        <v>0.3</v>
      </c>
      <c r="G991" s="5">
        <f>ROUND(E991*(1+F991),2)</f>
        <v>9.10</v>
      </c>
      <c r="H991" s="5">
        <f>ROUND(G991*NOTAS!$B$2,2)</f>
        <v>6564.24</v>
      </c>
      <c r="I991" s="6">
        <f>ROUND(G991*NOTAS!$B$3,0)</f>
        <v>29565</v>
      </c>
      <c r="J991" s="2" t="n">
        <v>1</v>
      </c>
    </row>
    <row r="992">
      <c r="A992" s="2" t="inlineStr"/>
      <c r="B992" s="2" t="inlineStr"/>
      <c r="C992" s="2" t="inlineStr">
        <is>
          <t>COCUYO CRUCE IZQUIERDO F-UNO/PREMIO 90/99 S/REGLETA</t>
        </is>
      </c>
      <c r="D992" s="2" t="inlineStr">
        <is>
          <t>AIMOLA</t>
        </is>
      </c>
      <c r="E992" s="3" t="n">
        <v>5</v>
      </c>
      <c r="F992" s="4" t="n">
        <v>0.3</v>
      </c>
      <c r="G992" s="5">
        <f>ROUND(E992*(1+F992),2)</f>
        <v>6.50</v>
      </c>
      <c r="H992" s="5">
        <f>ROUND(G992*NOTAS!$B$2,2)</f>
        <v>4688.75</v>
      </c>
      <c r="I992" s="6">
        <f>ROUND(G992*NOTAS!$B$3,0)</f>
        <v>21118</v>
      </c>
      <c r="J992" s="2" t="n">
        <v>2</v>
      </c>
    </row>
    <row r="993">
      <c r="A993" s="2" t="inlineStr"/>
      <c r="B993" s="2" t="inlineStr"/>
      <c r="C993" s="2" t="inlineStr">
        <is>
          <t>COCUYO CRUCE IZQUIERDO F-UNO/PREMIO 90/99 TUNING TRASPARENTE</t>
        </is>
      </c>
      <c r="D993" s="2" t="inlineStr">
        <is>
          <t>RCD</t>
        </is>
      </c>
      <c r="E993" s="3" t="n">
        <v>7</v>
      </c>
      <c r="F993" s="4" t="n">
        <v>0.3</v>
      </c>
      <c r="G993" s="5">
        <f>ROUND(E993*(1+F993),2)</f>
        <v>9.10</v>
      </c>
      <c r="H993" s="5">
        <f>ROUND(G993*NOTAS!$B$2,2)</f>
        <v>6564.24</v>
      </c>
      <c r="I993" s="6">
        <f>ROUND(G993*NOTAS!$B$3,0)</f>
        <v>29565</v>
      </c>
      <c r="J993" s="2" t="n">
        <v>1</v>
      </c>
    </row>
    <row r="994">
      <c r="A994" s="2" t="inlineStr">
        <is>
          <t>551-1504L</t>
        </is>
      </c>
      <c r="B994" s="2" t="inlineStr"/>
      <c r="C994" s="2" t="inlineStr">
        <is>
          <t>COCUYO CRUCE IZQUIERDO R-18</t>
        </is>
      </c>
      <c r="D994" s="2" t="inlineStr">
        <is>
          <t>DEPO</t>
        </is>
      </c>
      <c r="E994" s="3" t="n">
        <v>10</v>
      </c>
      <c r="F994" s="4" t="n">
        <v>0.3</v>
      </c>
      <c r="G994" s="5">
        <f>ROUND(E994*(1+F994),2)</f>
        <v>13.00</v>
      </c>
      <c r="H994" s="5">
        <f>ROUND(G994*NOTAS!$B$2,2)</f>
        <v>9377.49</v>
      </c>
      <c r="I994" s="6">
        <f>ROUND(G994*NOTAS!$B$3,0)</f>
        <v>42235</v>
      </c>
      <c r="J994" s="2" t="n">
        <v>1</v>
      </c>
    </row>
    <row r="995">
      <c r="A995" s="2" t="inlineStr">
        <is>
          <t>551-1507L</t>
        </is>
      </c>
      <c r="B995" s="2" t="inlineStr"/>
      <c r="C995" s="2" t="inlineStr">
        <is>
          <t>COCUYO CRUCE IZQUIERDO R-21 …/90</t>
        </is>
      </c>
      <c r="D995" s="2" t="inlineStr">
        <is>
          <t>DEPO</t>
        </is>
      </c>
      <c r="E995" s="3" t="n">
        <v>10</v>
      </c>
      <c r="F995" s="4" t="n">
        <v>0.3</v>
      </c>
      <c r="G995" s="5">
        <f>ROUND(E995*(1+F995),2)</f>
        <v>13.00</v>
      </c>
      <c r="H995" s="5">
        <f>ROUND(G995*NOTAS!$B$2,2)</f>
        <v>9377.49</v>
      </c>
      <c r="I995" s="6">
        <f>ROUND(G995*NOTAS!$B$3,0)</f>
        <v>42235</v>
      </c>
      <c r="J995" s="2" t="n">
        <v>3</v>
      </c>
    </row>
    <row r="996">
      <c r="A996" s="2" t="inlineStr">
        <is>
          <t>GM-133</t>
        </is>
      </c>
      <c r="B996" s="2" t="inlineStr"/>
      <c r="C996" s="2" t="inlineStr">
        <is>
          <t>COLLARIN AVEO/CIELO/LAN</t>
        </is>
      </c>
      <c r="D996" s="2" t="inlineStr">
        <is>
          <t>CVR</t>
        </is>
      </c>
      <c r="E996" s="3" t="n">
        <v>10</v>
      </c>
      <c r="F996" s="4" t="n">
        <v>0.3</v>
      </c>
      <c r="G996" s="5">
        <f>ROUND(E996*(1+F996),2)</f>
        <v>13.00</v>
      </c>
      <c r="H996" s="5">
        <f>ROUND(G996*NOTAS!$B$2,2)</f>
        <v>9377.49</v>
      </c>
      <c r="I996" s="6">
        <f>ROUND(G996*NOTAS!$B$3,0)</f>
        <v>42235</v>
      </c>
      <c r="J996" s="2" t="n">
        <v>2</v>
      </c>
    </row>
    <row r="997">
      <c r="A997" s="2" t="inlineStr">
        <is>
          <t>375416</t>
        </is>
      </c>
      <c r="B997" s="2" t="inlineStr"/>
      <c r="C997" s="2" t="inlineStr">
        <is>
          <t>COLLARIN AVEO/CIELO/LAN</t>
        </is>
      </c>
      <c r="D997" s="2" t="inlineStr">
        <is>
          <t>SNT</t>
        </is>
      </c>
      <c r="E997" s="3" t="n">
        <v>10</v>
      </c>
      <c r="F997" s="4" t="n">
        <v>0.3</v>
      </c>
      <c r="G997" s="5">
        <f>ROUND(E997*(1+F997),2)</f>
        <v>13.00</v>
      </c>
      <c r="H997" s="5">
        <f>ROUND(G997*NOTAS!$B$2,2)</f>
        <v>9377.49</v>
      </c>
      <c r="I997" s="6">
        <f>ROUND(G997*NOTAS!$B$3,0)</f>
        <v>42235</v>
      </c>
      <c r="J997" s="2" t="n">
        <v>1</v>
      </c>
    </row>
    <row r="998">
      <c r="A998" s="2" t="inlineStr">
        <is>
          <t>C0151</t>
        </is>
      </c>
      <c r="B998" s="2" t="inlineStr"/>
      <c r="C998" s="2" t="inlineStr">
        <is>
          <t>COLLARIN AVEO/CIELO/LAN</t>
        </is>
      </c>
      <c r="D998" s="2" t="inlineStr">
        <is>
          <t>EUROBERING</t>
        </is>
      </c>
      <c r="E998" s="3" t="n">
        <v>11</v>
      </c>
      <c r="F998" s="4" t="n">
        <v>0.3</v>
      </c>
      <c r="G998" s="5">
        <f>ROUND(E998*(1+F998),2)</f>
        <v>14.30</v>
      </c>
      <c r="H998" s="5">
        <f>ROUND(G998*NOTAS!$B$2,2)</f>
        <v>10315.24</v>
      </c>
      <c r="I998" s="6">
        <f>ROUND(G998*NOTAS!$B$3,0)</f>
        <v>46459</v>
      </c>
      <c r="J998" s="2" t="n">
        <v>13</v>
      </c>
    </row>
    <row r="999">
      <c r="A999" s="2" t="inlineStr">
        <is>
          <t>90251210</t>
        </is>
      </c>
      <c r="B999" s="2" t="inlineStr"/>
      <c r="C999" s="2" t="inlineStr">
        <is>
          <t>COLLARIN AVEO/CIELO/LAN</t>
        </is>
      </c>
      <c r="D999" s="2" t="inlineStr">
        <is>
          <t>GM</t>
        </is>
      </c>
      <c r="E999" s="3" t="n">
        <v>15</v>
      </c>
      <c r="F999" s="4" t="n">
        <v>0.3</v>
      </c>
      <c r="G999" s="5">
        <f>ROUND(E999*(1+F999),2)</f>
        <v>19.50</v>
      </c>
      <c r="H999" s="5">
        <f>ROUND(G999*NOTAS!$B$2,2)</f>
        <v>14066.24</v>
      </c>
      <c r="I999" s="6">
        <f>ROUND(G999*NOTAS!$B$3,0)</f>
        <v>63353</v>
      </c>
      <c r="J999" s="2" t="n">
        <v>2</v>
      </c>
    </row>
    <row r="1000">
      <c r="A1000" s="2" t="inlineStr">
        <is>
          <t>CRB0049E</t>
        </is>
      </c>
      <c r="B1000" s="2" t="inlineStr"/>
      <c r="C1000" s="2" t="inlineStr">
        <is>
          <t>COLLARIN AVEO/CIELO/LAN</t>
        </is>
      </c>
      <c r="D1000" s="2" t="inlineStr">
        <is>
          <t>OMCAR</t>
        </is>
      </c>
      <c r="E1000" s="3" t="n">
        <v>10</v>
      </c>
      <c r="F1000" s="4" t="n">
        <v>0.3</v>
      </c>
      <c r="G1000" s="5">
        <f>ROUND(E1000*(1+F1000),2)</f>
        <v>13.00</v>
      </c>
      <c r="H1000" s="5">
        <f>ROUND(G1000*NOTAS!$B$2,2)</f>
        <v>9377.49</v>
      </c>
      <c r="I1000" s="6">
        <f>ROUND(G1000*NOTAS!$B$3,0)</f>
        <v>42235</v>
      </c>
      <c r="J1000" s="2" t="n">
        <v>1</v>
      </c>
    </row>
    <row r="1001">
      <c r="A1001" s="2" t="inlineStr">
        <is>
          <t>F-210129.01</t>
        </is>
      </c>
      <c r="B1001" s="2" t="inlineStr"/>
      <c r="C1001" s="2" t="inlineStr">
        <is>
          <t>COLLARIN AVEO/CIELO/LAN</t>
        </is>
      </c>
      <c r="D1001" s="2" t="inlineStr">
        <is>
          <t>INA</t>
        </is>
      </c>
      <c r="E1001" s="3" t="n">
        <v>13</v>
      </c>
      <c r="F1001" s="4" t="n">
        <v>0.3</v>
      </c>
      <c r="G1001" s="5">
        <f>ROUND(E1001*(1+F1001),2)</f>
        <v>16.90</v>
      </c>
      <c r="H1001" s="5">
        <f>ROUND(G1001*NOTAS!$B$2,2)</f>
        <v>12190.74</v>
      </c>
      <c r="I1001" s="6">
        <f>ROUND(G1001*NOTAS!$B$3,0)</f>
        <v>54906</v>
      </c>
      <c r="J1001" s="2" t="n">
        <v>7</v>
      </c>
    </row>
    <row r="1002">
      <c r="A1002" s="2" t="inlineStr">
        <is>
          <t>PRB-08</t>
        </is>
      </c>
      <c r="B1002" s="2" t="inlineStr"/>
      <c r="C1002" s="2" t="inlineStr">
        <is>
          <t>COLLARIN AVEO/CIELO/LAN</t>
        </is>
      </c>
      <c r="D1002" s="2" t="inlineStr">
        <is>
          <t>PHC VALEO</t>
        </is>
      </c>
      <c r="E1002" s="3" t="n">
        <v>15</v>
      </c>
      <c r="F1002" s="4" t="n">
        <v>0.3</v>
      </c>
      <c r="G1002" s="5">
        <f>ROUND(E1002*(1+F1002),2)</f>
        <v>19.50</v>
      </c>
      <c r="H1002" s="5">
        <f>ROUND(G1002*NOTAS!$B$2,2)</f>
        <v>14066.24</v>
      </c>
      <c r="I1002" s="6">
        <f>ROUND(G1002*NOTAS!$B$3,0)</f>
        <v>63353</v>
      </c>
      <c r="J1002" s="2" t="n">
        <v>11</v>
      </c>
    </row>
    <row r="1003">
      <c r="A1003" s="2" t="inlineStr">
        <is>
          <t>VKD19939</t>
        </is>
      </c>
      <c r="B1003" s="2" t="inlineStr"/>
      <c r="C1003" s="2" t="inlineStr">
        <is>
          <t>COLLARIN AVEO/CIELO/LAN</t>
        </is>
      </c>
      <c r="D1003" s="2" t="inlineStr">
        <is>
          <t>VALEO</t>
        </is>
      </c>
      <c r="E1003" s="3" t="n">
        <v>15</v>
      </c>
      <c r="F1003" s="4" t="n">
        <v>0.3</v>
      </c>
      <c r="G1003" s="5">
        <f>ROUND(E1003*(1+F1003),2)</f>
        <v>19.50</v>
      </c>
      <c r="H1003" s="5">
        <f>ROUND(G1003*NOTAS!$B$2,2)</f>
        <v>14066.24</v>
      </c>
      <c r="I1003" s="6">
        <f>ROUND(G1003*NOTAS!$B$3,0)</f>
        <v>63353</v>
      </c>
      <c r="J1003" s="2" t="n">
        <v>1</v>
      </c>
    </row>
    <row r="1004">
      <c r="A1004" s="2" t="inlineStr">
        <is>
          <t>RCT422SAI</t>
        </is>
      </c>
      <c r="B1004" s="2" t="inlineStr"/>
      <c r="C1004" s="2" t="inlineStr">
        <is>
          <t>COLLARIN CARIBE 2.0 2.2 LUV</t>
        </is>
      </c>
      <c r="D1004" s="2" t="inlineStr">
        <is>
          <t>KOYO</t>
        </is>
      </c>
      <c r="E1004" s="3" t="n">
        <v>13.8462</v>
      </c>
      <c r="F1004" s="4" t="n">
        <v>0.3</v>
      </c>
      <c r="G1004" s="5">
        <f>ROUND(E1004*(1+F1004),2)</f>
        <v>18.00</v>
      </c>
      <c r="H1004" s="5">
        <f>ROUND(G1004*NOTAS!$B$2,2)</f>
        <v>12984.22</v>
      </c>
      <c r="I1004" s="6">
        <f>ROUND(G1004*NOTAS!$B$3,0)</f>
        <v>58480</v>
      </c>
      <c r="J1004" s="2" t="n">
        <v>1</v>
      </c>
    </row>
    <row r="1005">
      <c r="A1005" s="2" t="inlineStr">
        <is>
          <t>F-45458.1</t>
        </is>
      </c>
      <c r="B1005" s="2" t="inlineStr"/>
      <c r="C1005" s="2" t="inlineStr">
        <is>
          <t>COLLARIN CHEVETTE</t>
        </is>
      </c>
      <c r="D1005" s="2" t="inlineStr">
        <is>
          <t>INA</t>
        </is>
      </c>
      <c r="E1005" s="3" t="n">
        <v>17</v>
      </c>
      <c r="F1005" s="4" t="n">
        <v>0.3</v>
      </c>
      <c r="G1005" s="5">
        <f>ROUND(E1005*(1+F1005),2)</f>
        <v>22.10</v>
      </c>
      <c r="H1005" s="5">
        <f>ROUND(G1005*NOTAS!$B$2,2)</f>
        <v>15941.74</v>
      </c>
      <c r="I1005" s="6">
        <f>ROUND(G1005*NOTAS!$B$3,0)</f>
        <v>71800</v>
      </c>
      <c r="J1005" s="2" t="n">
        <v>5</v>
      </c>
    </row>
    <row r="1006">
      <c r="A1006" s="2" t="inlineStr">
        <is>
          <t>C0048</t>
        </is>
      </c>
      <c r="B1006" s="2" t="inlineStr"/>
      <c r="C1006" s="2" t="inlineStr">
        <is>
          <t>COLLARIN CHEVETTE</t>
        </is>
      </c>
      <c r="D1006" s="2" t="inlineStr">
        <is>
          <t>EUROBERING</t>
        </is>
      </c>
      <c r="E1006" s="3" t="n">
        <v>14</v>
      </c>
      <c r="F1006" s="4" t="n">
        <v>0.3</v>
      </c>
      <c r="G1006" s="5">
        <f>ROUND(E1006*(1+F1006),2)</f>
        <v>18.20</v>
      </c>
      <c r="H1006" s="5">
        <f>ROUND(G1006*NOTAS!$B$2,2)</f>
        <v>13128.49</v>
      </c>
      <c r="I1006" s="6">
        <f>ROUND(G1006*NOTAS!$B$3,0)</f>
        <v>59129</v>
      </c>
      <c r="J1006" s="2" t="n">
        <v>1</v>
      </c>
    </row>
    <row r="1007">
      <c r="A1007" s="2" t="inlineStr">
        <is>
          <t>F-228537.01</t>
        </is>
      </c>
      <c r="B1007" s="2" t="inlineStr"/>
      <c r="C1007" s="2" t="inlineStr">
        <is>
          <t>COLLARIN CORSA</t>
        </is>
      </c>
      <c r="D1007" s="2" t="inlineStr">
        <is>
          <t>INA</t>
        </is>
      </c>
      <c r="E1007" s="3" t="n">
        <v>15</v>
      </c>
      <c r="F1007" s="4" t="n">
        <v>0.3</v>
      </c>
      <c r="G1007" s="5">
        <f>ROUND(E1007*(1+F1007),2)</f>
        <v>19.50</v>
      </c>
      <c r="H1007" s="5">
        <f>ROUND(G1007*NOTAS!$B$2,2)</f>
        <v>14066.24</v>
      </c>
      <c r="I1007" s="6">
        <f>ROUND(G1007*NOTAS!$B$3,0)</f>
        <v>63353</v>
      </c>
      <c r="J1007" s="2" t="n">
        <v>4</v>
      </c>
    </row>
    <row r="1008">
      <c r="A1008" s="2" t="inlineStr">
        <is>
          <t>572078</t>
        </is>
      </c>
      <c r="B1008" s="2" t="inlineStr"/>
      <c r="C1008" s="2" t="inlineStr">
        <is>
          <t>COLLARIN CORSA</t>
        </is>
      </c>
      <c r="D1008" s="2" t="inlineStr"/>
      <c r="E1008" s="3" t="n">
        <v>12</v>
      </c>
      <c r="F1008" s="4" t="n">
        <v>0.3</v>
      </c>
      <c r="G1008" s="5">
        <f>ROUND(E1008*(1+F1008),2)</f>
        <v>15.60</v>
      </c>
      <c r="H1008" s="5">
        <f>ROUND(G1008*NOTAS!$B$2,2)</f>
        <v>11252.99</v>
      </c>
      <c r="I1008" s="6">
        <f>ROUND(G1008*NOTAS!$B$3,0)</f>
        <v>50682</v>
      </c>
      <c r="J1008" s="2" t="n">
        <v>1</v>
      </c>
    </row>
    <row r="1009">
      <c r="A1009" s="2" t="inlineStr">
        <is>
          <t>CT-24-HS</t>
        </is>
      </c>
      <c r="B1009" s="2" t="inlineStr"/>
      <c r="C1009" s="2" t="inlineStr">
        <is>
          <t>COLLARIN F150/350 83/86</t>
        </is>
      </c>
      <c r="D1009" s="2" t="inlineStr">
        <is>
          <t>GREEN</t>
        </is>
      </c>
      <c r="E1009" s="3" t="n">
        <v>13.8462</v>
      </c>
      <c r="F1009" s="4" t="n">
        <v>0.3</v>
      </c>
      <c r="G1009" s="5">
        <f>ROUND(E1009*(1+F1009),2)</f>
        <v>18.00</v>
      </c>
      <c r="H1009" s="5">
        <f>ROUND(G1009*NOTAS!$B$2,2)</f>
        <v>12984.22</v>
      </c>
      <c r="I1009" s="6">
        <f>ROUND(G1009*NOTAS!$B$3,0)</f>
        <v>58480</v>
      </c>
      <c r="J1009" s="2" t="n">
        <v>1</v>
      </c>
    </row>
    <row r="1010">
      <c r="A1010" s="2" t="inlineStr">
        <is>
          <t>MB301-16-510A</t>
        </is>
      </c>
      <c r="B1010" s="2" t="inlineStr"/>
      <c r="C1010" s="2" t="inlineStr">
        <is>
          <t>COLLARIN FESTIVA</t>
        </is>
      </c>
      <c r="D1010" s="2" t="inlineStr">
        <is>
          <t>PARTS-MALL</t>
        </is>
      </c>
      <c r="E1010" s="3" t="n">
        <v>12</v>
      </c>
      <c r="F1010" s="4" t="n">
        <v>0.3</v>
      </c>
      <c r="G1010" s="5">
        <f>ROUND(E1010*(1+F1010),2)</f>
        <v>15.60</v>
      </c>
      <c r="H1010" s="5">
        <f>ROUND(G1010*NOTAS!$B$2,2)</f>
        <v>11252.99</v>
      </c>
      <c r="I1010" s="6">
        <f>ROUND(G1010*NOTAS!$B$3,0)</f>
        <v>50682</v>
      </c>
      <c r="J1010" s="2" t="n">
        <v>1</v>
      </c>
    </row>
    <row r="1011">
      <c r="A1011" s="2" t="inlineStr">
        <is>
          <t>MB301-16-510A</t>
        </is>
      </c>
      <c r="B1011" s="2" t="inlineStr"/>
      <c r="C1011" s="2" t="inlineStr">
        <is>
          <t>COLLARIN FESTIVA</t>
        </is>
      </c>
      <c r="D1011" s="2" t="inlineStr">
        <is>
          <t>SECO</t>
        </is>
      </c>
      <c r="E1011" s="3" t="n">
        <v>12</v>
      </c>
      <c r="F1011" s="4" t="n">
        <v>0.3</v>
      </c>
      <c r="G1011" s="5">
        <f>ROUND(E1011*(1+F1011),2)</f>
        <v>15.60</v>
      </c>
      <c r="H1011" s="5">
        <f>ROUND(G1011*NOTAS!$B$2,2)</f>
        <v>11252.99</v>
      </c>
      <c r="I1011" s="6">
        <f>ROUND(G1011*NOTAS!$B$3,0)</f>
        <v>50682</v>
      </c>
      <c r="J1011" s="2" t="n">
        <v>2</v>
      </c>
    </row>
    <row r="1012">
      <c r="A1012" s="2" t="inlineStr"/>
      <c r="B1012" s="2" t="inlineStr"/>
      <c r="C1012" s="2" t="inlineStr">
        <is>
          <t>COLLARIN F-REGATA 105 CUELLO ALTA</t>
        </is>
      </c>
      <c r="D1012" s="2" t="inlineStr">
        <is>
          <t>SNT</t>
        </is>
      </c>
      <c r="E1012" s="3" t="n">
        <v>10</v>
      </c>
      <c r="F1012" s="4" t="n">
        <v>0.3</v>
      </c>
      <c r="G1012" s="5">
        <f>ROUND(E1012*(1+F1012),2)</f>
        <v>13.00</v>
      </c>
      <c r="H1012" s="5">
        <f>ROUND(G1012*NOTAS!$B$2,2)</f>
        <v>9377.49</v>
      </c>
      <c r="I1012" s="6">
        <f>ROUND(G1012*NOTAS!$B$3,0)</f>
        <v>42235</v>
      </c>
      <c r="J1012" s="2" t="n">
        <v>1</v>
      </c>
    </row>
    <row r="1013">
      <c r="A1013" s="2" t="inlineStr">
        <is>
          <t>370334</t>
        </is>
      </c>
      <c r="B1013" s="2" t="inlineStr"/>
      <c r="C1013" s="2" t="inlineStr">
        <is>
          <t>COLLARIN F-REGATA 105 CUELLO BAJO</t>
        </is>
      </c>
      <c r="D1013" s="2" t="inlineStr">
        <is>
          <t>SNT</t>
        </is>
      </c>
      <c r="E1013" s="3" t="n">
        <v>10</v>
      </c>
      <c r="F1013" s="4" t="n">
        <v>0.3</v>
      </c>
      <c r="G1013" s="5">
        <f>ROUND(E1013*(1+F1013),2)</f>
        <v>13.00</v>
      </c>
      <c r="H1013" s="5">
        <f>ROUND(G1013*NOTAS!$B$2,2)</f>
        <v>9377.49</v>
      </c>
      <c r="I1013" s="6">
        <f>ROUND(G1013*NOTAS!$B$3,0)</f>
        <v>42235</v>
      </c>
      <c r="J1013" s="2" t="n">
        <v>4</v>
      </c>
    </row>
    <row r="1014">
      <c r="A1014" s="2" t="inlineStr">
        <is>
          <t>R130</t>
        </is>
      </c>
      <c r="B1014" s="2" t="inlineStr"/>
      <c r="C1014" s="2" t="inlineStr">
        <is>
          <t>COLLARIN F-REGATA 2000</t>
        </is>
      </c>
      <c r="D1014" s="2" t="inlineStr">
        <is>
          <t>VALEO</t>
        </is>
      </c>
      <c r="E1014" s="3" t="n">
        <v>10</v>
      </c>
      <c r="F1014" s="4" t="n">
        <v>0.3</v>
      </c>
      <c r="G1014" s="5">
        <f>ROUND(E1014*(1+F1014),2)</f>
        <v>13.00</v>
      </c>
      <c r="H1014" s="5">
        <f>ROUND(G1014*NOTAS!$B$2,2)</f>
        <v>9377.49</v>
      </c>
      <c r="I1014" s="6">
        <f>ROUND(G1014*NOTAS!$B$3,0)</f>
        <v>42235</v>
      </c>
      <c r="J1014" s="2" t="n">
        <v>1</v>
      </c>
    </row>
    <row r="1015">
      <c r="A1015" s="2" t="inlineStr">
        <is>
          <t>C0022</t>
        </is>
      </c>
      <c r="B1015" s="2" t="inlineStr"/>
      <c r="C1015" s="2" t="inlineStr">
        <is>
          <t>COLLARIN F-REGATA 2000</t>
        </is>
      </c>
      <c r="D1015" s="2" t="inlineStr">
        <is>
          <t>WOLF</t>
        </is>
      </c>
      <c r="E1015" s="3" t="n">
        <v>10</v>
      </c>
      <c r="F1015" s="4" t="n">
        <v>0.3</v>
      </c>
      <c r="G1015" s="5">
        <f>ROUND(E1015*(1+F1015),2)</f>
        <v>13.00</v>
      </c>
      <c r="H1015" s="5">
        <f>ROUND(G1015*NOTAS!$B$2,2)</f>
        <v>9377.49</v>
      </c>
      <c r="I1015" s="6">
        <f>ROUND(G1015*NOTAS!$B$3,0)</f>
        <v>42235</v>
      </c>
      <c r="J1015" s="2" t="n">
        <v>2</v>
      </c>
    </row>
    <row r="1016">
      <c r="A1016" s="2" t="inlineStr">
        <is>
          <t>510007910P</t>
        </is>
      </c>
      <c r="B1016" s="2" t="inlineStr"/>
      <c r="C1016" s="2" t="inlineStr">
        <is>
          <t>COLLARIN HIDRAULICO ASTRA 2.0/2.2</t>
        </is>
      </c>
      <c r="D1016" s="2" t="inlineStr">
        <is>
          <t>PERFECTION BRAKE</t>
        </is>
      </c>
      <c r="E1016" s="3" t="n">
        <v>30</v>
      </c>
      <c r="F1016" s="4" t="n">
        <v>0.3</v>
      </c>
      <c r="G1016" s="5">
        <f>ROUND(E1016*(1+F1016),2)</f>
        <v>39.00</v>
      </c>
      <c r="H1016" s="5">
        <f>ROUND(G1016*NOTAS!$B$2,2)</f>
        <v>28132.48</v>
      </c>
      <c r="I1016" s="6">
        <f>ROUND(G1016*NOTAS!$B$3,0)</f>
        <v>126706</v>
      </c>
      <c r="J1016" s="2" t="n">
        <v>1</v>
      </c>
    </row>
    <row r="1017">
      <c r="A1017" s="2" t="inlineStr">
        <is>
          <t>905569</t>
        </is>
      </c>
      <c r="B1017" s="2" t="inlineStr">
        <is>
          <t>AM557A564AA</t>
        </is>
      </c>
      <c r="C1017" s="2" t="inlineStr">
        <is>
          <t>COLLARIN HIDRAULICO FIESTA/ECOSPORT 1.6</t>
        </is>
      </c>
      <c r="D1017" s="2" t="inlineStr">
        <is>
          <t>FORD</t>
        </is>
      </c>
      <c r="E1017" s="3" t="n">
        <v>70</v>
      </c>
      <c r="F1017" s="4" t="n">
        <v>0.3</v>
      </c>
      <c r="G1017" s="5">
        <f>ROUND(E1017*(1+F1017),2)</f>
        <v>91.00</v>
      </c>
      <c r="H1017" s="5">
        <f>ROUND(G1017*NOTAS!$B$2,2)</f>
        <v>65642.45</v>
      </c>
      <c r="I1017" s="6">
        <f>ROUND(G1017*NOTAS!$B$3,0)</f>
        <v>295647</v>
      </c>
      <c r="J1017" s="2" t="n">
        <v>4</v>
      </c>
    </row>
    <row r="1018">
      <c r="A1018" s="2" t="inlineStr">
        <is>
          <t>510.0011.10</t>
        </is>
      </c>
      <c r="B1018" s="2" t="inlineStr"/>
      <c r="C1018" s="2" t="inlineStr">
        <is>
          <t>COLLARIN HIDRAULICO FIESTA/KA</t>
        </is>
      </c>
      <c r="D1018" s="2" t="inlineStr">
        <is>
          <t>LUK</t>
        </is>
      </c>
      <c r="E1018" s="3" t="n">
        <v>50</v>
      </c>
      <c r="F1018" s="4" t="n">
        <v>0.3</v>
      </c>
      <c r="G1018" s="5">
        <f>ROUND(E1018*(1+F1018),2)</f>
        <v>65.00</v>
      </c>
      <c r="H1018" s="5">
        <f>ROUND(G1018*NOTAS!$B$2,2)</f>
        <v>46887.46</v>
      </c>
      <c r="I1018" s="6">
        <f>ROUND(G1018*NOTAS!$B$3,0)</f>
        <v>211177</v>
      </c>
      <c r="J1018" s="2" t="n">
        <v>1</v>
      </c>
    </row>
    <row r="1019">
      <c r="A1019" s="2" t="inlineStr">
        <is>
          <t>510.0065.11</t>
        </is>
      </c>
      <c r="B1019" s="2" t="inlineStr"/>
      <c r="C1019" s="2" t="inlineStr">
        <is>
          <t>COLLARIN HIDRAULICO FIESTA/KA</t>
        </is>
      </c>
      <c r="D1019" s="2" t="inlineStr">
        <is>
          <t>LUK</t>
        </is>
      </c>
      <c r="E1019" s="3" t="n">
        <v>50</v>
      </c>
      <c r="F1019" s="4" t="n">
        <v>0.3</v>
      </c>
      <c r="G1019" s="5">
        <f>ROUND(E1019*(1+F1019),2)</f>
        <v>65.00</v>
      </c>
      <c r="H1019" s="5">
        <f>ROUND(G1019*NOTAS!$B$2,2)</f>
        <v>46887.46</v>
      </c>
      <c r="I1019" s="6">
        <f>ROUND(G1019*NOTAS!$B$3,0)</f>
        <v>211177</v>
      </c>
      <c r="J1019" s="2" t="n">
        <v>5</v>
      </c>
    </row>
    <row r="1020">
      <c r="A1020" s="2" t="inlineStr">
        <is>
          <t>1715642</t>
        </is>
      </c>
      <c r="B1020" s="2" t="inlineStr">
        <is>
          <t>XS417A564EA</t>
        </is>
      </c>
      <c r="C1020" s="2" t="inlineStr">
        <is>
          <t>COLLARIN HIDRAULICO FIESTA/KA</t>
        </is>
      </c>
      <c r="D1020" s="2" t="inlineStr">
        <is>
          <t>FORD</t>
        </is>
      </c>
      <c r="E1020" s="3" t="n">
        <v>65</v>
      </c>
      <c r="F1020" s="4" t="n">
        <v>0.3</v>
      </c>
      <c r="G1020" s="5">
        <f>ROUND(E1020*(1+F1020),2)</f>
        <v>84.50</v>
      </c>
      <c r="H1020" s="5">
        <f>ROUND(G1020*NOTAS!$B$2,2)</f>
        <v>60953.70</v>
      </c>
      <c r="I1020" s="6">
        <f>ROUND(G1020*NOTAS!$B$3,0)</f>
        <v>274530</v>
      </c>
      <c r="J1020" s="2" t="n">
        <v>7</v>
      </c>
    </row>
    <row r="1021">
      <c r="A1021" s="2" t="inlineStr">
        <is>
          <t>370411/37</t>
        </is>
      </c>
      <c r="B1021" s="2" t="inlineStr"/>
      <c r="C1021" s="2" t="inlineStr">
        <is>
          <t>COLLARIN MONZA</t>
        </is>
      </c>
      <c r="D1021" s="2" t="inlineStr">
        <is>
          <t>SNT</t>
        </is>
      </c>
      <c r="E1021" s="3" t="n">
        <v>10</v>
      </c>
      <c r="F1021" s="4" t="n">
        <v>0.3</v>
      </c>
      <c r="G1021" s="5">
        <f>ROUND(E1021*(1+F1021),2)</f>
        <v>13.00</v>
      </c>
      <c r="H1021" s="5">
        <f>ROUND(G1021*NOTAS!$B$2,2)</f>
        <v>9377.49</v>
      </c>
      <c r="I1021" s="6">
        <f>ROUND(G1021*NOTAS!$B$3,0)</f>
        <v>42235</v>
      </c>
      <c r="J1021" s="2" t="n">
        <v>1</v>
      </c>
    </row>
    <row r="1022">
      <c r="A1022" s="2" t="inlineStr">
        <is>
          <t>C49</t>
        </is>
      </c>
      <c r="B1022" s="2" t="inlineStr"/>
      <c r="C1022" s="2" t="inlineStr">
        <is>
          <t>COLLARIN MONZA</t>
        </is>
      </c>
      <c r="D1022" s="2" t="inlineStr">
        <is>
          <t>NWO</t>
        </is>
      </c>
      <c r="E1022" s="3" t="n">
        <v>10</v>
      </c>
      <c r="F1022" s="4" t="n">
        <v>0.3</v>
      </c>
      <c r="G1022" s="5">
        <f>ROUND(E1022*(1+F1022),2)</f>
        <v>13.00</v>
      </c>
      <c r="H1022" s="5">
        <f>ROUND(G1022*NOTAS!$B$2,2)</f>
        <v>9377.49</v>
      </c>
      <c r="I1022" s="6">
        <f>ROUND(G1022*NOTAS!$B$3,0)</f>
        <v>42235</v>
      </c>
      <c r="J1022" s="2" t="n">
        <v>1</v>
      </c>
    </row>
    <row r="1023">
      <c r="A1023" s="2" t="inlineStr">
        <is>
          <t>266121</t>
        </is>
      </c>
      <c r="B1023" s="2" t="inlineStr"/>
      <c r="C1023" s="2" t="inlineStr">
        <is>
          <t>COLLARIN R-11/19</t>
        </is>
      </c>
      <c r="D1023" s="2" t="inlineStr">
        <is>
          <t>VALEO</t>
        </is>
      </c>
      <c r="E1023" s="3" t="n">
        <v>15</v>
      </c>
      <c r="F1023" s="4" t="n">
        <v>0.3</v>
      </c>
      <c r="G1023" s="5">
        <f>ROUND(E1023*(1+F1023),2)</f>
        <v>19.50</v>
      </c>
      <c r="H1023" s="5">
        <f>ROUND(G1023*NOTAS!$B$2,2)</f>
        <v>14066.24</v>
      </c>
      <c r="I1023" s="6">
        <f>ROUND(G1023*NOTAS!$B$3,0)</f>
        <v>63353</v>
      </c>
      <c r="J1023" s="2" t="n">
        <v>4</v>
      </c>
    </row>
    <row r="1024">
      <c r="A1024" s="2" t="inlineStr">
        <is>
          <t>C39</t>
        </is>
      </c>
      <c r="B1024" s="2" t="inlineStr"/>
      <c r="C1024" s="2" t="inlineStr">
        <is>
          <t>COLLARIN R-11/19</t>
        </is>
      </c>
      <c r="D1024" s="2" t="inlineStr">
        <is>
          <t>EUROBERING</t>
        </is>
      </c>
      <c r="E1024" s="3" t="n">
        <v>9</v>
      </c>
      <c r="F1024" s="4" t="n">
        <v>0.3</v>
      </c>
      <c r="G1024" s="5">
        <f>ROUND(E1024*(1+F1024),2)</f>
        <v>11.70</v>
      </c>
      <c r="H1024" s="5">
        <f>ROUND(G1024*NOTAS!$B$2,2)</f>
        <v>8439.74</v>
      </c>
      <c r="I1024" s="6">
        <f>ROUND(G1024*NOTAS!$B$3,0)</f>
        <v>38012</v>
      </c>
      <c r="J1024" s="2" t="n">
        <v>2</v>
      </c>
    </row>
    <row r="1025">
      <c r="A1025" s="2" t="inlineStr"/>
      <c r="B1025" s="2" t="inlineStr"/>
      <c r="C1025" s="2" t="inlineStr">
        <is>
          <t>COLLARIN R-11/19</t>
        </is>
      </c>
      <c r="D1025" s="2" t="inlineStr">
        <is>
          <t>BORGWARNER</t>
        </is>
      </c>
      <c r="E1025" s="3" t="n">
        <v>10</v>
      </c>
      <c r="F1025" s="4" t="n">
        <v>0.3</v>
      </c>
      <c r="G1025" s="5">
        <f>ROUND(E1025*(1+F1025),2)</f>
        <v>13.00</v>
      </c>
      <c r="H1025" s="5">
        <f>ROUND(G1025*NOTAS!$B$2,2)</f>
        <v>9377.49</v>
      </c>
      <c r="I1025" s="6">
        <f>ROUND(G1025*NOTAS!$B$3,0)</f>
        <v>42235</v>
      </c>
      <c r="J1025" s="2" t="n">
        <v>1</v>
      </c>
    </row>
    <row r="1026">
      <c r="A1026" s="2" t="inlineStr">
        <is>
          <t>F-39424</t>
        </is>
      </c>
      <c r="B1026" s="2" t="inlineStr"/>
      <c r="C1026" s="2" t="inlineStr">
        <is>
          <t>COLLARIN R-11/19</t>
        </is>
      </c>
      <c r="D1026" s="2" t="inlineStr">
        <is>
          <t>INA</t>
        </is>
      </c>
      <c r="E1026" s="3" t="n">
        <v>12</v>
      </c>
      <c r="F1026" s="4" t="n">
        <v>0.3</v>
      </c>
      <c r="G1026" s="5">
        <f>ROUND(E1026*(1+F1026),2)</f>
        <v>15.60</v>
      </c>
      <c r="H1026" s="5">
        <f>ROUND(G1026*NOTAS!$B$2,2)</f>
        <v>11252.99</v>
      </c>
      <c r="I1026" s="6">
        <f>ROUND(G1026*NOTAS!$B$3,0)</f>
        <v>50682</v>
      </c>
      <c r="J1026" s="2" t="n">
        <v>9</v>
      </c>
    </row>
    <row r="1027">
      <c r="A1027" s="2" t="inlineStr">
        <is>
          <t>BAC340NY06B</t>
        </is>
      </c>
      <c r="B1027" s="2" t="inlineStr"/>
      <c r="C1027" s="2" t="inlineStr">
        <is>
          <t>COLLARIN R-12/CORCEL</t>
        </is>
      </c>
      <c r="D1027" s="2" t="inlineStr">
        <is>
          <t>SNR</t>
        </is>
      </c>
      <c r="E1027" s="3" t="n">
        <v>11.25</v>
      </c>
      <c r="F1027" s="4" t="n">
        <v>0.3</v>
      </c>
      <c r="G1027" s="5">
        <f>ROUND(E1027*(1+F1027),2)</f>
        <v>14.63</v>
      </c>
      <c r="H1027" s="5">
        <f>ROUND(G1027*NOTAS!$B$2,2)</f>
        <v>10553.29</v>
      </c>
      <c r="I1027" s="6">
        <f>ROUND(G1027*NOTAS!$B$3,0)</f>
        <v>47531</v>
      </c>
      <c r="J1027" s="2" t="n">
        <v>1</v>
      </c>
    </row>
    <row r="1028">
      <c r="A1028" s="2" t="inlineStr">
        <is>
          <t>F-27066</t>
        </is>
      </c>
      <c r="B1028" s="2" t="inlineStr"/>
      <c r="C1028" s="2" t="inlineStr">
        <is>
          <t>COLLARIN R-12/CORCEL</t>
        </is>
      </c>
      <c r="D1028" s="2" t="inlineStr">
        <is>
          <t>INA</t>
        </is>
      </c>
      <c r="E1028" s="3" t="n">
        <v>12</v>
      </c>
      <c r="F1028" s="4" t="n">
        <v>0.3</v>
      </c>
      <c r="G1028" s="5">
        <f>ROUND(E1028*(1+F1028),2)</f>
        <v>15.60</v>
      </c>
      <c r="H1028" s="5">
        <f>ROUND(G1028*NOTAS!$B$2,2)</f>
        <v>11252.99</v>
      </c>
      <c r="I1028" s="6">
        <f>ROUND(G1028*NOTAS!$B$3,0)</f>
        <v>50682</v>
      </c>
      <c r="J1028" s="2" t="n">
        <v>4</v>
      </c>
    </row>
    <row r="1029">
      <c r="A1029" s="2" t="inlineStr">
        <is>
          <t>C0045</t>
        </is>
      </c>
      <c r="B1029" s="2" t="inlineStr"/>
      <c r="C1029" s="2" t="inlineStr">
        <is>
          <t>COLLARIN R-18 1600</t>
        </is>
      </c>
      <c r="D1029" s="2" t="inlineStr">
        <is>
          <t>EUROBERING</t>
        </is>
      </c>
      <c r="E1029" s="3" t="n">
        <v>9</v>
      </c>
      <c r="F1029" s="4" t="n">
        <v>0.3</v>
      </c>
      <c r="G1029" s="5">
        <f>ROUND(E1029*(1+F1029),2)</f>
        <v>11.70</v>
      </c>
      <c r="H1029" s="5">
        <f>ROUND(G1029*NOTAS!$B$2,2)</f>
        <v>8439.74</v>
      </c>
      <c r="I1029" s="6">
        <f>ROUND(G1029*NOTAS!$B$3,0)</f>
        <v>38012</v>
      </c>
      <c r="J1029" s="2" t="n">
        <v>1</v>
      </c>
    </row>
    <row r="1030">
      <c r="A1030" s="2" t="inlineStr">
        <is>
          <t>C40</t>
        </is>
      </c>
      <c r="B1030" s="2" t="inlineStr"/>
      <c r="C1030" s="2" t="inlineStr">
        <is>
          <t>COLLARIN R-18 2.0/FUEGO/21</t>
        </is>
      </c>
      <c r="D1030" s="2" t="inlineStr">
        <is>
          <t>EUROBERING</t>
        </is>
      </c>
      <c r="E1030" s="3" t="n">
        <v>10</v>
      </c>
      <c r="F1030" s="4" t="n">
        <v>0.3</v>
      </c>
      <c r="G1030" s="5">
        <f>ROUND(E1030*(1+F1030),2)</f>
        <v>13.00</v>
      </c>
      <c r="H1030" s="5">
        <f>ROUND(G1030*NOTAS!$B$2,2)</f>
        <v>9377.49</v>
      </c>
      <c r="I1030" s="6">
        <f>ROUND(G1030*NOTAS!$B$3,0)</f>
        <v>42235</v>
      </c>
      <c r="J1030" s="2" t="n">
        <v>10</v>
      </c>
    </row>
    <row r="1031">
      <c r="A1031" s="2" t="inlineStr">
        <is>
          <t>BAC34NY18</t>
        </is>
      </c>
      <c r="B1031" s="2" t="inlineStr"/>
      <c r="C1031" s="2" t="inlineStr">
        <is>
          <t>COLLARIN R-SYMBOL/LOGAN</t>
        </is>
      </c>
      <c r="D1031" s="2" t="inlineStr">
        <is>
          <t>SNR</t>
        </is>
      </c>
      <c r="E1031" s="3" t="n">
        <v>11.25</v>
      </c>
      <c r="F1031" s="4" t="n">
        <v>0.3</v>
      </c>
      <c r="G1031" s="5">
        <f>ROUND(E1031*(1+F1031),2)</f>
        <v>14.63</v>
      </c>
      <c r="H1031" s="5">
        <f>ROUND(G1031*NOTAS!$B$2,2)</f>
        <v>10553.29</v>
      </c>
      <c r="I1031" s="6">
        <f>ROUND(G1031*NOTAS!$B$3,0)</f>
        <v>47531</v>
      </c>
      <c r="J1031" s="2" t="n">
        <v>1</v>
      </c>
    </row>
    <row r="1032">
      <c r="A1032" s="2" t="inlineStr">
        <is>
          <t>25186768</t>
        </is>
      </c>
      <c r="B1032" s="2" t="inlineStr"/>
      <c r="C1032" s="2" t="inlineStr">
        <is>
          <t>COLLARIN SPARK GT</t>
        </is>
      </c>
      <c r="D1032" s="2" t="inlineStr">
        <is>
          <t>GM</t>
        </is>
      </c>
      <c r="E1032" s="3" t="n">
        <v>15</v>
      </c>
      <c r="F1032" s="4" t="n">
        <v>0.3</v>
      </c>
      <c r="G1032" s="5">
        <f>ROUND(E1032*(1+F1032),2)</f>
        <v>19.50</v>
      </c>
      <c r="H1032" s="5">
        <f>ROUND(G1032*NOTAS!$B$2,2)</f>
        <v>14066.24</v>
      </c>
      <c r="I1032" s="6">
        <f>ROUND(G1032*NOTAS!$B$3,0)</f>
        <v>63353</v>
      </c>
      <c r="J1032" s="2" t="n">
        <v>2</v>
      </c>
    </row>
    <row r="1033">
      <c r="A1033" s="2" t="inlineStr">
        <is>
          <t>P96564141</t>
        </is>
      </c>
      <c r="B1033" s="2" t="inlineStr"/>
      <c r="C1033" s="2" t="inlineStr">
        <is>
          <t>COLLARIN SPARK/MATIZ</t>
        </is>
      </c>
      <c r="D1033" s="2" t="inlineStr">
        <is>
          <t>PARTS-MALL</t>
        </is>
      </c>
      <c r="E1033" s="3" t="n">
        <v>12</v>
      </c>
      <c r="F1033" s="4" t="n">
        <v>0.3</v>
      </c>
      <c r="G1033" s="5">
        <f>ROUND(E1033*(1+F1033),2)</f>
        <v>15.60</v>
      </c>
      <c r="H1033" s="5">
        <f>ROUND(G1033*NOTAS!$B$2,2)</f>
        <v>11252.99</v>
      </c>
      <c r="I1033" s="6">
        <f>ROUND(G1033*NOTAS!$B$3,0)</f>
        <v>50682</v>
      </c>
      <c r="J1033" s="2" t="n">
        <v>2</v>
      </c>
    </row>
    <row r="1034">
      <c r="A1034" s="2" t="inlineStr">
        <is>
          <t>PRB-06</t>
        </is>
      </c>
      <c r="B1034" s="2" t="inlineStr"/>
      <c r="C1034" s="2" t="inlineStr">
        <is>
          <t>COLLARIN SPARK/MATIZ</t>
        </is>
      </c>
      <c r="D1034" s="2" t="inlineStr">
        <is>
          <t>PHC VALEO</t>
        </is>
      </c>
      <c r="E1034" s="3" t="n">
        <v>15</v>
      </c>
      <c r="F1034" s="4" t="n">
        <v>0.3</v>
      </c>
      <c r="G1034" s="5">
        <f>ROUND(E1034*(1+F1034),2)</f>
        <v>19.50</v>
      </c>
      <c r="H1034" s="5">
        <f>ROUND(G1034*NOTAS!$B$2,2)</f>
        <v>14066.24</v>
      </c>
      <c r="I1034" s="6">
        <f>ROUND(G1034*NOTAS!$B$3,0)</f>
        <v>63353</v>
      </c>
      <c r="J1034" s="2" t="n">
        <v>1</v>
      </c>
    </row>
    <row r="1035">
      <c r="A1035" s="2" t="inlineStr">
        <is>
          <t>25186768</t>
        </is>
      </c>
      <c r="B1035" s="2" t="inlineStr"/>
      <c r="C1035" s="2" t="inlineStr">
        <is>
          <t>COLLARIN SPARK/MATIZ</t>
        </is>
      </c>
      <c r="D1035" s="2" t="inlineStr">
        <is>
          <t>GM</t>
        </is>
      </c>
      <c r="E1035" s="3" t="n">
        <v>15</v>
      </c>
      <c r="F1035" s="4" t="n">
        <v>0.3</v>
      </c>
      <c r="G1035" s="5">
        <f>ROUND(E1035*(1+F1035),2)</f>
        <v>19.50</v>
      </c>
      <c r="H1035" s="5">
        <f>ROUND(G1035*NOTAS!$B$2,2)</f>
        <v>14066.24</v>
      </c>
      <c r="I1035" s="6">
        <f>ROUND(G1035*NOTAS!$B$3,0)</f>
        <v>63353</v>
      </c>
      <c r="J1035" s="2" t="n">
        <v>1</v>
      </c>
    </row>
    <row r="1036">
      <c r="A1036" s="2" t="inlineStr">
        <is>
          <t>HSC70313</t>
        </is>
      </c>
      <c r="B1036" s="2" t="inlineStr"/>
      <c r="C1036" s="2" t="inlineStr">
        <is>
          <t>COLLARIN SPARK/MATIZ</t>
        </is>
      </c>
      <c r="D1036" s="2" t="inlineStr">
        <is>
          <t xml:space="preserve">HSC </t>
        </is>
      </c>
      <c r="E1036" s="3" t="n">
        <v>12</v>
      </c>
      <c r="F1036" s="4" t="n">
        <v>0.3</v>
      </c>
      <c r="G1036" s="5">
        <f>ROUND(E1036*(1+F1036),2)</f>
        <v>15.60</v>
      </c>
      <c r="H1036" s="5">
        <f>ROUND(G1036*NOTAS!$B$2,2)</f>
        <v>11252.99</v>
      </c>
      <c r="I1036" s="6">
        <f>ROUND(G1036*NOTAS!$B$3,0)</f>
        <v>50682</v>
      </c>
      <c r="J1036" s="2" t="n">
        <v>1</v>
      </c>
    </row>
    <row r="1037">
      <c r="A1037" s="2" t="inlineStr">
        <is>
          <t>SM14545 STD</t>
        </is>
      </c>
      <c r="B1037" s="2" t="inlineStr"/>
      <c r="C1037" s="2" t="inlineStr">
        <is>
          <t>CONCHA BANCADA CHEVETTE</t>
        </is>
      </c>
      <c r="D1037" s="2" t="inlineStr">
        <is>
          <t>MAHLE</t>
        </is>
      </c>
      <c r="E1037" s="3" t="n">
        <v>30</v>
      </c>
      <c r="F1037" s="4" t="n">
        <v>0.3</v>
      </c>
      <c r="G1037" s="5">
        <f>ROUND(E1037*(1+F1037),2)</f>
        <v>39.00</v>
      </c>
      <c r="H1037" s="5">
        <f>ROUND(G1037*NOTAS!$B$2,2)</f>
        <v>28132.48</v>
      </c>
      <c r="I1037" s="6">
        <f>ROUND(G1037*NOTAS!$B$3,0)</f>
        <v>126706</v>
      </c>
      <c r="J1037" s="2" t="n">
        <v>5</v>
      </c>
    </row>
    <row r="1038">
      <c r="A1038" s="2" t="inlineStr">
        <is>
          <t>BC-545J STD</t>
        </is>
      </c>
      <c r="B1038" s="2" t="inlineStr"/>
      <c r="C1038" s="2" t="inlineStr">
        <is>
          <t>CONCHA BANCADA CHEVETTE</t>
        </is>
      </c>
      <c r="D1038" s="2" t="inlineStr">
        <is>
          <t>METAL LEVE</t>
        </is>
      </c>
      <c r="E1038" s="3" t="n">
        <v>30</v>
      </c>
      <c r="F1038" s="4" t="n">
        <v>0.3</v>
      </c>
      <c r="G1038" s="5">
        <f>ROUND(E1038*(1+F1038),2)</f>
        <v>39.00</v>
      </c>
      <c r="H1038" s="5">
        <f>ROUND(G1038*NOTAS!$B$2,2)</f>
        <v>28132.48</v>
      </c>
      <c r="I1038" s="6">
        <f>ROUND(G1038*NOTAS!$B$3,0)</f>
        <v>126706</v>
      </c>
      <c r="J1038" s="2" t="n">
        <v>1</v>
      </c>
    </row>
    <row r="1039">
      <c r="A1039" s="2" t="inlineStr">
        <is>
          <t>SM14545 0,25</t>
        </is>
      </c>
      <c r="B1039" s="2" t="inlineStr"/>
      <c r="C1039" s="2" t="inlineStr">
        <is>
          <t>CONCHA BANCADA CHEVETTE</t>
        </is>
      </c>
      <c r="D1039" s="2" t="inlineStr">
        <is>
          <t>MAHLE</t>
        </is>
      </c>
      <c r="E1039" s="3" t="n">
        <v>30</v>
      </c>
      <c r="F1039" s="4" t="n">
        <v>0.3</v>
      </c>
      <c r="G1039" s="5">
        <f>ROUND(E1039*(1+F1039),2)</f>
        <v>39.00</v>
      </c>
      <c r="H1039" s="5">
        <f>ROUND(G1039*NOTAS!$B$2,2)</f>
        <v>28132.48</v>
      </c>
      <c r="I1039" s="6">
        <f>ROUND(G1039*NOTAS!$B$3,0)</f>
        <v>126706</v>
      </c>
      <c r="J1039" s="2" t="n">
        <v>7</v>
      </c>
    </row>
    <row r="1040">
      <c r="A1040" s="2" t="inlineStr">
        <is>
          <t>SM14545 0,50</t>
        </is>
      </c>
      <c r="B1040" s="2" t="inlineStr"/>
      <c r="C1040" s="2" t="inlineStr">
        <is>
          <t>CONCHA BANCADA CHEVETTE</t>
        </is>
      </c>
      <c r="D1040" s="2" t="inlineStr">
        <is>
          <t>MAHLE</t>
        </is>
      </c>
      <c r="E1040" s="3" t="n">
        <v>30</v>
      </c>
      <c r="F1040" s="4" t="n">
        <v>0.3</v>
      </c>
      <c r="G1040" s="5">
        <f>ROUND(E1040*(1+F1040),2)</f>
        <v>39.00</v>
      </c>
      <c r="H1040" s="5">
        <f>ROUND(G1040*NOTAS!$B$2,2)</f>
        <v>28132.48</v>
      </c>
      <c r="I1040" s="6">
        <f>ROUND(G1040*NOTAS!$B$3,0)</f>
        <v>126706</v>
      </c>
      <c r="J1040" s="2" t="n">
        <v>8</v>
      </c>
    </row>
    <row r="1041">
      <c r="A1041" s="2" t="inlineStr">
        <is>
          <t>SBC-545J 0,50</t>
        </is>
      </c>
      <c r="B1041" s="2" t="inlineStr"/>
      <c r="C1041" s="2" t="inlineStr">
        <is>
          <t>CONCHA BANCADA CHEVETTE</t>
        </is>
      </c>
      <c r="D1041" s="2" t="inlineStr">
        <is>
          <t>METAL LEVE</t>
        </is>
      </c>
      <c r="E1041" s="3" t="n">
        <v>30</v>
      </c>
      <c r="F1041" s="4" t="n">
        <v>0.3</v>
      </c>
      <c r="G1041" s="5">
        <f>ROUND(E1041*(1+F1041),2)</f>
        <v>39.00</v>
      </c>
      <c r="H1041" s="5">
        <f>ROUND(G1041*NOTAS!$B$2,2)</f>
        <v>28132.48</v>
      </c>
      <c r="I1041" s="6">
        <f>ROUND(G1041*NOTAS!$B$3,0)</f>
        <v>126706</v>
      </c>
      <c r="J1041" s="2" t="n">
        <v>2</v>
      </c>
    </row>
    <row r="1042">
      <c r="A1042" s="2" t="inlineStr">
        <is>
          <t>MS-1424-P 0,20</t>
        </is>
      </c>
      <c r="B1042" s="2" t="inlineStr"/>
      <c r="C1042" s="2" t="inlineStr">
        <is>
          <t>CONCHA BANCADA CHEVETTE</t>
        </is>
      </c>
      <c r="D1042" s="2" t="inlineStr">
        <is>
          <t>CLEMEX</t>
        </is>
      </c>
      <c r="E1042" s="3" t="n">
        <v>15</v>
      </c>
      <c r="F1042" s="4" t="n">
        <v>0.3</v>
      </c>
      <c r="G1042" s="5">
        <f>ROUND(E1042*(1+F1042),2)</f>
        <v>19.50</v>
      </c>
      <c r="H1042" s="5">
        <f>ROUND(G1042*NOTAS!$B$2,2)</f>
        <v>14066.24</v>
      </c>
      <c r="I1042" s="6">
        <f>ROUND(G1042*NOTAS!$B$3,0)</f>
        <v>63353</v>
      </c>
      <c r="J1042" s="2" t="n">
        <v>1</v>
      </c>
    </row>
    <row r="1043">
      <c r="A1043" s="2" t="inlineStr">
        <is>
          <t>MS-1424-P 0,30</t>
        </is>
      </c>
      <c r="B1043" s="2" t="inlineStr"/>
      <c r="C1043" s="2" t="inlineStr">
        <is>
          <t>CONCHA BANCADA CHEVETTE</t>
        </is>
      </c>
      <c r="D1043" s="2" t="inlineStr">
        <is>
          <t>CLEMEX</t>
        </is>
      </c>
      <c r="E1043" s="3" t="n">
        <v>15</v>
      </c>
      <c r="F1043" s="4" t="n">
        <v>0.3</v>
      </c>
      <c r="G1043" s="5">
        <f>ROUND(E1043*(1+F1043),2)</f>
        <v>19.50</v>
      </c>
      <c r="H1043" s="5">
        <f>ROUND(G1043*NOTAS!$B$2,2)</f>
        <v>14066.24</v>
      </c>
      <c r="I1043" s="6">
        <f>ROUND(G1043*NOTAS!$B$3,0)</f>
        <v>63353</v>
      </c>
      <c r="J1043" s="2" t="n">
        <v>2</v>
      </c>
    </row>
    <row r="1044">
      <c r="A1044" s="2" t="inlineStr">
        <is>
          <t>SM14545 0,75</t>
        </is>
      </c>
      <c r="B1044" s="2" t="inlineStr"/>
      <c r="C1044" s="2" t="inlineStr">
        <is>
          <t>CONCHA BANCADA CHEVETTE</t>
        </is>
      </c>
      <c r="D1044" s="2" t="inlineStr">
        <is>
          <t>MAHLE</t>
        </is>
      </c>
      <c r="E1044" s="3" t="n">
        <v>30</v>
      </c>
      <c r="F1044" s="4" t="n">
        <v>0.3</v>
      </c>
      <c r="G1044" s="5">
        <f>ROUND(E1044*(1+F1044),2)</f>
        <v>39.00</v>
      </c>
      <c r="H1044" s="5">
        <f>ROUND(G1044*NOTAS!$B$2,2)</f>
        <v>28132.48</v>
      </c>
      <c r="I1044" s="6">
        <f>ROUND(G1044*NOTAS!$B$3,0)</f>
        <v>126706</v>
      </c>
      <c r="J1044" s="2" t="n">
        <v>1</v>
      </c>
    </row>
    <row r="1045">
      <c r="A1045" s="2" t="inlineStr">
        <is>
          <t>BC-405J STD</t>
        </is>
      </c>
      <c r="B1045" s="2" t="inlineStr"/>
      <c r="C1045" s="2" t="inlineStr">
        <is>
          <t>CONCHA BANCADA CORCEL</t>
        </is>
      </c>
      <c r="D1045" s="2" t="inlineStr">
        <is>
          <t>METAL LEVE</t>
        </is>
      </c>
      <c r="E1045" s="3" t="n">
        <v>32</v>
      </c>
      <c r="F1045" s="4" t="n">
        <v>0.3</v>
      </c>
      <c r="G1045" s="5">
        <f>ROUND(E1045*(1+F1045),2)</f>
        <v>41.60</v>
      </c>
      <c r="H1045" s="5">
        <f>ROUND(G1045*NOTAS!$B$2,2)</f>
        <v>30007.98</v>
      </c>
      <c r="I1045" s="6">
        <f>ROUND(G1045*NOTAS!$B$3,0)</f>
        <v>135153</v>
      </c>
      <c r="J1045" s="2" t="n">
        <v>2</v>
      </c>
    </row>
    <row r="1046">
      <c r="A1046" s="2" t="inlineStr">
        <is>
          <t>HL77617600 STD</t>
        </is>
      </c>
      <c r="B1046" s="2" t="inlineStr"/>
      <c r="C1046" s="2" t="inlineStr">
        <is>
          <t>CONCHA BANCADA CORCEL</t>
        </is>
      </c>
      <c r="D1046" s="2" t="inlineStr">
        <is>
          <t>KS</t>
        </is>
      </c>
      <c r="E1046" s="3" t="n">
        <v>30</v>
      </c>
      <c r="F1046" s="4" t="n">
        <v>0.3</v>
      </c>
      <c r="G1046" s="5">
        <f>ROUND(E1046*(1+F1046),2)</f>
        <v>39.00</v>
      </c>
      <c r="H1046" s="5">
        <f>ROUND(G1046*NOTAS!$B$2,2)</f>
        <v>28132.48</v>
      </c>
      <c r="I1046" s="6">
        <f>ROUND(G1046*NOTAS!$B$3,0)</f>
        <v>126706</v>
      </c>
      <c r="J1046" s="2" t="n">
        <v>2</v>
      </c>
    </row>
    <row r="1047">
      <c r="A1047" s="2" t="inlineStr">
        <is>
          <t>BC-405J 0,25</t>
        </is>
      </c>
      <c r="B1047" s="2" t="inlineStr"/>
      <c r="C1047" s="2" t="inlineStr">
        <is>
          <t>CONCHA BANCADA CORCEL</t>
        </is>
      </c>
      <c r="D1047" s="2" t="inlineStr">
        <is>
          <t>METAL LEVE</t>
        </is>
      </c>
      <c r="E1047" s="3" t="n">
        <v>32</v>
      </c>
      <c r="F1047" s="4" t="n">
        <v>0.3</v>
      </c>
      <c r="G1047" s="5">
        <f>ROUND(E1047*(1+F1047),2)</f>
        <v>41.60</v>
      </c>
      <c r="H1047" s="5">
        <f>ROUND(G1047*NOTAS!$B$2,2)</f>
        <v>30007.98</v>
      </c>
      <c r="I1047" s="6">
        <f>ROUND(G1047*NOTAS!$B$3,0)</f>
        <v>135153</v>
      </c>
      <c r="J1047" s="2" t="n">
        <v>1</v>
      </c>
    </row>
    <row r="1048">
      <c r="A1048" s="2" t="inlineStr">
        <is>
          <t>SM59405 0,25</t>
        </is>
      </c>
      <c r="B1048" s="2" t="inlineStr"/>
      <c r="C1048" s="2" t="inlineStr">
        <is>
          <t>CONCHA BANCADA CORCEL</t>
        </is>
      </c>
      <c r="D1048" s="2" t="inlineStr">
        <is>
          <t>MAHLE</t>
        </is>
      </c>
      <c r="E1048" s="3" t="n">
        <v>32</v>
      </c>
      <c r="F1048" s="4" t="n">
        <v>0.3</v>
      </c>
      <c r="G1048" s="5">
        <f>ROUND(E1048*(1+F1048),2)</f>
        <v>41.60</v>
      </c>
      <c r="H1048" s="5">
        <f>ROUND(G1048*NOTAS!$B$2,2)</f>
        <v>30007.98</v>
      </c>
      <c r="I1048" s="6">
        <f>ROUND(G1048*NOTAS!$B$3,0)</f>
        <v>135153</v>
      </c>
      <c r="J1048" s="2" t="n">
        <v>3</v>
      </c>
    </row>
    <row r="1049">
      <c r="A1049" s="2" t="inlineStr">
        <is>
          <t>SBC-405J 0,50</t>
        </is>
      </c>
      <c r="B1049" s="2" t="inlineStr"/>
      <c r="C1049" s="2" t="inlineStr">
        <is>
          <t>CONCHA BANCADA CORCEL</t>
        </is>
      </c>
      <c r="D1049" s="2" t="inlineStr">
        <is>
          <t>METAL LEVE</t>
        </is>
      </c>
      <c r="E1049" s="3" t="n">
        <v>32</v>
      </c>
      <c r="F1049" s="4" t="n">
        <v>0.3</v>
      </c>
      <c r="G1049" s="5">
        <f>ROUND(E1049*(1+F1049),2)</f>
        <v>41.60</v>
      </c>
      <c r="H1049" s="5">
        <f>ROUND(G1049*NOTAS!$B$2,2)</f>
        <v>30007.98</v>
      </c>
      <c r="I1049" s="6">
        <f>ROUND(G1049*NOTAS!$B$3,0)</f>
        <v>135153</v>
      </c>
      <c r="J1049" s="2" t="n">
        <v>1</v>
      </c>
    </row>
    <row r="1050">
      <c r="A1050" s="2" t="inlineStr">
        <is>
          <t>SM59405 0,75</t>
        </is>
      </c>
      <c r="B1050" s="2" t="inlineStr"/>
      <c r="C1050" s="2" t="inlineStr">
        <is>
          <t>CONCHA BANCADA CORCEL</t>
        </is>
      </c>
      <c r="D1050" s="2" t="inlineStr">
        <is>
          <t>MAHLE</t>
        </is>
      </c>
      <c r="E1050" s="3" t="n">
        <v>32</v>
      </c>
      <c r="F1050" s="4" t="n">
        <v>0.3</v>
      </c>
      <c r="G1050" s="5">
        <f>ROUND(E1050*(1+F1050),2)</f>
        <v>41.60</v>
      </c>
      <c r="H1050" s="5">
        <f>ROUND(G1050*NOTAS!$B$2,2)</f>
        <v>30007.98</v>
      </c>
      <c r="I1050" s="6">
        <f>ROUND(G1050*NOTAS!$B$3,0)</f>
        <v>135153</v>
      </c>
      <c r="J1050" s="2" t="n">
        <v>1</v>
      </c>
    </row>
    <row r="1051">
      <c r="A1051" s="2" t="inlineStr">
        <is>
          <t>M59405 1,00</t>
        </is>
      </c>
      <c r="B1051" s="2" t="inlineStr"/>
      <c r="C1051" s="2" t="inlineStr">
        <is>
          <t>CONCHA BANCADA CORCEL</t>
        </is>
      </c>
      <c r="D1051" s="2" t="inlineStr">
        <is>
          <t>MAHLE</t>
        </is>
      </c>
      <c r="E1051" s="3" t="n">
        <v>32</v>
      </c>
      <c r="F1051" s="4" t="n">
        <v>0.3</v>
      </c>
      <c r="G1051" s="5">
        <f>ROUND(E1051*(1+F1051),2)</f>
        <v>41.60</v>
      </c>
      <c r="H1051" s="5">
        <f>ROUND(G1051*NOTAS!$B$2,2)</f>
        <v>30007.98</v>
      </c>
      <c r="I1051" s="6">
        <f>ROUND(G1051*NOTAS!$B$3,0)</f>
        <v>135153</v>
      </c>
      <c r="J1051" s="2" t="n">
        <v>1</v>
      </c>
    </row>
    <row r="1052">
      <c r="A1052" s="2" t="inlineStr">
        <is>
          <t>SM14452 STD</t>
        </is>
      </c>
      <c r="B1052" s="2" t="inlineStr"/>
      <c r="C1052" s="2" t="inlineStr">
        <is>
          <t>CONCHA BANCADA CORSA/CIELO/LANOS</t>
        </is>
      </c>
      <c r="D1052" s="2" t="inlineStr">
        <is>
          <t>MAHLE</t>
        </is>
      </c>
      <c r="E1052" s="3" t="n">
        <v>29</v>
      </c>
      <c r="F1052" s="4" t="n">
        <v>0.3</v>
      </c>
      <c r="G1052" s="5">
        <f>ROUND(E1052*(1+F1052),2)</f>
        <v>37.70</v>
      </c>
      <c r="H1052" s="5">
        <f>ROUND(G1052*NOTAS!$B$2,2)</f>
        <v>27194.73</v>
      </c>
      <c r="I1052" s="6">
        <f>ROUND(G1052*NOTAS!$B$3,0)</f>
        <v>122482</v>
      </c>
      <c r="J1052" s="2" t="n">
        <v>14</v>
      </c>
    </row>
    <row r="1053">
      <c r="A1053" s="2" t="inlineStr">
        <is>
          <t>HL87410600 STD</t>
        </is>
      </c>
      <c r="B1053" s="2" t="inlineStr"/>
      <c r="C1053" s="2" t="inlineStr">
        <is>
          <t>CONCHA BANCADA CORSA/CIELO/LANOS</t>
        </is>
      </c>
      <c r="D1053" s="2" t="inlineStr">
        <is>
          <t>KS</t>
        </is>
      </c>
      <c r="E1053" s="3" t="n">
        <v>15</v>
      </c>
      <c r="F1053" s="4" t="n">
        <v>0.3</v>
      </c>
      <c r="G1053" s="5">
        <f>ROUND(E1053*(1+F1053),2)</f>
        <v>19.50</v>
      </c>
      <c r="H1053" s="5">
        <f>ROUND(G1053*NOTAS!$B$2,2)</f>
        <v>14066.24</v>
      </c>
      <c r="I1053" s="6">
        <f>ROUND(G1053*NOTAS!$B$3,0)</f>
        <v>63353</v>
      </c>
      <c r="J1053" s="2" t="n">
        <v>1</v>
      </c>
    </row>
    <row r="1054">
      <c r="A1054" s="2" t="inlineStr">
        <is>
          <t>ADX047-STD</t>
        </is>
      </c>
      <c r="B1054" s="2" t="inlineStr"/>
      <c r="C1054" s="2" t="inlineStr">
        <is>
          <t>CONCHA BANCADA CORSA/CIELO/LANOS</t>
        </is>
      </c>
      <c r="D1054" s="2" t="inlineStr">
        <is>
          <t>ADDAX-Q</t>
        </is>
      </c>
      <c r="E1054" s="3" t="n">
        <v>15</v>
      </c>
      <c r="F1054" s="4" t="n">
        <v>0.3</v>
      </c>
      <c r="G1054" s="5">
        <f>ROUND(E1054*(1+F1054),2)</f>
        <v>19.50</v>
      </c>
      <c r="H1054" s="5">
        <f>ROUND(G1054*NOTAS!$B$2,2)</f>
        <v>14066.24</v>
      </c>
      <c r="I1054" s="6">
        <f>ROUND(G1054*NOTAS!$B$3,0)</f>
        <v>63353</v>
      </c>
      <c r="J1054" s="2" t="n">
        <v>1</v>
      </c>
    </row>
    <row r="1055">
      <c r="A1055" s="2" t="inlineStr">
        <is>
          <t>93742705 STD</t>
        </is>
      </c>
      <c r="B1055" s="2" t="inlineStr"/>
      <c r="C1055" s="2" t="inlineStr">
        <is>
          <t>CONCHA BANCADA CORSA/CIELO/LANOS</t>
        </is>
      </c>
      <c r="D1055" s="2" t="inlineStr">
        <is>
          <t>GM</t>
        </is>
      </c>
      <c r="E1055" s="3" t="n">
        <v>15</v>
      </c>
      <c r="F1055" s="4" t="n">
        <v>0.3</v>
      </c>
      <c r="G1055" s="5">
        <f>ROUND(E1055*(1+F1055),2)</f>
        <v>19.50</v>
      </c>
      <c r="H1055" s="5">
        <f>ROUND(G1055*NOTAS!$B$2,2)</f>
        <v>14066.24</v>
      </c>
      <c r="I1055" s="6">
        <f>ROUND(G1055*NOTAS!$B$3,0)</f>
        <v>63353</v>
      </c>
      <c r="J1055" s="2" t="n">
        <v>2</v>
      </c>
    </row>
    <row r="1056">
      <c r="A1056" s="2" t="inlineStr">
        <is>
          <t>SM14452 0,25</t>
        </is>
      </c>
      <c r="B1056" s="2" t="inlineStr"/>
      <c r="C1056" s="2" t="inlineStr">
        <is>
          <t>CONCHA BANCADA CORSA/CIELO/LANOS</t>
        </is>
      </c>
      <c r="D1056" s="2" t="inlineStr">
        <is>
          <t>MAHLE</t>
        </is>
      </c>
      <c r="E1056" s="3" t="n">
        <v>29</v>
      </c>
      <c r="F1056" s="4" t="n">
        <v>0.3</v>
      </c>
      <c r="G1056" s="5">
        <f>ROUND(E1056*(1+F1056),2)</f>
        <v>37.70</v>
      </c>
      <c r="H1056" s="5">
        <f>ROUND(G1056*NOTAS!$B$2,2)</f>
        <v>27194.73</v>
      </c>
      <c r="I1056" s="6">
        <f>ROUND(G1056*NOTAS!$B$3,0)</f>
        <v>122482</v>
      </c>
      <c r="J1056" s="2" t="n">
        <v>3</v>
      </c>
    </row>
    <row r="1057">
      <c r="A1057" s="2" t="inlineStr">
        <is>
          <t>SM14452 0,50</t>
        </is>
      </c>
      <c r="B1057" s="2" t="inlineStr"/>
      <c r="C1057" s="2" t="inlineStr">
        <is>
          <t>CONCHA BANCADA CORSA/CIELO/LANOS</t>
        </is>
      </c>
      <c r="D1057" s="2" t="inlineStr">
        <is>
          <t>MAHLE</t>
        </is>
      </c>
      <c r="E1057" s="3" t="n">
        <v>29</v>
      </c>
      <c r="F1057" s="4" t="n">
        <v>0.3</v>
      </c>
      <c r="G1057" s="5">
        <f>ROUND(E1057*(1+F1057),2)</f>
        <v>37.70</v>
      </c>
      <c r="H1057" s="5">
        <f>ROUND(G1057*NOTAS!$B$2,2)</f>
        <v>27194.73</v>
      </c>
      <c r="I1057" s="6">
        <f>ROUND(G1057*NOTAS!$B$3,0)</f>
        <v>122482</v>
      </c>
      <c r="J1057" s="2" t="n">
        <v>7</v>
      </c>
    </row>
    <row r="1058">
      <c r="A1058" s="2" t="inlineStr">
        <is>
          <t>ADX044-0,50</t>
        </is>
      </c>
      <c r="B1058" s="2" t="inlineStr"/>
      <c r="C1058" s="2" t="inlineStr">
        <is>
          <t>CONCHA BANCADA CORSA/CIELO/LANOS</t>
        </is>
      </c>
      <c r="D1058" s="2" t="inlineStr">
        <is>
          <t>ADDAX-Q</t>
        </is>
      </c>
      <c r="E1058" s="3" t="n">
        <v>15</v>
      </c>
      <c r="F1058" s="4" t="n">
        <v>0.3</v>
      </c>
      <c r="G1058" s="5">
        <f>ROUND(E1058*(1+F1058),2)</f>
        <v>19.50</v>
      </c>
      <c r="H1058" s="5">
        <f>ROUND(G1058*NOTAS!$B$2,2)</f>
        <v>14066.24</v>
      </c>
      <c r="I1058" s="6">
        <f>ROUND(G1058*NOTAS!$B$3,0)</f>
        <v>63353</v>
      </c>
      <c r="J1058" s="2" t="n">
        <v>1</v>
      </c>
    </row>
    <row r="1059">
      <c r="A1059" s="2" t="inlineStr">
        <is>
          <t>HL87410620 0,50</t>
        </is>
      </c>
      <c r="B1059" s="2" t="inlineStr"/>
      <c r="C1059" s="2" t="inlineStr">
        <is>
          <t>CONCHA BANCADA CORSA/CIELO/LANOS</t>
        </is>
      </c>
      <c r="D1059" s="2" t="inlineStr">
        <is>
          <t>KS</t>
        </is>
      </c>
      <c r="E1059" s="3" t="n">
        <v>15</v>
      </c>
      <c r="F1059" s="4" t="n">
        <v>0.3</v>
      </c>
      <c r="G1059" s="5">
        <f>ROUND(E1059*(1+F1059),2)</f>
        <v>19.50</v>
      </c>
      <c r="H1059" s="5">
        <f>ROUND(G1059*NOTAS!$B$2,2)</f>
        <v>14066.24</v>
      </c>
      <c r="I1059" s="6">
        <f>ROUND(G1059*NOTAS!$B$3,0)</f>
        <v>63353</v>
      </c>
      <c r="J1059" s="2" t="n">
        <v>3</v>
      </c>
    </row>
    <row r="1060">
      <c r="A1060" s="2" t="inlineStr">
        <is>
          <t>SM14452 0,75</t>
        </is>
      </c>
      <c r="B1060" s="2" t="inlineStr"/>
      <c r="C1060" s="2" t="inlineStr">
        <is>
          <t>CONCHA BANCADA CORSA/CIELO/LANOS</t>
        </is>
      </c>
      <c r="D1060" s="2" t="inlineStr">
        <is>
          <t>MAHLE</t>
        </is>
      </c>
      <c r="E1060" s="3" t="n">
        <v>29</v>
      </c>
      <c r="F1060" s="4" t="n">
        <v>0.3</v>
      </c>
      <c r="G1060" s="5">
        <f>ROUND(E1060*(1+F1060),2)</f>
        <v>37.70</v>
      </c>
      <c r="H1060" s="5">
        <f>ROUND(G1060*NOTAS!$B$2,2)</f>
        <v>27194.73</v>
      </c>
      <c r="I1060" s="6">
        <f>ROUND(G1060*NOTAS!$B$3,0)</f>
        <v>122482</v>
      </c>
      <c r="J1060" s="2" t="n">
        <v>3</v>
      </c>
    </row>
    <row r="1061">
      <c r="A1061" s="2" t="inlineStr">
        <is>
          <t>93742288 0,75</t>
        </is>
      </c>
      <c r="B1061" s="2" t="inlineStr"/>
      <c r="C1061" s="2" t="inlineStr">
        <is>
          <t>CONCHA BANCADA CORSA/CIELO/LANOS</t>
        </is>
      </c>
      <c r="D1061" s="2" t="inlineStr">
        <is>
          <t>MAHLE</t>
        </is>
      </c>
      <c r="E1061" s="3" t="n">
        <v>15</v>
      </c>
      <c r="F1061" s="4" t="n">
        <v>0.3</v>
      </c>
      <c r="G1061" s="5">
        <f>ROUND(E1061*(1+F1061),2)</f>
        <v>19.50</v>
      </c>
      <c r="H1061" s="5">
        <f>ROUND(G1061*NOTAS!$B$2,2)</f>
        <v>14066.24</v>
      </c>
      <c r="I1061" s="6">
        <f>ROUND(G1061*NOTAS!$B$3,0)</f>
        <v>63353</v>
      </c>
      <c r="J1061" s="2" t="n">
        <v>1</v>
      </c>
    </row>
    <row r="1062">
      <c r="A1062" s="2" t="inlineStr">
        <is>
          <t>M14452 1,00</t>
        </is>
      </c>
      <c r="B1062" s="2" t="inlineStr"/>
      <c r="C1062" s="2" t="inlineStr">
        <is>
          <t>CONCHA BANCADA CORSA/CIELO/LANOS</t>
        </is>
      </c>
      <c r="D1062" s="2" t="inlineStr">
        <is>
          <t>MAHLE</t>
        </is>
      </c>
      <c r="E1062" s="3" t="n">
        <v>29</v>
      </c>
      <c r="F1062" s="4" t="n">
        <v>0.3</v>
      </c>
      <c r="G1062" s="5">
        <f>ROUND(E1062*(1+F1062),2)</f>
        <v>37.70</v>
      </c>
      <c r="H1062" s="5">
        <f>ROUND(G1062*NOTAS!$B$2,2)</f>
        <v>27194.73</v>
      </c>
      <c r="I1062" s="6">
        <f>ROUND(G1062*NOTAS!$B$3,0)</f>
        <v>122482</v>
      </c>
      <c r="J1062" s="2" t="n">
        <v>1</v>
      </c>
    </row>
    <row r="1063">
      <c r="A1063" s="2" t="inlineStr">
        <is>
          <t>BC-542J 1,00</t>
        </is>
      </c>
      <c r="B1063" s="2" t="inlineStr"/>
      <c r="C1063" s="2" t="inlineStr">
        <is>
          <t>CONCHA BANCADA CORSA/CIELO/LANOS</t>
        </is>
      </c>
      <c r="D1063" s="2" t="inlineStr">
        <is>
          <t>METAL LEVE</t>
        </is>
      </c>
      <c r="E1063" s="3" t="n">
        <v>29</v>
      </c>
      <c r="F1063" s="4" t="n">
        <v>0.3</v>
      </c>
      <c r="G1063" s="5">
        <f>ROUND(E1063*(1+F1063),2)</f>
        <v>37.70</v>
      </c>
      <c r="H1063" s="5">
        <f>ROUND(G1063*NOTAS!$B$2,2)</f>
        <v>27194.73</v>
      </c>
      <c r="I1063" s="6">
        <f>ROUND(G1063*NOTAS!$B$3,0)</f>
        <v>122482</v>
      </c>
      <c r="J1063" s="2" t="n">
        <v>5</v>
      </c>
    </row>
    <row r="1064">
      <c r="A1064" s="2" t="inlineStr">
        <is>
          <t>20-135/5 000</t>
        </is>
      </c>
      <c r="B1064" s="2" t="inlineStr"/>
      <c r="C1064" s="2" t="inlineStr">
        <is>
          <t>CONCHA BANCADA F-131/REGATA 1.6</t>
        </is>
      </c>
      <c r="D1064" s="2" t="inlineStr">
        <is>
          <t>SINTERMETAL</t>
        </is>
      </c>
      <c r="E1064" s="3" t="n">
        <v>17.4615</v>
      </c>
      <c r="F1064" s="4" t="n">
        <v>0.3</v>
      </c>
      <c r="G1064" s="5">
        <f>ROUND(E1064*(1+F1064),2)</f>
        <v>22.70</v>
      </c>
      <c r="H1064" s="5">
        <f>ROUND(G1064*NOTAS!$B$2,2)</f>
        <v>16374.55</v>
      </c>
      <c r="I1064" s="6">
        <f>ROUND(G1064*NOTAS!$B$3,0)</f>
        <v>73749</v>
      </c>
      <c r="J1064" s="2" t="n">
        <v>3</v>
      </c>
    </row>
    <row r="1065">
      <c r="A1065" s="2" t="inlineStr">
        <is>
          <t>M25407 STD</t>
        </is>
      </c>
      <c r="B1065" s="2" t="inlineStr"/>
      <c r="C1065" s="2" t="inlineStr">
        <is>
          <t>CONCHA BANCADA F-147/UNO/PALIO/SIENA 1.3 8V</t>
        </is>
      </c>
      <c r="D1065" s="2" t="inlineStr">
        <is>
          <t>MAHLE</t>
        </is>
      </c>
      <c r="E1065" s="3" t="n">
        <v>34</v>
      </c>
      <c r="F1065" s="4" t="n">
        <v>0.3</v>
      </c>
      <c r="G1065" s="5">
        <f>ROUND(E1065*(1+F1065),2)</f>
        <v>44.20</v>
      </c>
      <c r="H1065" s="5">
        <f>ROUND(G1065*NOTAS!$B$2,2)</f>
        <v>31883.48</v>
      </c>
      <c r="I1065" s="6">
        <f>ROUND(G1065*NOTAS!$B$3,0)</f>
        <v>143600</v>
      </c>
      <c r="J1065" s="2" t="n">
        <v>1</v>
      </c>
    </row>
    <row r="1066">
      <c r="A1066" s="2" t="inlineStr">
        <is>
          <t>SBC-407J STD</t>
        </is>
      </c>
      <c r="B1066" s="2" t="inlineStr"/>
      <c r="C1066" s="2" t="inlineStr">
        <is>
          <t>CONCHA BANCADA F-147/UNO/PALIO/SIENA 1.3 8V</t>
        </is>
      </c>
      <c r="D1066" s="2" t="inlineStr">
        <is>
          <t>METAL LEVE</t>
        </is>
      </c>
      <c r="E1066" s="3" t="n">
        <v>34</v>
      </c>
      <c r="F1066" s="4" t="n">
        <v>0.3</v>
      </c>
      <c r="G1066" s="5">
        <f>ROUND(E1066*(1+F1066),2)</f>
        <v>44.20</v>
      </c>
      <c r="H1066" s="5">
        <f>ROUND(G1066*NOTAS!$B$2,2)</f>
        <v>31883.48</v>
      </c>
      <c r="I1066" s="6">
        <f>ROUND(G1066*NOTAS!$B$3,0)</f>
        <v>143600</v>
      </c>
      <c r="J1066" s="2" t="n">
        <v>2</v>
      </c>
    </row>
    <row r="1067">
      <c r="A1067" s="2" t="inlineStr">
        <is>
          <t>BC-407J 100</t>
        </is>
      </c>
      <c r="B1067" s="2" t="inlineStr"/>
      <c r="C1067" s="2" t="inlineStr">
        <is>
          <t>CONCHA BANCADA F-147/UNO/PALIO/SIENA 1.3 8V</t>
        </is>
      </c>
      <c r="D1067" s="2" t="inlineStr">
        <is>
          <t>METAL LEVE</t>
        </is>
      </c>
      <c r="E1067" s="3" t="n">
        <v>34</v>
      </c>
      <c r="F1067" s="4" t="n">
        <v>0.3</v>
      </c>
      <c r="G1067" s="5">
        <f>ROUND(E1067*(1+F1067),2)</f>
        <v>44.20</v>
      </c>
      <c r="H1067" s="5">
        <f>ROUND(G1067*NOTAS!$B$2,2)</f>
        <v>31883.48</v>
      </c>
      <c r="I1067" s="6">
        <f>ROUND(G1067*NOTAS!$B$3,0)</f>
        <v>143600</v>
      </c>
      <c r="J1067" s="2" t="n">
        <v>8</v>
      </c>
    </row>
    <row r="1068">
      <c r="A1068" s="2" t="inlineStr">
        <is>
          <t>SM25407 100</t>
        </is>
      </c>
      <c r="B1068" s="2" t="inlineStr"/>
      <c r="C1068" s="2" t="inlineStr">
        <is>
          <t>CONCHA BANCADA F-147/UNO/PALIO/SIENA 1.3 8V</t>
        </is>
      </c>
      <c r="D1068" s="2" t="inlineStr">
        <is>
          <t>MAHLE</t>
        </is>
      </c>
      <c r="E1068" s="3" t="n">
        <v>34</v>
      </c>
      <c r="F1068" s="4" t="n">
        <v>0.3</v>
      </c>
      <c r="G1068" s="5">
        <f>ROUND(E1068*(1+F1068),2)</f>
        <v>44.20</v>
      </c>
      <c r="H1068" s="5">
        <f>ROUND(G1068*NOTAS!$B$2,2)</f>
        <v>31883.48</v>
      </c>
      <c r="I1068" s="6">
        <f>ROUND(G1068*NOTAS!$B$3,0)</f>
        <v>143600</v>
      </c>
      <c r="J1068" s="2" t="n">
        <v>9</v>
      </c>
    </row>
    <row r="1069">
      <c r="A1069" s="2" t="inlineStr">
        <is>
          <t>SM59710 STD</t>
        </is>
      </c>
      <c r="B1069" s="2" t="inlineStr"/>
      <c r="C1069" s="2" t="inlineStr">
        <is>
          <t>CONCHA BANCADA FIESTA 1.6</t>
        </is>
      </c>
      <c r="D1069" s="2" t="inlineStr">
        <is>
          <t>MAHLE</t>
        </is>
      </c>
      <c r="E1069" s="3" t="n">
        <v>29</v>
      </c>
      <c r="F1069" s="4" t="n">
        <v>0.3</v>
      </c>
      <c r="G1069" s="5">
        <f>ROUND(E1069*(1+F1069),2)</f>
        <v>37.70</v>
      </c>
      <c r="H1069" s="5">
        <f>ROUND(G1069*NOTAS!$B$2,2)</f>
        <v>27194.73</v>
      </c>
      <c r="I1069" s="6">
        <f>ROUND(G1069*NOTAS!$B$3,0)</f>
        <v>122482</v>
      </c>
      <c r="J1069" s="2" t="n">
        <v>4</v>
      </c>
    </row>
    <row r="1070">
      <c r="A1070" s="2" t="inlineStr">
        <is>
          <t>SM59710 0,25</t>
        </is>
      </c>
      <c r="B1070" s="2" t="inlineStr"/>
      <c r="C1070" s="2" t="inlineStr">
        <is>
          <t>CONCHA BANCADA FIESTA 1.6</t>
        </is>
      </c>
      <c r="D1070" s="2" t="inlineStr">
        <is>
          <t>MAHLE</t>
        </is>
      </c>
      <c r="E1070" s="3" t="n">
        <v>29</v>
      </c>
      <c r="F1070" s="4" t="n">
        <v>0.3</v>
      </c>
      <c r="G1070" s="5">
        <f>ROUND(E1070*(1+F1070),2)</f>
        <v>37.70</v>
      </c>
      <c r="H1070" s="5">
        <f>ROUND(G1070*NOTAS!$B$2,2)</f>
        <v>27194.73</v>
      </c>
      <c r="I1070" s="6">
        <f>ROUND(G1070*NOTAS!$B$3,0)</f>
        <v>122482</v>
      </c>
      <c r="J1070" s="2" t="n">
        <v>2</v>
      </c>
    </row>
    <row r="1071">
      <c r="A1071" s="2" t="inlineStr">
        <is>
          <t>SM59710 0,50</t>
        </is>
      </c>
      <c r="B1071" s="2" t="inlineStr"/>
      <c r="C1071" s="2" t="inlineStr">
        <is>
          <t>CONCHA BANCADA FIESTA 1.6</t>
        </is>
      </c>
      <c r="D1071" s="2" t="inlineStr">
        <is>
          <t>MAHLE</t>
        </is>
      </c>
      <c r="E1071" s="3" t="n">
        <v>29</v>
      </c>
      <c r="F1071" s="4" t="n">
        <v>0.3</v>
      </c>
      <c r="G1071" s="5">
        <f>ROUND(E1071*(1+F1071),2)</f>
        <v>37.70</v>
      </c>
      <c r="H1071" s="5">
        <f>ROUND(G1071*NOTAS!$B$2,2)</f>
        <v>27194.73</v>
      </c>
      <c r="I1071" s="6">
        <f>ROUND(G1071*NOTAS!$B$3,0)</f>
        <v>122482</v>
      </c>
      <c r="J1071" s="2" t="n">
        <v>2</v>
      </c>
    </row>
    <row r="1072">
      <c r="A1072" s="2" t="inlineStr">
        <is>
          <t>SM25068 STD</t>
        </is>
      </c>
      <c r="B1072" s="2" t="inlineStr"/>
      <c r="C1072" s="2" t="inlineStr">
        <is>
          <t>CONCHA BANCADA F-PALIO/SIENA 1.3 16V FIRE UNO FIRE</t>
        </is>
      </c>
      <c r="D1072" s="2" t="inlineStr">
        <is>
          <t>MAHLE</t>
        </is>
      </c>
      <c r="E1072" s="3" t="n">
        <v>34</v>
      </c>
      <c r="F1072" s="4" t="n">
        <v>0.3</v>
      </c>
      <c r="G1072" s="5">
        <f>ROUND(E1072*(1+F1072),2)</f>
        <v>44.20</v>
      </c>
      <c r="H1072" s="5">
        <f>ROUND(G1072*NOTAS!$B$2,2)</f>
        <v>31883.48</v>
      </c>
      <c r="I1072" s="6">
        <f>ROUND(G1072*NOTAS!$B$3,0)</f>
        <v>143600</v>
      </c>
      <c r="J1072" s="2" t="n">
        <v>9</v>
      </c>
    </row>
    <row r="1073">
      <c r="A1073" s="2" t="inlineStr">
        <is>
          <t>SBC-068J STD</t>
        </is>
      </c>
      <c r="B1073" s="2" t="inlineStr"/>
      <c r="C1073" s="2" t="inlineStr">
        <is>
          <t>CONCHA BANCADA F-PALIO/SIENA 1.3 16V FIRE UNO FIRE</t>
        </is>
      </c>
      <c r="D1073" s="2" t="inlineStr">
        <is>
          <t>METAL LEVE</t>
        </is>
      </c>
      <c r="E1073" s="3" t="n">
        <v>34</v>
      </c>
      <c r="F1073" s="4" t="n">
        <v>0.3</v>
      </c>
      <c r="G1073" s="5">
        <f>ROUND(E1073*(1+F1073),2)</f>
        <v>44.20</v>
      </c>
      <c r="H1073" s="5">
        <f>ROUND(G1073*NOTAS!$B$2,2)</f>
        <v>31883.48</v>
      </c>
      <c r="I1073" s="6">
        <f>ROUND(G1073*NOTAS!$B$3,0)</f>
        <v>143600</v>
      </c>
      <c r="J1073" s="2" t="n">
        <v>2</v>
      </c>
    </row>
    <row r="1074">
      <c r="A1074" s="2" t="inlineStr">
        <is>
          <t>SM25068 025</t>
        </is>
      </c>
      <c r="B1074" s="2" t="inlineStr"/>
      <c r="C1074" s="2" t="inlineStr">
        <is>
          <t>CONCHA BANCADA F-PALIO/SIENA 1.3 16V FIRE UNO FIRE</t>
        </is>
      </c>
      <c r="D1074" s="2" t="inlineStr">
        <is>
          <t>MAHLE</t>
        </is>
      </c>
      <c r="E1074" s="3" t="n">
        <v>34</v>
      </c>
      <c r="F1074" s="4" t="n">
        <v>0.3</v>
      </c>
      <c r="G1074" s="5">
        <f>ROUND(E1074*(1+F1074),2)</f>
        <v>44.20</v>
      </c>
      <c r="H1074" s="5">
        <f>ROUND(G1074*NOTAS!$B$2,2)</f>
        <v>31883.48</v>
      </c>
      <c r="I1074" s="6">
        <f>ROUND(G1074*NOTAS!$B$3,0)</f>
        <v>143600</v>
      </c>
      <c r="J1074" s="2" t="n">
        <v>1</v>
      </c>
    </row>
    <row r="1075">
      <c r="A1075" s="2" t="inlineStr">
        <is>
          <t>C8237-55 010</t>
        </is>
      </c>
      <c r="B1075" s="2" t="inlineStr"/>
      <c r="C1075" s="2" t="inlineStr">
        <is>
          <t>CONCHA BANCADA F-PALIO/SIENA 1.3 16V FIRE UNO FIRE</t>
        </is>
      </c>
      <c r="D1075" s="2" t="inlineStr">
        <is>
          <t>NB</t>
        </is>
      </c>
      <c r="E1075" s="3" t="n">
        <v>15</v>
      </c>
      <c r="F1075" s="4" t="n">
        <v>0.3</v>
      </c>
      <c r="G1075" s="5">
        <f>ROUND(E1075*(1+F1075),2)</f>
        <v>19.50</v>
      </c>
      <c r="H1075" s="5">
        <f>ROUND(G1075*NOTAS!$B$2,2)</f>
        <v>14066.24</v>
      </c>
      <c r="I1075" s="6">
        <f>ROUND(G1075*NOTAS!$B$3,0)</f>
        <v>63353</v>
      </c>
      <c r="J1075" s="2" t="n">
        <v>1</v>
      </c>
    </row>
    <row r="1076">
      <c r="A1076" s="2" t="inlineStr">
        <is>
          <t>SM25068 050</t>
        </is>
      </c>
      <c r="B1076" s="2" t="inlineStr"/>
      <c r="C1076" s="2" t="inlineStr">
        <is>
          <t>CONCHA BANCADA F-PALIO/SIENA 1.3 16V FIRE UNO FIRE</t>
        </is>
      </c>
      <c r="D1076" s="2" t="inlineStr">
        <is>
          <t>MAHLE</t>
        </is>
      </c>
      <c r="E1076" s="3" t="n">
        <v>34</v>
      </c>
      <c r="F1076" s="4" t="n">
        <v>0.3</v>
      </c>
      <c r="G1076" s="5">
        <f>ROUND(E1076*(1+F1076),2)</f>
        <v>44.20</v>
      </c>
      <c r="H1076" s="5">
        <f>ROUND(G1076*NOTAS!$B$2,2)</f>
        <v>31883.48</v>
      </c>
      <c r="I1076" s="6">
        <f>ROUND(G1076*NOTAS!$B$3,0)</f>
        <v>143600</v>
      </c>
      <c r="J1076" s="2" t="n">
        <v>3</v>
      </c>
    </row>
    <row r="1077">
      <c r="A1077" s="2" t="inlineStr">
        <is>
          <t>C8237-55 020</t>
        </is>
      </c>
      <c r="B1077" s="2" t="inlineStr"/>
      <c r="C1077" s="2" t="inlineStr">
        <is>
          <t>CONCHA BANCADA F-PALIO/SIENA 1.3 16V FIRE UNO FIRE</t>
        </is>
      </c>
      <c r="D1077" s="2" t="inlineStr">
        <is>
          <t>NB</t>
        </is>
      </c>
      <c r="E1077" s="3" t="n">
        <v>15</v>
      </c>
      <c r="F1077" s="4" t="n">
        <v>0.3</v>
      </c>
      <c r="G1077" s="5">
        <f>ROUND(E1077*(1+F1077),2)</f>
        <v>19.50</v>
      </c>
      <c r="H1077" s="5">
        <f>ROUND(G1077*NOTAS!$B$2,2)</f>
        <v>14066.24</v>
      </c>
      <c r="I1077" s="6">
        <f>ROUND(G1077*NOTAS!$B$3,0)</f>
        <v>63353</v>
      </c>
      <c r="J1077" s="2" t="n">
        <v>1</v>
      </c>
    </row>
    <row r="1078">
      <c r="A1078" s="2" t="inlineStr">
        <is>
          <t>C8237-55 030</t>
        </is>
      </c>
      <c r="B1078" s="2" t="inlineStr"/>
      <c r="C1078" s="2" t="inlineStr">
        <is>
          <t>CONCHA BANCADA F-PALIO/SIENA 1.3 16V FIRE UNO FIRE</t>
        </is>
      </c>
      <c r="D1078" s="2" t="inlineStr">
        <is>
          <t>NB</t>
        </is>
      </c>
      <c r="E1078" s="3" t="n">
        <v>15</v>
      </c>
      <c r="F1078" s="4" t="n">
        <v>0.3</v>
      </c>
      <c r="G1078" s="5">
        <f>ROUND(E1078*(1+F1078),2)</f>
        <v>19.50</v>
      </c>
      <c r="H1078" s="5">
        <f>ROUND(G1078*NOTAS!$B$2,2)</f>
        <v>14066.24</v>
      </c>
      <c r="I1078" s="6">
        <f>ROUND(G1078*NOTAS!$B$3,0)</f>
        <v>63353</v>
      </c>
      <c r="J1078" s="2" t="n">
        <v>1</v>
      </c>
    </row>
    <row r="1079">
      <c r="A1079" s="2" t="inlineStr">
        <is>
          <t>M25387 STD</t>
        </is>
      </c>
      <c r="B1079" s="2" t="inlineStr"/>
      <c r="C1079" s="2" t="inlineStr">
        <is>
          <t>CONCHA BANCADA F-UNO/PREMIO 1.5/1.6</t>
        </is>
      </c>
      <c r="D1079" s="2" t="inlineStr">
        <is>
          <t>MAHLE</t>
        </is>
      </c>
      <c r="E1079" s="3" t="n">
        <v>13.2923</v>
      </c>
      <c r="F1079" s="4" t="n">
        <v>0.3</v>
      </c>
      <c r="G1079" s="5">
        <f>ROUND(E1079*(1+F1079),2)</f>
        <v>17.28</v>
      </c>
      <c r="H1079" s="5">
        <f>ROUND(G1079*NOTAS!$B$2,2)</f>
        <v>12464.85</v>
      </c>
      <c r="I1079" s="6">
        <f>ROUND(G1079*NOTAS!$B$3,0)</f>
        <v>56140</v>
      </c>
      <c r="J1079" s="2" t="n">
        <v>3</v>
      </c>
    </row>
    <row r="1080">
      <c r="A1080" s="2" t="inlineStr">
        <is>
          <t>SM25387 025</t>
        </is>
      </c>
      <c r="B1080" s="2" t="inlineStr"/>
      <c r="C1080" s="2" t="inlineStr">
        <is>
          <t>CONCHA BANCADA F-UNO/PREMIO 1.5/1.6</t>
        </is>
      </c>
      <c r="D1080" s="2" t="inlineStr">
        <is>
          <t>MAHLE</t>
        </is>
      </c>
      <c r="E1080" s="3" t="n">
        <v>13.2923</v>
      </c>
      <c r="F1080" s="4" t="n">
        <v>0.3</v>
      </c>
      <c r="G1080" s="5">
        <f>ROUND(E1080*(1+F1080),2)</f>
        <v>17.28</v>
      </c>
      <c r="H1080" s="5">
        <f>ROUND(G1080*NOTAS!$B$2,2)</f>
        <v>12464.85</v>
      </c>
      <c r="I1080" s="6">
        <f>ROUND(G1080*NOTAS!$B$3,0)</f>
        <v>56140</v>
      </c>
      <c r="J1080" s="2" t="n">
        <v>2</v>
      </c>
    </row>
    <row r="1081">
      <c r="A1081" s="2" t="inlineStr">
        <is>
          <t>BC-387 025</t>
        </is>
      </c>
      <c r="B1081" s="2" t="inlineStr"/>
      <c r="C1081" s="2" t="inlineStr">
        <is>
          <t>CONCHA BANCADA F-UNO/PREMIO 1.5/1.6</t>
        </is>
      </c>
      <c r="D1081" s="2" t="inlineStr">
        <is>
          <t>METAL LEVE</t>
        </is>
      </c>
      <c r="E1081" s="3" t="n">
        <v>13.2923</v>
      </c>
      <c r="F1081" s="4" t="n">
        <v>0.3</v>
      </c>
      <c r="G1081" s="5">
        <f>ROUND(E1081*(1+F1081),2)</f>
        <v>17.28</v>
      </c>
      <c r="H1081" s="5">
        <f>ROUND(G1081*NOTAS!$B$2,2)</f>
        <v>12464.85</v>
      </c>
      <c r="I1081" s="6">
        <f>ROUND(G1081*NOTAS!$B$3,0)</f>
        <v>56140</v>
      </c>
      <c r="J1081" s="2" t="n">
        <v>1</v>
      </c>
    </row>
    <row r="1082">
      <c r="A1082" s="2" t="inlineStr">
        <is>
          <t>20-139/5A 010</t>
        </is>
      </c>
      <c r="B1082" s="2" t="inlineStr"/>
      <c r="C1082" s="2" t="inlineStr">
        <is>
          <t>CONCHA BANCADA F-UNO/PREMIO 1.5/1.6</t>
        </is>
      </c>
      <c r="D1082" s="2" t="inlineStr">
        <is>
          <t>SINTERMETAL</t>
        </is>
      </c>
      <c r="E1082" s="3" t="n">
        <v>13.2923</v>
      </c>
      <c r="F1082" s="4" t="n">
        <v>0.3</v>
      </c>
      <c r="G1082" s="5">
        <f>ROUND(E1082*(1+F1082),2)</f>
        <v>17.28</v>
      </c>
      <c r="H1082" s="5">
        <f>ROUND(G1082*NOTAS!$B$2,2)</f>
        <v>12464.85</v>
      </c>
      <c r="I1082" s="6">
        <f>ROUND(G1082*NOTAS!$B$3,0)</f>
        <v>56140</v>
      </c>
      <c r="J1082" s="2" t="n">
        <v>1</v>
      </c>
    </row>
    <row r="1083">
      <c r="A1083" s="2" t="inlineStr">
        <is>
          <t>BC-387 050</t>
        </is>
      </c>
      <c r="B1083" s="2" t="inlineStr"/>
      <c r="C1083" s="2" t="inlineStr">
        <is>
          <t>CONCHA BANCADA F-UNO/PREMIO 1.5/1.6</t>
        </is>
      </c>
      <c r="D1083" s="2" t="inlineStr">
        <is>
          <t>METAL LEVE</t>
        </is>
      </c>
      <c r="E1083" s="3" t="n">
        <v>13.2923</v>
      </c>
      <c r="F1083" s="4" t="n">
        <v>0.3</v>
      </c>
      <c r="G1083" s="5">
        <f>ROUND(E1083*(1+F1083),2)</f>
        <v>17.28</v>
      </c>
      <c r="H1083" s="5">
        <f>ROUND(G1083*NOTAS!$B$2,2)</f>
        <v>12464.85</v>
      </c>
      <c r="I1083" s="6">
        <f>ROUND(G1083*NOTAS!$B$3,0)</f>
        <v>56140</v>
      </c>
      <c r="J1083" s="2" t="n">
        <v>2</v>
      </c>
    </row>
    <row r="1084">
      <c r="A1084" s="2" t="inlineStr">
        <is>
          <t>SM25387 075</t>
        </is>
      </c>
      <c r="B1084" s="2" t="inlineStr"/>
      <c r="C1084" s="2" t="inlineStr">
        <is>
          <t>CONCHA BANCADA F-UNO/PREMIO 1.5/1.6</t>
        </is>
      </c>
      <c r="D1084" s="2" t="inlineStr">
        <is>
          <t>MAHLE</t>
        </is>
      </c>
      <c r="E1084" s="3" t="n">
        <v>13.2923</v>
      </c>
      <c r="F1084" s="4" t="n">
        <v>0.3</v>
      </c>
      <c r="G1084" s="5">
        <f>ROUND(E1084*(1+F1084),2)</f>
        <v>17.28</v>
      </c>
      <c r="H1084" s="5">
        <f>ROUND(G1084*NOTAS!$B$2,2)</f>
        <v>12464.85</v>
      </c>
      <c r="I1084" s="6">
        <f>ROUND(G1084*NOTAS!$B$3,0)</f>
        <v>56140</v>
      </c>
      <c r="J1084" s="2" t="n">
        <v>4</v>
      </c>
    </row>
    <row r="1085">
      <c r="A1085" s="2" t="inlineStr">
        <is>
          <t>SM25387 100</t>
        </is>
      </c>
      <c r="B1085" s="2" t="inlineStr"/>
      <c r="C1085" s="2" t="inlineStr">
        <is>
          <t>CONCHA BANCADA F-UNO/PREMIO 1.5/1.6</t>
        </is>
      </c>
      <c r="D1085" s="2" t="inlineStr">
        <is>
          <t>MAHLE</t>
        </is>
      </c>
      <c r="E1085" s="3" t="n">
        <v>13.2923</v>
      </c>
      <c r="F1085" s="4" t="n">
        <v>0.3</v>
      </c>
      <c r="G1085" s="5">
        <f>ROUND(E1085*(1+F1085),2)</f>
        <v>17.28</v>
      </c>
      <c r="H1085" s="5">
        <f>ROUND(G1085*NOTAS!$B$2,2)</f>
        <v>12464.85</v>
      </c>
      <c r="I1085" s="6">
        <f>ROUND(G1085*NOTAS!$B$3,0)</f>
        <v>56140</v>
      </c>
      <c r="J1085" s="2" t="n">
        <v>5</v>
      </c>
    </row>
    <row r="1086">
      <c r="A1086" s="2" t="inlineStr">
        <is>
          <t>96612217 0,25</t>
        </is>
      </c>
      <c r="B1086" s="2" t="inlineStr"/>
      <c r="C1086" s="2" t="inlineStr">
        <is>
          <t>CONCHA BANCADA MATIZ/TICO/DAMAS</t>
        </is>
      </c>
      <c r="D1086" s="2" t="inlineStr">
        <is>
          <t>WOORI CHEMICAL</t>
        </is>
      </c>
      <c r="E1086" s="3" t="n">
        <v>9.223100000000001</v>
      </c>
      <c r="F1086" s="4" t="n">
        <v>0.3</v>
      </c>
      <c r="G1086" s="5">
        <f>ROUND(E1086*(1+F1086),2)</f>
        <v>11.99</v>
      </c>
      <c r="H1086" s="5">
        <f>ROUND(G1086*NOTAS!$B$2,2)</f>
        <v>8648.93</v>
      </c>
      <c r="I1086" s="6">
        <f>ROUND(G1086*NOTAS!$B$3,0)</f>
        <v>38954</v>
      </c>
      <c r="J1086" s="2" t="n">
        <v>3</v>
      </c>
    </row>
    <row r="1087">
      <c r="A1087" s="2" t="inlineStr">
        <is>
          <t>1230061810-0A0 STD</t>
        </is>
      </c>
      <c r="B1087" s="2" t="inlineStr"/>
      <c r="C1087" s="2" t="inlineStr">
        <is>
          <t>CONCHA BANCADA MATIZ/TICO/DAMAS</t>
        </is>
      </c>
      <c r="D1087" s="2" t="inlineStr">
        <is>
          <t>GM</t>
        </is>
      </c>
      <c r="E1087" s="3" t="n">
        <v>9.223100000000001</v>
      </c>
      <c r="F1087" s="4" t="n">
        <v>0.3</v>
      </c>
      <c r="G1087" s="5">
        <f>ROUND(E1087*(1+F1087),2)</f>
        <v>11.99</v>
      </c>
      <c r="H1087" s="5">
        <f>ROUND(G1087*NOTAS!$B$2,2)</f>
        <v>8648.93</v>
      </c>
      <c r="I1087" s="6">
        <f>ROUND(G1087*NOTAS!$B$3,0)</f>
        <v>38954</v>
      </c>
      <c r="J1087" s="2" t="n">
        <v>3</v>
      </c>
    </row>
    <row r="1088">
      <c r="A1088" s="2" t="inlineStr">
        <is>
          <t>SBC-272J STD</t>
        </is>
      </c>
      <c r="B1088" s="2" t="inlineStr"/>
      <c r="C1088" s="2" t="inlineStr">
        <is>
          <t>CONCHA BANCADA MONZA/OPTRA/NUBIRA</t>
        </is>
      </c>
      <c r="D1088" s="2" t="inlineStr">
        <is>
          <t>METAL LEVE</t>
        </is>
      </c>
      <c r="E1088" s="3" t="n">
        <v>36</v>
      </c>
      <c r="F1088" s="4" t="n">
        <v>0.3</v>
      </c>
      <c r="G1088" s="5">
        <f>ROUND(E1088*(1+F1088),2)</f>
        <v>46.80</v>
      </c>
      <c r="H1088" s="5">
        <f>ROUND(G1088*NOTAS!$B$2,2)</f>
        <v>33758.97</v>
      </c>
      <c r="I1088" s="6">
        <f>ROUND(G1088*NOTAS!$B$3,0)</f>
        <v>152047</v>
      </c>
      <c r="J1088" s="2" t="n">
        <v>1</v>
      </c>
    </row>
    <row r="1089">
      <c r="A1089" s="2" t="inlineStr">
        <is>
          <t>BC-272J STD</t>
        </is>
      </c>
      <c r="B1089" s="2" t="inlineStr"/>
      <c r="C1089" s="2" t="inlineStr">
        <is>
          <t>CONCHA BANCADA MONZA/OPTRA/NUBIRA</t>
        </is>
      </c>
      <c r="D1089" s="2" t="inlineStr">
        <is>
          <t>METAL LEVE</t>
        </is>
      </c>
      <c r="E1089" s="3" t="n">
        <v>36</v>
      </c>
      <c r="F1089" s="4" t="n">
        <v>0.3</v>
      </c>
      <c r="G1089" s="5">
        <f>ROUND(E1089*(1+F1089),2)</f>
        <v>46.80</v>
      </c>
      <c r="H1089" s="5">
        <f>ROUND(G1089*NOTAS!$B$2,2)</f>
        <v>33758.97</v>
      </c>
      <c r="I1089" s="6">
        <f>ROUND(G1089*NOTAS!$B$3,0)</f>
        <v>152047</v>
      </c>
      <c r="J1089" s="2" t="n">
        <v>1</v>
      </c>
    </row>
    <row r="1090">
      <c r="A1090" s="2" t="inlineStr">
        <is>
          <t>BC-272J 0,25</t>
        </is>
      </c>
      <c r="B1090" s="2" t="inlineStr"/>
      <c r="C1090" s="2" t="inlineStr">
        <is>
          <t>CONCHA BANCADA MONZA/OPTRA/NUBIRA</t>
        </is>
      </c>
      <c r="D1090" s="2" t="inlineStr">
        <is>
          <t>METAL LEVE</t>
        </is>
      </c>
      <c r="E1090" s="3" t="n">
        <v>36</v>
      </c>
      <c r="F1090" s="4" t="n">
        <v>0.3</v>
      </c>
      <c r="G1090" s="5">
        <f>ROUND(E1090*(1+F1090),2)</f>
        <v>46.80</v>
      </c>
      <c r="H1090" s="5">
        <f>ROUND(G1090*NOTAS!$B$2,2)</f>
        <v>33758.97</v>
      </c>
      <c r="I1090" s="6">
        <f>ROUND(G1090*NOTAS!$B$3,0)</f>
        <v>152047</v>
      </c>
      <c r="J1090" s="2" t="n">
        <v>1</v>
      </c>
    </row>
    <row r="1091">
      <c r="A1091" s="2" t="inlineStr">
        <is>
          <t>M14272 0,25</t>
        </is>
      </c>
      <c r="B1091" s="2" t="inlineStr"/>
      <c r="C1091" s="2" t="inlineStr">
        <is>
          <t>CONCHA BANCADA MONZA/OPTRA/NUBIRA</t>
        </is>
      </c>
      <c r="D1091" s="2" t="inlineStr">
        <is>
          <t>MAHLE</t>
        </is>
      </c>
      <c r="E1091" s="3" t="n">
        <v>36</v>
      </c>
      <c r="F1091" s="4" t="n">
        <v>0.3</v>
      </c>
      <c r="G1091" s="5">
        <f>ROUND(E1091*(1+F1091),2)</f>
        <v>46.80</v>
      </c>
      <c r="H1091" s="5">
        <f>ROUND(G1091*NOTAS!$B$2,2)</f>
        <v>33758.97</v>
      </c>
      <c r="I1091" s="6">
        <f>ROUND(G1091*NOTAS!$B$3,0)</f>
        <v>152047</v>
      </c>
      <c r="J1091" s="2" t="n">
        <v>1</v>
      </c>
    </row>
    <row r="1092">
      <c r="A1092" s="2" t="inlineStr">
        <is>
          <t>BC-123J STD</t>
        </is>
      </c>
      <c r="B1092" s="2" t="inlineStr"/>
      <c r="C1092" s="2" t="inlineStr">
        <is>
          <t>CONCHA BANCADA R-12</t>
        </is>
      </c>
      <c r="D1092" s="2" t="inlineStr">
        <is>
          <t>METAL LEVE</t>
        </is>
      </c>
      <c r="E1092" s="3" t="n">
        <v>24</v>
      </c>
      <c r="F1092" s="4" t="n">
        <v>0.3</v>
      </c>
      <c r="G1092" s="5">
        <f>ROUND(E1092*(1+F1092),2)</f>
        <v>31.20</v>
      </c>
      <c r="H1092" s="5">
        <f>ROUND(G1092*NOTAS!$B$2,2)</f>
        <v>22505.98</v>
      </c>
      <c r="I1092" s="6">
        <f>ROUND(G1092*NOTAS!$B$3,0)</f>
        <v>101365</v>
      </c>
      <c r="J1092" s="2" t="n">
        <v>2</v>
      </c>
    </row>
    <row r="1093">
      <c r="A1093" s="2" t="inlineStr">
        <is>
          <t>BC-123J 0,25</t>
        </is>
      </c>
      <c r="B1093" s="2" t="inlineStr"/>
      <c r="C1093" s="2" t="inlineStr">
        <is>
          <t>CONCHA BANCADA R-12</t>
        </is>
      </c>
      <c r="D1093" s="2" t="inlineStr">
        <is>
          <t>METAL LEVE</t>
        </is>
      </c>
      <c r="E1093" s="3" t="n">
        <v>24</v>
      </c>
      <c r="F1093" s="4" t="n">
        <v>0.3</v>
      </c>
      <c r="G1093" s="5">
        <f>ROUND(E1093*(1+F1093),2)</f>
        <v>31.20</v>
      </c>
      <c r="H1093" s="5">
        <f>ROUND(G1093*NOTAS!$B$2,2)</f>
        <v>22505.98</v>
      </c>
      <c r="I1093" s="6">
        <f>ROUND(G1093*NOTAS!$B$3,0)</f>
        <v>101365</v>
      </c>
      <c r="J1093" s="2" t="n">
        <v>2</v>
      </c>
    </row>
    <row r="1094">
      <c r="A1094" s="2" t="inlineStr">
        <is>
          <t>BC-123J 0,75</t>
        </is>
      </c>
      <c r="B1094" s="2" t="inlineStr"/>
      <c r="C1094" s="2" t="inlineStr">
        <is>
          <t>CONCHA BANCADA R-12</t>
        </is>
      </c>
      <c r="D1094" s="2" t="inlineStr">
        <is>
          <t>METAL LEVE</t>
        </is>
      </c>
      <c r="E1094" s="3" t="n">
        <v>24</v>
      </c>
      <c r="F1094" s="4" t="n">
        <v>0.3</v>
      </c>
      <c r="G1094" s="5">
        <f>ROUND(E1094*(1+F1094),2)</f>
        <v>31.20</v>
      </c>
      <c r="H1094" s="5">
        <f>ROUND(G1094*NOTAS!$B$2,2)</f>
        <v>22505.98</v>
      </c>
      <c r="I1094" s="6">
        <f>ROUND(G1094*NOTAS!$B$3,0)</f>
        <v>101365</v>
      </c>
      <c r="J1094" s="2" t="n">
        <v>2</v>
      </c>
    </row>
    <row r="1095">
      <c r="A1095" s="2" t="inlineStr">
        <is>
          <t>BC-409J STD</t>
        </is>
      </c>
      <c r="B1095" s="2" t="inlineStr"/>
      <c r="C1095" s="2" t="inlineStr">
        <is>
          <t>CONCHA BANCADA R-18/FUEGO/21</t>
        </is>
      </c>
      <c r="D1095" s="2" t="inlineStr">
        <is>
          <t>METAL LEVE</t>
        </is>
      </c>
      <c r="E1095" s="3" t="n">
        <v>14.5385</v>
      </c>
      <c r="F1095" s="4" t="n">
        <v>0.3</v>
      </c>
      <c r="G1095" s="5">
        <f>ROUND(E1095*(1+F1095),2)</f>
        <v>18.90</v>
      </c>
      <c r="H1095" s="5">
        <f>ROUND(G1095*NOTAS!$B$2,2)</f>
        <v>13633.43</v>
      </c>
      <c r="I1095" s="6">
        <f>ROUND(G1095*NOTAS!$B$3,0)</f>
        <v>61404</v>
      </c>
      <c r="J1095" s="2" t="n">
        <v>2</v>
      </c>
    </row>
    <row r="1096">
      <c r="A1096" s="2" t="inlineStr">
        <is>
          <t>20-241/5A STD</t>
        </is>
      </c>
      <c r="B1096" s="2" t="inlineStr"/>
      <c r="C1096" s="2" t="inlineStr">
        <is>
          <t>CONCHA BANCADA R-18/FUEGO/21</t>
        </is>
      </c>
      <c r="D1096" s="2" t="inlineStr">
        <is>
          <t>SINTERMETAL</t>
        </is>
      </c>
      <c r="E1096" s="3" t="n">
        <v>14.5385</v>
      </c>
      <c r="F1096" s="4" t="n">
        <v>0.3</v>
      </c>
      <c r="G1096" s="5">
        <f>ROUND(E1096*(1+F1096),2)</f>
        <v>18.90</v>
      </c>
      <c r="H1096" s="5">
        <f>ROUND(G1096*NOTAS!$B$2,2)</f>
        <v>13633.43</v>
      </c>
      <c r="I1096" s="6">
        <f>ROUND(G1096*NOTAS!$B$3,0)</f>
        <v>61404</v>
      </c>
      <c r="J1096" s="2" t="n">
        <v>2</v>
      </c>
    </row>
    <row r="1097">
      <c r="A1097" s="2" t="inlineStr">
        <is>
          <t>BC-409J 1,00</t>
        </is>
      </c>
      <c r="B1097" s="2" t="inlineStr"/>
      <c r="C1097" s="2" t="inlineStr">
        <is>
          <t>CONCHA BANCADA R-18/FUEGO/21</t>
        </is>
      </c>
      <c r="D1097" s="2" t="inlineStr">
        <is>
          <t>METAL LEVE</t>
        </is>
      </c>
      <c r="E1097" s="3" t="n">
        <v>14.5385</v>
      </c>
      <c r="F1097" s="4" t="n">
        <v>0.3</v>
      </c>
      <c r="G1097" s="5">
        <f>ROUND(E1097*(1+F1097),2)</f>
        <v>18.90</v>
      </c>
      <c r="H1097" s="5">
        <f>ROUND(G1097*NOTAS!$B$2,2)</f>
        <v>13633.43</v>
      </c>
      <c r="I1097" s="6">
        <f>ROUND(G1097*NOTAS!$B$3,0)</f>
        <v>61404</v>
      </c>
      <c r="J1097" s="2" t="n">
        <v>2</v>
      </c>
    </row>
    <row r="1098">
      <c r="A1098" s="2" t="inlineStr">
        <is>
          <t>20-241/5A 1,00</t>
        </is>
      </c>
      <c r="B1098" s="2" t="inlineStr"/>
      <c r="C1098" s="2" t="inlineStr">
        <is>
          <t>CONCHA BANCADA R-18/FUEGO/21</t>
        </is>
      </c>
      <c r="D1098" s="2" t="inlineStr">
        <is>
          <t>SINTERMETAL</t>
        </is>
      </c>
      <c r="E1098" s="3" t="n">
        <v>14.5385</v>
      </c>
      <c r="F1098" s="4" t="n">
        <v>0.3</v>
      </c>
      <c r="G1098" s="5">
        <f>ROUND(E1098*(1+F1098),2)</f>
        <v>18.90</v>
      </c>
      <c r="H1098" s="5">
        <f>ROUND(G1098*NOTAS!$B$2,2)</f>
        <v>13633.43</v>
      </c>
      <c r="I1098" s="6">
        <f>ROUND(G1098*NOTAS!$B$3,0)</f>
        <v>61404</v>
      </c>
      <c r="J1098" s="2" t="n">
        <v>1</v>
      </c>
    </row>
    <row r="1099">
      <c r="A1099" s="2" t="inlineStr">
        <is>
          <t>BC-408J STD</t>
        </is>
      </c>
      <c r="B1099" s="2" t="inlineStr"/>
      <c r="C1099" s="2" t="inlineStr">
        <is>
          <t>CONCHA BANCADA R-5/11/19/SYMBOL/CLIO 8V</t>
        </is>
      </c>
      <c r="D1099" s="2" t="inlineStr">
        <is>
          <t>METAL LEVE</t>
        </is>
      </c>
      <c r="E1099" s="3" t="n">
        <v>24</v>
      </c>
      <c r="F1099" s="4" t="n">
        <v>0.3</v>
      </c>
      <c r="G1099" s="5">
        <f>ROUND(E1099*(1+F1099),2)</f>
        <v>31.20</v>
      </c>
      <c r="H1099" s="5">
        <f>ROUND(G1099*NOTAS!$B$2,2)</f>
        <v>22505.98</v>
      </c>
      <c r="I1099" s="6">
        <f>ROUND(G1099*NOTAS!$B$3,0)</f>
        <v>101365</v>
      </c>
      <c r="J1099" s="2" t="n">
        <v>9</v>
      </c>
    </row>
    <row r="1100">
      <c r="A1100" s="2" t="inlineStr">
        <is>
          <t>20-240/5A 000</t>
        </is>
      </c>
      <c r="B1100" s="2" t="inlineStr"/>
      <c r="C1100" s="2" t="inlineStr">
        <is>
          <t>CONCHA BANCADA R-5/11/19/SYMBOL/CLIO 8V</t>
        </is>
      </c>
      <c r="D1100" s="2" t="inlineStr">
        <is>
          <t>SINTERMETAL</t>
        </is>
      </c>
      <c r="E1100" s="3" t="n">
        <v>13.8462</v>
      </c>
      <c r="F1100" s="4" t="n">
        <v>0.3</v>
      </c>
      <c r="G1100" s="5">
        <f>ROUND(E1100*(1+F1100),2)</f>
        <v>18.00</v>
      </c>
      <c r="H1100" s="5">
        <f>ROUND(G1100*NOTAS!$B$2,2)</f>
        <v>12984.22</v>
      </c>
      <c r="I1100" s="6">
        <f>ROUND(G1100*NOTAS!$B$3,0)</f>
        <v>58480</v>
      </c>
      <c r="J1100" s="2" t="n">
        <v>1</v>
      </c>
    </row>
    <row r="1101">
      <c r="A1101" s="2" t="inlineStr">
        <is>
          <t>C8289-38 STD</t>
        </is>
      </c>
      <c r="B1101" s="2" t="inlineStr"/>
      <c r="C1101" s="2" t="inlineStr">
        <is>
          <t>CONCHA BANCADA R-5/11/19/SYMBOL/CLIO 8V</t>
        </is>
      </c>
      <c r="D1101" s="2" t="inlineStr">
        <is>
          <t>NB</t>
        </is>
      </c>
      <c r="E1101" s="3" t="n">
        <v>13.8462</v>
      </c>
      <c r="F1101" s="4" t="n">
        <v>0.3</v>
      </c>
      <c r="G1101" s="5">
        <f>ROUND(E1101*(1+F1101),2)</f>
        <v>18.00</v>
      </c>
      <c r="H1101" s="5">
        <f>ROUND(G1101*NOTAS!$B$2,2)</f>
        <v>12984.22</v>
      </c>
      <c r="I1101" s="6">
        <f>ROUND(G1101*NOTAS!$B$3,0)</f>
        <v>58480</v>
      </c>
      <c r="J1101" s="2" t="n">
        <v>5</v>
      </c>
    </row>
    <row r="1102">
      <c r="A1102" s="2" t="inlineStr">
        <is>
          <t>BC-408J 0,25</t>
        </is>
      </c>
      <c r="B1102" s="2" t="inlineStr"/>
      <c r="C1102" s="2" t="inlineStr">
        <is>
          <t>CONCHA BANCADA R-5/11/19/SYMBOL/CLIO 8V</t>
        </is>
      </c>
      <c r="D1102" s="2" t="inlineStr">
        <is>
          <t>METAL LEVE</t>
        </is>
      </c>
      <c r="E1102" s="3" t="n">
        <v>24</v>
      </c>
      <c r="F1102" s="4" t="n">
        <v>0.3</v>
      </c>
      <c r="G1102" s="5">
        <f>ROUND(E1102*(1+F1102),2)</f>
        <v>31.20</v>
      </c>
      <c r="H1102" s="5">
        <f>ROUND(G1102*NOTAS!$B$2,2)</f>
        <v>22505.98</v>
      </c>
      <c r="I1102" s="6">
        <f>ROUND(G1102*NOTAS!$B$3,0)</f>
        <v>101365</v>
      </c>
      <c r="J1102" s="2" t="n">
        <v>5</v>
      </c>
    </row>
    <row r="1103">
      <c r="A1103" s="2" t="inlineStr">
        <is>
          <t>C8289-38 0,25</t>
        </is>
      </c>
      <c r="B1103" s="2" t="inlineStr"/>
      <c r="C1103" s="2" t="inlineStr">
        <is>
          <t>CONCHA BANCADA R-5/11/19/SYMBOL/CLIO 8V</t>
        </is>
      </c>
      <c r="D1103" s="2" t="inlineStr">
        <is>
          <t>NB</t>
        </is>
      </c>
      <c r="E1103" s="3" t="n">
        <v>13.8462</v>
      </c>
      <c r="F1103" s="4" t="n">
        <v>0.3</v>
      </c>
      <c r="G1103" s="5">
        <f>ROUND(E1103*(1+F1103),2)</f>
        <v>18.00</v>
      </c>
      <c r="H1103" s="5">
        <f>ROUND(G1103*NOTAS!$B$2,2)</f>
        <v>12984.22</v>
      </c>
      <c r="I1103" s="6">
        <f>ROUND(G1103*NOTAS!$B$3,0)</f>
        <v>58480</v>
      </c>
      <c r="J1103" s="2" t="n">
        <v>5</v>
      </c>
    </row>
    <row r="1104">
      <c r="A1104" s="2" t="inlineStr">
        <is>
          <t>C8289-38 0,50</t>
        </is>
      </c>
      <c r="B1104" s="2" t="inlineStr"/>
      <c r="C1104" s="2" t="inlineStr">
        <is>
          <t>CONCHA BANCADA R-5/11/19/SYMBOL/CLIO 8V</t>
        </is>
      </c>
      <c r="D1104" s="2" t="inlineStr">
        <is>
          <t>NB</t>
        </is>
      </c>
      <c r="E1104" s="3" t="n">
        <v>13.8462</v>
      </c>
      <c r="F1104" s="4" t="n">
        <v>0.3</v>
      </c>
      <c r="G1104" s="5">
        <f>ROUND(E1104*(1+F1104),2)</f>
        <v>18.00</v>
      </c>
      <c r="H1104" s="5">
        <f>ROUND(G1104*NOTAS!$B$2,2)</f>
        <v>12984.22</v>
      </c>
      <c r="I1104" s="6">
        <f>ROUND(G1104*NOTAS!$B$3,0)</f>
        <v>58480</v>
      </c>
      <c r="J1104" s="2" t="n">
        <v>3</v>
      </c>
    </row>
    <row r="1105">
      <c r="A1105" s="2" t="inlineStr">
        <is>
          <t>BC-408J 0,50</t>
        </is>
      </c>
      <c r="B1105" s="2" t="inlineStr"/>
      <c r="C1105" s="2" t="inlineStr">
        <is>
          <t>CONCHA BANCADA R-5/11/19/SYMBOL/CLIO 8V</t>
        </is>
      </c>
      <c r="D1105" s="2" t="inlineStr">
        <is>
          <t>METAL LEVE</t>
        </is>
      </c>
      <c r="E1105" s="3" t="n">
        <v>24</v>
      </c>
      <c r="F1105" s="4" t="n">
        <v>0.3</v>
      </c>
      <c r="G1105" s="5">
        <f>ROUND(E1105*(1+F1105),2)</f>
        <v>31.20</v>
      </c>
      <c r="H1105" s="5">
        <f>ROUND(G1105*NOTAS!$B$2,2)</f>
        <v>22505.98</v>
      </c>
      <c r="I1105" s="6">
        <f>ROUND(G1105*NOTAS!$B$3,0)</f>
        <v>101365</v>
      </c>
      <c r="J1105" s="2" t="n">
        <v>1</v>
      </c>
    </row>
    <row r="1106">
      <c r="A1106" s="2" t="inlineStr">
        <is>
          <t>C8289-38 0,75</t>
        </is>
      </c>
      <c r="B1106" s="2" t="inlineStr"/>
      <c r="C1106" s="2" t="inlineStr">
        <is>
          <t>CONCHA BANCADA R-5/11/19/SYMBOL/CLIO 8V</t>
        </is>
      </c>
      <c r="D1106" s="2" t="inlineStr">
        <is>
          <t>NB</t>
        </is>
      </c>
      <c r="E1106" s="3" t="n">
        <v>13.8462</v>
      </c>
      <c r="F1106" s="4" t="n">
        <v>0.3</v>
      </c>
      <c r="G1106" s="5">
        <f>ROUND(E1106*(1+F1106),2)</f>
        <v>18.00</v>
      </c>
      <c r="H1106" s="5">
        <f>ROUND(G1106*NOTAS!$B$2,2)</f>
        <v>12984.22</v>
      </c>
      <c r="I1106" s="6">
        <f>ROUND(G1106*NOTAS!$B$3,0)</f>
        <v>58480</v>
      </c>
      <c r="J1106" s="2" t="n">
        <v>1</v>
      </c>
    </row>
    <row r="1107">
      <c r="A1107" s="2" t="inlineStr">
        <is>
          <t>BC-408J 1,00</t>
        </is>
      </c>
      <c r="B1107" s="2" t="inlineStr"/>
      <c r="C1107" s="2" t="inlineStr">
        <is>
          <t>CONCHA BANCADA R-5/11/19/SYMBOL/CLIO 8V</t>
        </is>
      </c>
      <c r="D1107" s="2" t="inlineStr">
        <is>
          <t>METAL LEVE</t>
        </is>
      </c>
      <c r="E1107" s="3" t="n">
        <v>24</v>
      </c>
      <c r="F1107" s="4" t="n">
        <v>0.3</v>
      </c>
      <c r="G1107" s="5">
        <f>ROUND(E1107*(1+F1107),2)</f>
        <v>31.20</v>
      </c>
      <c r="H1107" s="5">
        <f>ROUND(G1107*NOTAS!$B$2,2)</f>
        <v>22505.98</v>
      </c>
      <c r="I1107" s="6">
        <f>ROUND(G1107*NOTAS!$B$3,0)</f>
        <v>101365</v>
      </c>
      <c r="J1107" s="2" t="n">
        <v>5</v>
      </c>
    </row>
    <row r="1108">
      <c r="A1108" s="2" t="inlineStr">
        <is>
          <t>C8289-38 1,00</t>
        </is>
      </c>
      <c r="B1108" s="2" t="inlineStr"/>
      <c r="C1108" s="2" t="inlineStr">
        <is>
          <t>CONCHA BANCADA R-5/11/19/SYMBOL/CLIO 8V</t>
        </is>
      </c>
      <c r="D1108" s="2" t="inlineStr">
        <is>
          <t>NB</t>
        </is>
      </c>
      <c r="E1108" s="3" t="n">
        <v>13.8462</v>
      </c>
      <c r="F1108" s="4" t="n">
        <v>0.3</v>
      </c>
      <c r="G1108" s="5">
        <f>ROUND(E1108*(1+F1108),2)</f>
        <v>18.00</v>
      </c>
      <c r="H1108" s="5">
        <f>ROUND(G1108*NOTAS!$B$2,2)</f>
        <v>12984.22</v>
      </c>
      <c r="I1108" s="6">
        <f>ROUND(G1108*NOTAS!$B$3,0)</f>
        <v>58480</v>
      </c>
      <c r="J1108" s="2" t="n">
        <v>2</v>
      </c>
    </row>
    <row r="1109">
      <c r="A1109" s="2" t="inlineStr">
        <is>
          <t>20-240/5A 1,00</t>
        </is>
      </c>
      <c r="B1109" s="2" t="inlineStr"/>
      <c r="C1109" s="2" t="inlineStr">
        <is>
          <t>CONCHA BANCADA R-5/11/19/SYMBOL/CLIO 8V</t>
        </is>
      </c>
      <c r="D1109" s="2" t="inlineStr">
        <is>
          <t>SINTERMETAL</t>
        </is>
      </c>
      <c r="E1109" s="3" t="n">
        <v>13.8462</v>
      </c>
      <c r="F1109" s="4" t="n">
        <v>0.3</v>
      </c>
      <c r="G1109" s="5">
        <f>ROUND(E1109*(1+F1109),2)</f>
        <v>18.00</v>
      </c>
      <c r="H1109" s="5">
        <f>ROUND(G1109*NOTAS!$B$2,2)</f>
        <v>12984.22</v>
      </c>
      <c r="I1109" s="6">
        <f>ROUND(G1109*NOTAS!$B$3,0)</f>
        <v>58480</v>
      </c>
      <c r="J1109" s="2" t="n">
        <v>1</v>
      </c>
    </row>
    <row r="1110">
      <c r="A1110" s="2" t="inlineStr">
        <is>
          <t>C8289-53 STD</t>
        </is>
      </c>
      <c r="B1110" s="2" t="inlineStr"/>
      <c r="C1110" s="2" t="inlineStr">
        <is>
          <t>CONCHA BANCADA R-LOGAN/TWINGO CON CUNA</t>
        </is>
      </c>
      <c r="D1110" s="2" t="inlineStr">
        <is>
          <t>NB</t>
        </is>
      </c>
      <c r="E1110" s="3" t="n">
        <v>15.3846</v>
      </c>
      <c r="F1110" s="4" t="n">
        <v>0.3</v>
      </c>
      <c r="G1110" s="5">
        <f>ROUND(E1110*(1+F1110),2)</f>
        <v>20.00</v>
      </c>
      <c r="H1110" s="5">
        <f>ROUND(G1110*NOTAS!$B$2,2)</f>
        <v>14426.91</v>
      </c>
      <c r="I1110" s="6">
        <f>ROUND(G1110*NOTAS!$B$3,0)</f>
        <v>64977</v>
      </c>
      <c r="J1110" s="2" t="n">
        <v>5</v>
      </c>
    </row>
    <row r="1111">
      <c r="A1111" s="2" t="inlineStr">
        <is>
          <t>C8289-53 0,50</t>
        </is>
      </c>
      <c r="B1111" s="2" t="inlineStr"/>
      <c r="C1111" s="2" t="inlineStr">
        <is>
          <t>CONCHA BANCADA R-LOGAN/TWINGO CON CUNA</t>
        </is>
      </c>
      <c r="D1111" s="2" t="inlineStr">
        <is>
          <t>NB</t>
        </is>
      </c>
      <c r="E1111" s="3" t="n">
        <v>15.3846</v>
      </c>
      <c r="F1111" s="4" t="n">
        <v>0.3</v>
      </c>
      <c r="G1111" s="5">
        <f>ROUND(E1111*(1+F1111),2)</f>
        <v>20.00</v>
      </c>
      <c r="H1111" s="5">
        <f>ROUND(G1111*NOTAS!$B$2,2)</f>
        <v>14426.91</v>
      </c>
      <c r="I1111" s="6">
        <f>ROUND(G1111*NOTAS!$B$3,0)</f>
        <v>64977</v>
      </c>
      <c r="J1111" s="2" t="n">
        <v>3</v>
      </c>
    </row>
    <row r="1112">
      <c r="A1112" s="2" t="inlineStr">
        <is>
          <t>C9289-55 STD</t>
        </is>
      </c>
      <c r="B1112" s="2" t="inlineStr"/>
      <c r="C1112" s="2" t="inlineStr">
        <is>
          <t>CONCHA BANCADA R-SYMBOL/CLIO/LOGAN/TWINGO SIN CUNA</t>
        </is>
      </c>
      <c r="D1112" s="2" t="inlineStr">
        <is>
          <t>NB</t>
        </is>
      </c>
      <c r="E1112" s="3" t="n">
        <v>12.5</v>
      </c>
      <c r="F1112" s="4" t="n">
        <v>0.3</v>
      </c>
      <c r="G1112" s="5">
        <f>ROUND(E1112*(1+F1112),2)</f>
        <v>16.25</v>
      </c>
      <c r="H1112" s="5">
        <f>ROUND(G1112*NOTAS!$B$2,2)</f>
        <v>11721.87</v>
      </c>
      <c r="I1112" s="6">
        <f>ROUND(G1112*NOTAS!$B$3,0)</f>
        <v>52794</v>
      </c>
      <c r="J1112" s="2" t="n">
        <v>1</v>
      </c>
    </row>
    <row r="1113">
      <c r="A1113" s="2" t="inlineStr">
        <is>
          <t>C9289-55 0,25</t>
        </is>
      </c>
      <c r="B1113" s="2" t="inlineStr"/>
      <c r="C1113" s="2" t="inlineStr">
        <is>
          <t>CONCHA BANCADA R-SYMBOL/CLIO/LOGAN/TWINGO SIN CUNA</t>
        </is>
      </c>
      <c r="D1113" s="2" t="inlineStr">
        <is>
          <t>NB</t>
        </is>
      </c>
      <c r="E1113" s="3" t="n">
        <v>12.5</v>
      </c>
      <c r="F1113" s="4" t="n">
        <v>0.3</v>
      </c>
      <c r="G1113" s="5">
        <f>ROUND(E1113*(1+F1113),2)</f>
        <v>16.25</v>
      </c>
      <c r="H1113" s="5">
        <f>ROUND(G1113*NOTAS!$B$2,2)</f>
        <v>11721.87</v>
      </c>
      <c r="I1113" s="6">
        <f>ROUND(G1113*NOTAS!$B$3,0)</f>
        <v>52794</v>
      </c>
      <c r="J1113" s="2" t="n">
        <v>1</v>
      </c>
    </row>
    <row r="1114">
      <c r="A1114" s="2" t="inlineStr">
        <is>
          <t>C9289-55 0,50</t>
        </is>
      </c>
      <c r="B1114" s="2" t="inlineStr"/>
      <c r="C1114" s="2" t="inlineStr">
        <is>
          <t>CONCHA BANCADA R-SYMBOL/CLIO/LOGAN/TWINGO SIN CUNA</t>
        </is>
      </c>
      <c r="D1114" s="2" t="inlineStr">
        <is>
          <t>NB</t>
        </is>
      </c>
      <c r="E1114" s="3" t="n">
        <v>12.5</v>
      </c>
      <c r="F1114" s="4" t="n">
        <v>0.3</v>
      </c>
      <c r="G1114" s="5">
        <f>ROUND(E1114*(1+F1114),2)</f>
        <v>16.25</v>
      </c>
      <c r="H1114" s="5">
        <f>ROUND(G1114*NOTAS!$B$2,2)</f>
        <v>11721.87</v>
      </c>
      <c r="I1114" s="6">
        <f>ROUND(G1114*NOTAS!$B$3,0)</f>
        <v>52794</v>
      </c>
      <c r="J1114" s="2" t="n">
        <v>1</v>
      </c>
    </row>
    <row r="1115">
      <c r="A1115" s="2" t="inlineStr">
        <is>
          <t>C9289-55 0,75</t>
        </is>
      </c>
      <c r="B1115" s="2" t="inlineStr"/>
      <c r="C1115" s="2" t="inlineStr">
        <is>
          <t>CONCHA BANCADA R-SYMBOL/CLIO/LOGAN/TWINGO SIN CUNA</t>
        </is>
      </c>
      <c r="D1115" s="2" t="inlineStr">
        <is>
          <t>NB</t>
        </is>
      </c>
      <c r="E1115" s="3" t="n">
        <v>12.5</v>
      </c>
      <c r="F1115" s="4" t="n">
        <v>0.3</v>
      </c>
      <c r="G1115" s="5">
        <f>ROUND(E1115*(1+F1115),2)</f>
        <v>16.25</v>
      </c>
      <c r="H1115" s="5">
        <f>ROUND(G1115*NOTAS!$B$2,2)</f>
        <v>11721.87</v>
      </c>
      <c r="I1115" s="6">
        <f>ROUND(G1115*NOTAS!$B$3,0)</f>
        <v>52794</v>
      </c>
      <c r="J1115" s="2" t="n">
        <v>1</v>
      </c>
    </row>
    <row r="1116">
      <c r="A1116" s="2" t="inlineStr">
        <is>
          <t>20-246/5A STD</t>
        </is>
      </c>
      <c r="B1116" s="2" t="inlineStr"/>
      <c r="C1116" s="2" t="inlineStr">
        <is>
          <t>CONCHA BANCADA R-SYMBOL/KANGOO CON CUNA</t>
        </is>
      </c>
      <c r="D1116" s="2" t="inlineStr">
        <is>
          <t>SINTERMETAL</t>
        </is>
      </c>
      <c r="E1116" s="3" t="n">
        <v>15.3846</v>
      </c>
      <c r="F1116" s="4" t="n">
        <v>0.3</v>
      </c>
      <c r="G1116" s="5">
        <f>ROUND(E1116*(1+F1116),2)</f>
        <v>20.00</v>
      </c>
      <c r="H1116" s="5">
        <f>ROUND(G1116*NOTAS!$B$2,2)</f>
        <v>14426.91</v>
      </c>
      <c r="I1116" s="6">
        <f>ROUND(G1116*NOTAS!$B$3,0)</f>
        <v>64977</v>
      </c>
      <c r="J1116" s="2" t="n">
        <v>2</v>
      </c>
    </row>
    <row r="1117">
      <c r="A1117" s="2" t="inlineStr">
        <is>
          <t>20-246/5A 0,75</t>
        </is>
      </c>
      <c r="B1117" s="2" t="inlineStr"/>
      <c r="C1117" s="2" t="inlineStr">
        <is>
          <t>CONCHA BANCADA R-SYMBOL/KANGOO CON CUNA</t>
        </is>
      </c>
      <c r="D1117" s="2" t="inlineStr">
        <is>
          <t>SINTERMETAL</t>
        </is>
      </c>
      <c r="E1117" s="3" t="n">
        <v>15.3846</v>
      </c>
      <c r="F1117" s="4" t="n">
        <v>0.3</v>
      </c>
      <c r="G1117" s="5">
        <f>ROUND(E1117*(1+F1117),2)</f>
        <v>20.00</v>
      </c>
      <c r="H1117" s="5">
        <f>ROUND(G1117*NOTAS!$B$2,2)</f>
        <v>14426.91</v>
      </c>
      <c r="I1117" s="6">
        <f>ROUND(G1117*NOTAS!$B$3,0)</f>
        <v>64977</v>
      </c>
      <c r="J1117" s="2" t="n">
        <v>2</v>
      </c>
    </row>
    <row r="1118">
      <c r="A1118" s="2" t="inlineStr">
        <is>
          <t>20-246/5A 1,00</t>
        </is>
      </c>
      <c r="B1118" s="2" t="inlineStr"/>
      <c r="C1118" s="2" t="inlineStr">
        <is>
          <t>CONCHA BANCADA R-SYMBOL/KANGOO CON CUNA</t>
        </is>
      </c>
      <c r="D1118" s="2" t="inlineStr">
        <is>
          <t>SINTERMETAL</t>
        </is>
      </c>
      <c r="E1118" s="3" t="n">
        <v>15.3846</v>
      </c>
      <c r="F1118" s="4" t="n">
        <v>0.3</v>
      </c>
      <c r="G1118" s="5">
        <f>ROUND(E1118*(1+F1118),2)</f>
        <v>20.00</v>
      </c>
      <c r="H1118" s="5">
        <f>ROUND(G1118*NOTAS!$B$2,2)</f>
        <v>14426.91</v>
      </c>
      <c r="I1118" s="6">
        <f>ROUND(G1118*NOTAS!$B$3,0)</f>
        <v>64977</v>
      </c>
      <c r="J1118" s="2" t="n">
        <v>2</v>
      </c>
    </row>
    <row r="1119">
      <c r="A1119" s="2" t="inlineStr">
        <is>
          <t>SB14163 STD</t>
        </is>
      </c>
      <c r="B1119" s="2" t="inlineStr"/>
      <c r="C1119" s="2" t="inlineStr">
        <is>
          <t>CONCHA BIELA CHEVETTE</t>
        </is>
      </c>
      <c r="D1119" s="2" t="inlineStr">
        <is>
          <t>MAHLE</t>
        </is>
      </c>
      <c r="E1119" s="3" t="n">
        <v>18</v>
      </c>
      <c r="F1119" s="4" t="n">
        <v>0.3</v>
      </c>
      <c r="G1119" s="5">
        <f>ROUND(E1119*(1+F1119),2)</f>
        <v>23.40</v>
      </c>
      <c r="H1119" s="5">
        <f>ROUND(G1119*NOTAS!$B$2,2)</f>
        <v>16879.49</v>
      </c>
      <c r="I1119" s="6">
        <f>ROUND(G1119*NOTAS!$B$3,0)</f>
        <v>76024</v>
      </c>
      <c r="J1119" s="2" t="n">
        <v>5</v>
      </c>
    </row>
    <row r="1120">
      <c r="A1120" s="2" t="inlineStr">
        <is>
          <t>SBB-163J STD</t>
        </is>
      </c>
      <c r="B1120" s="2" t="inlineStr"/>
      <c r="C1120" s="2" t="inlineStr">
        <is>
          <t>CONCHA BIELA CHEVETTE</t>
        </is>
      </c>
      <c r="D1120" s="2" t="inlineStr">
        <is>
          <t>METAL LEVE</t>
        </is>
      </c>
      <c r="E1120" s="3" t="n">
        <v>18</v>
      </c>
      <c r="F1120" s="4" t="n">
        <v>0.3</v>
      </c>
      <c r="G1120" s="5">
        <f>ROUND(E1120*(1+F1120),2)</f>
        <v>23.40</v>
      </c>
      <c r="H1120" s="5">
        <f>ROUND(G1120*NOTAS!$B$2,2)</f>
        <v>16879.49</v>
      </c>
      <c r="I1120" s="6">
        <f>ROUND(G1120*NOTAS!$B$3,0)</f>
        <v>76024</v>
      </c>
      <c r="J1120" s="2" t="n">
        <v>5</v>
      </c>
    </row>
    <row r="1121">
      <c r="A1121" s="2" t="inlineStr">
        <is>
          <t>SBB-163J 0,25</t>
        </is>
      </c>
      <c r="B1121" s="2" t="inlineStr"/>
      <c r="C1121" s="2" t="inlineStr">
        <is>
          <t>CONCHA BIELA CHEVETTE</t>
        </is>
      </c>
      <c r="D1121" s="2" t="inlineStr">
        <is>
          <t>METAL LEVE</t>
        </is>
      </c>
      <c r="E1121" s="3" t="n">
        <v>18</v>
      </c>
      <c r="F1121" s="4" t="n">
        <v>0.3</v>
      </c>
      <c r="G1121" s="5">
        <f>ROUND(E1121*(1+F1121),2)</f>
        <v>23.40</v>
      </c>
      <c r="H1121" s="5">
        <f>ROUND(G1121*NOTAS!$B$2,2)</f>
        <v>16879.49</v>
      </c>
      <c r="I1121" s="6">
        <f>ROUND(G1121*NOTAS!$B$3,0)</f>
        <v>76024</v>
      </c>
      <c r="J1121" s="2" t="n">
        <v>3</v>
      </c>
    </row>
    <row r="1122">
      <c r="A1122" s="2" t="inlineStr">
        <is>
          <t>SB14163 0,25</t>
        </is>
      </c>
      <c r="B1122" s="2" t="inlineStr"/>
      <c r="C1122" s="2" t="inlineStr">
        <is>
          <t>CONCHA BIELA CHEVETTE</t>
        </is>
      </c>
      <c r="D1122" s="2" t="inlineStr">
        <is>
          <t>MAHLE</t>
        </is>
      </c>
      <c r="E1122" s="3" t="n">
        <v>18</v>
      </c>
      <c r="F1122" s="4" t="n">
        <v>0.3</v>
      </c>
      <c r="G1122" s="5">
        <f>ROUND(E1122*(1+F1122),2)</f>
        <v>23.40</v>
      </c>
      <c r="H1122" s="5">
        <f>ROUND(G1122*NOTAS!$B$2,2)</f>
        <v>16879.49</v>
      </c>
      <c r="I1122" s="6">
        <f>ROUND(G1122*NOTAS!$B$3,0)</f>
        <v>76024</v>
      </c>
      <c r="J1122" s="2" t="n">
        <v>4</v>
      </c>
    </row>
    <row r="1123">
      <c r="A1123" s="2" t="inlineStr">
        <is>
          <t>SB14163 0,50</t>
        </is>
      </c>
      <c r="B1123" s="2" t="inlineStr"/>
      <c r="C1123" s="2" t="inlineStr">
        <is>
          <t>CONCHA BIELA CHEVETTE</t>
        </is>
      </c>
      <c r="D1123" s="2" t="inlineStr">
        <is>
          <t>MAHLE</t>
        </is>
      </c>
      <c r="E1123" s="3" t="n">
        <v>18</v>
      </c>
      <c r="F1123" s="4" t="n">
        <v>0.3</v>
      </c>
      <c r="G1123" s="5">
        <f>ROUND(E1123*(1+F1123),2)</f>
        <v>23.40</v>
      </c>
      <c r="H1123" s="5">
        <f>ROUND(G1123*NOTAS!$B$2,2)</f>
        <v>16879.49</v>
      </c>
      <c r="I1123" s="6">
        <f>ROUND(G1123*NOTAS!$B$3,0)</f>
        <v>76024</v>
      </c>
      <c r="J1123" s="2" t="n">
        <v>3</v>
      </c>
    </row>
    <row r="1124">
      <c r="A1124" s="2" t="inlineStr">
        <is>
          <t>SB14163 1,50</t>
        </is>
      </c>
      <c r="B1124" s="2" t="inlineStr"/>
      <c r="C1124" s="2" t="inlineStr">
        <is>
          <t>CONCHA BIELA CHEVETTE</t>
        </is>
      </c>
      <c r="D1124" s="2" t="inlineStr">
        <is>
          <t>MAHLE</t>
        </is>
      </c>
      <c r="E1124" s="3" t="n">
        <v>18</v>
      </c>
      <c r="F1124" s="4" t="n">
        <v>0.3</v>
      </c>
      <c r="G1124" s="5">
        <f>ROUND(E1124*(1+F1124),2)</f>
        <v>23.40</v>
      </c>
      <c r="H1124" s="5">
        <f>ROUND(G1124*NOTAS!$B$2,2)</f>
        <v>16879.49</v>
      </c>
      <c r="I1124" s="6">
        <f>ROUND(G1124*NOTAS!$B$3,0)</f>
        <v>76024</v>
      </c>
      <c r="J1124" s="2" t="n">
        <v>4</v>
      </c>
    </row>
    <row r="1125">
      <c r="A1125" s="2" t="inlineStr">
        <is>
          <t>B8314-1 0,25</t>
        </is>
      </c>
      <c r="B1125" s="2" t="inlineStr"/>
      <c r="C1125" s="2" t="inlineStr">
        <is>
          <t>CONCHA BIELA CIELO/LANOS</t>
        </is>
      </c>
      <c r="D1125" s="2" t="inlineStr">
        <is>
          <t>NB</t>
        </is>
      </c>
      <c r="E1125" s="3" t="n">
        <v>8.210000000000001</v>
      </c>
      <c r="F1125" s="4" t="n">
        <v>0.3</v>
      </c>
      <c r="G1125" s="5">
        <f>ROUND(E1125*(1+F1125),2)</f>
        <v>10.67</v>
      </c>
      <c r="H1125" s="5">
        <f>ROUND(G1125*NOTAS!$B$2,2)</f>
        <v>7696.76</v>
      </c>
      <c r="I1125" s="6">
        <f>ROUND(G1125*NOTAS!$B$3,0)</f>
        <v>34665</v>
      </c>
      <c r="J1125" s="2" t="n">
        <v>3</v>
      </c>
    </row>
    <row r="1126">
      <c r="A1126" s="2" t="inlineStr">
        <is>
          <t>B8314-1 0,25</t>
        </is>
      </c>
      <c r="B1126" s="2" t="inlineStr"/>
      <c r="C1126" s="2" t="inlineStr">
        <is>
          <t>CONCHA BIELA CIELO/LANOS</t>
        </is>
      </c>
      <c r="D1126" s="2" t="inlineStr">
        <is>
          <t>METAL LEVE</t>
        </is>
      </c>
      <c r="E1126" s="3" t="n">
        <v>8.210000000000001</v>
      </c>
      <c r="F1126" s="4" t="n">
        <v>0.3</v>
      </c>
      <c r="G1126" s="5">
        <f>ROUND(E1126*(1+F1126),2)</f>
        <v>10.67</v>
      </c>
      <c r="H1126" s="5">
        <f>ROUND(G1126*NOTAS!$B$2,2)</f>
        <v>7696.76</v>
      </c>
      <c r="I1126" s="6">
        <f>ROUND(G1126*NOTAS!$B$3,0)</f>
        <v>34665</v>
      </c>
      <c r="J1126" s="2" t="n">
        <v>4</v>
      </c>
    </row>
    <row r="1127">
      <c r="A1127" s="2" t="inlineStr">
        <is>
          <t>B95432 1,00</t>
        </is>
      </c>
      <c r="B1127" s="2" t="inlineStr"/>
      <c r="C1127" s="2" t="inlineStr">
        <is>
          <t>CONCHA BIELA CIELO/LANOS</t>
        </is>
      </c>
      <c r="D1127" s="2" t="inlineStr">
        <is>
          <t>MAHLE</t>
        </is>
      </c>
      <c r="E1127" s="3" t="n">
        <v>8.210000000000001</v>
      </c>
      <c r="F1127" s="4" t="n">
        <v>0.3</v>
      </c>
      <c r="G1127" s="5">
        <f>ROUND(E1127*(1+F1127),2)</f>
        <v>10.67</v>
      </c>
      <c r="H1127" s="5">
        <f>ROUND(G1127*NOTAS!$B$2,2)</f>
        <v>7696.76</v>
      </c>
      <c r="I1127" s="6">
        <f>ROUND(G1127*NOTAS!$B$3,0)</f>
        <v>34665</v>
      </c>
      <c r="J1127" s="2" t="n">
        <v>8</v>
      </c>
    </row>
    <row r="1128">
      <c r="A1128" s="2" t="inlineStr">
        <is>
          <t>SB59223 STD</t>
        </is>
      </c>
      <c r="B1128" s="2" t="inlineStr"/>
      <c r="C1128" s="2" t="inlineStr">
        <is>
          <t>CONCHA BIELA CORCEL</t>
        </is>
      </c>
      <c r="D1128" s="2" t="inlineStr">
        <is>
          <t>MAHLE</t>
        </is>
      </c>
      <c r="E1128" s="3" t="n">
        <v>19</v>
      </c>
      <c r="F1128" s="4" t="n">
        <v>0.3</v>
      </c>
      <c r="G1128" s="5">
        <f>ROUND(E1128*(1+F1128),2)</f>
        <v>24.70</v>
      </c>
      <c r="H1128" s="5">
        <f>ROUND(G1128*NOTAS!$B$2,2)</f>
        <v>17817.24</v>
      </c>
      <c r="I1128" s="6">
        <f>ROUND(G1128*NOTAS!$B$3,0)</f>
        <v>80247</v>
      </c>
      <c r="J1128" s="2" t="n">
        <v>2</v>
      </c>
    </row>
    <row r="1129">
      <c r="A1129" s="2" t="inlineStr">
        <is>
          <t>BB-223J 0,25</t>
        </is>
      </c>
      <c r="B1129" s="2" t="inlineStr"/>
      <c r="C1129" s="2" t="inlineStr">
        <is>
          <t>CONCHA BIELA CORCEL</t>
        </is>
      </c>
      <c r="D1129" s="2" t="inlineStr">
        <is>
          <t>METAL LEVE</t>
        </is>
      </c>
      <c r="E1129" s="3" t="n">
        <v>19</v>
      </c>
      <c r="F1129" s="4" t="n">
        <v>0.3</v>
      </c>
      <c r="G1129" s="5">
        <f>ROUND(E1129*(1+F1129),2)</f>
        <v>24.70</v>
      </c>
      <c r="H1129" s="5">
        <f>ROUND(G1129*NOTAS!$B$2,2)</f>
        <v>17817.24</v>
      </c>
      <c r="I1129" s="6">
        <f>ROUND(G1129*NOTAS!$B$3,0)</f>
        <v>80247</v>
      </c>
      <c r="J1129" s="2" t="n">
        <v>1</v>
      </c>
    </row>
    <row r="1130">
      <c r="A1130" s="2" t="inlineStr">
        <is>
          <t>SB59223 0,25</t>
        </is>
      </c>
      <c r="B1130" s="2" t="inlineStr"/>
      <c r="C1130" s="2" t="inlineStr">
        <is>
          <t>CONCHA BIELA CORCEL</t>
        </is>
      </c>
      <c r="D1130" s="2" t="inlineStr">
        <is>
          <t>MAHLE</t>
        </is>
      </c>
      <c r="E1130" s="3" t="n">
        <v>19</v>
      </c>
      <c r="F1130" s="4" t="n">
        <v>0.3</v>
      </c>
      <c r="G1130" s="5">
        <f>ROUND(E1130*(1+F1130),2)</f>
        <v>24.70</v>
      </c>
      <c r="H1130" s="5">
        <f>ROUND(G1130*NOTAS!$B$2,2)</f>
        <v>17817.24</v>
      </c>
      <c r="I1130" s="6">
        <f>ROUND(G1130*NOTAS!$B$3,0)</f>
        <v>80247</v>
      </c>
      <c r="J1130" s="2" t="n">
        <v>2</v>
      </c>
    </row>
    <row r="1131">
      <c r="A1131" s="2" t="inlineStr">
        <is>
          <t>SB59223 0,50</t>
        </is>
      </c>
      <c r="B1131" s="2" t="inlineStr"/>
      <c r="C1131" s="2" t="inlineStr">
        <is>
          <t>CONCHA BIELA CORCEL</t>
        </is>
      </c>
      <c r="D1131" s="2" t="inlineStr">
        <is>
          <t>MAHLE</t>
        </is>
      </c>
      <c r="E1131" s="3" t="n">
        <v>19</v>
      </c>
      <c r="F1131" s="4" t="n">
        <v>0.3</v>
      </c>
      <c r="G1131" s="5">
        <f>ROUND(E1131*(1+F1131),2)</f>
        <v>24.70</v>
      </c>
      <c r="H1131" s="5">
        <f>ROUND(G1131*NOTAS!$B$2,2)</f>
        <v>17817.24</v>
      </c>
      <c r="I1131" s="6">
        <f>ROUND(G1131*NOTAS!$B$3,0)</f>
        <v>80247</v>
      </c>
      <c r="J1131" s="2" t="n">
        <v>1</v>
      </c>
    </row>
    <row r="1132">
      <c r="A1132" s="2" t="inlineStr">
        <is>
          <t>SB14271 0,25</t>
        </is>
      </c>
      <c r="B1132" s="2" t="inlineStr"/>
      <c r="C1132" s="2" t="inlineStr">
        <is>
          <t>CONCHA BIELA CORSA</t>
        </is>
      </c>
      <c r="D1132" s="2" t="inlineStr">
        <is>
          <t>MAHLE</t>
        </is>
      </c>
      <c r="E1132" s="3" t="n">
        <v>13.0769</v>
      </c>
      <c r="F1132" s="4" t="n">
        <v>0.3</v>
      </c>
      <c r="G1132" s="5">
        <f>ROUND(E1132*(1+F1132),2)</f>
        <v>17.00</v>
      </c>
      <c r="H1132" s="5">
        <f>ROUND(G1132*NOTAS!$B$2,2)</f>
        <v>12262.88</v>
      </c>
      <c r="I1132" s="6">
        <f>ROUND(G1132*NOTAS!$B$3,0)</f>
        <v>55231</v>
      </c>
      <c r="J1132" s="2" t="n">
        <v>24</v>
      </c>
    </row>
    <row r="1133">
      <c r="A1133" s="2" t="inlineStr">
        <is>
          <t>BB-271J 0,25</t>
        </is>
      </c>
      <c r="B1133" s="2" t="inlineStr"/>
      <c r="C1133" s="2" t="inlineStr">
        <is>
          <t>CONCHA BIELA CORSA</t>
        </is>
      </c>
      <c r="D1133" s="2" t="inlineStr">
        <is>
          <t>METAL LEVE</t>
        </is>
      </c>
      <c r="E1133" s="3" t="n">
        <v>13.0769</v>
      </c>
      <c r="F1133" s="4" t="n">
        <v>0.3</v>
      </c>
      <c r="G1133" s="5">
        <f>ROUND(E1133*(1+F1133),2)</f>
        <v>17.00</v>
      </c>
      <c r="H1133" s="5">
        <f>ROUND(G1133*NOTAS!$B$2,2)</f>
        <v>12262.88</v>
      </c>
      <c r="I1133" s="6">
        <f>ROUND(G1133*NOTAS!$B$3,0)</f>
        <v>55231</v>
      </c>
      <c r="J1133" s="2" t="n">
        <v>1</v>
      </c>
    </row>
    <row r="1134">
      <c r="A1134" s="2" t="inlineStr">
        <is>
          <t>SB14271 0,50</t>
        </is>
      </c>
      <c r="B1134" s="2" t="inlineStr"/>
      <c r="C1134" s="2" t="inlineStr">
        <is>
          <t>CONCHA BIELA CORSA</t>
        </is>
      </c>
      <c r="D1134" s="2" t="inlineStr">
        <is>
          <t>MAHLE</t>
        </is>
      </c>
      <c r="E1134" s="3" t="n">
        <v>13.0769</v>
      </c>
      <c r="F1134" s="4" t="n">
        <v>0.3</v>
      </c>
      <c r="G1134" s="5">
        <f>ROUND(E1134*(1+F1134),2)</f>
        <v>17.00</v>
      </c>
      <c r="H1134" s="5">
        <f>ROUND(G1134*NOTAS!$B$2,2)</f>
        <v>12262.88</v>
      </c>
      <c r="I1134" s="6">
        <f>ROUND(G1134*NOTAS!$B$3,0)</f>
        <v>55231</v>
      </c>
      <c r="J1134" s="2" t="n">
        <v>8</v>
      </c>
    </row>
    <row r="1135">
      <c r="A1135" s="2" t="inlineStr">
        <is>
          <t>SB14271 0,75</t>
        </is>
      </c>
      <c r="B1135" s="2" t="inlineStr"/>
      <c r="C1135" s="2" t="inlineStr">
        <is>
          <t>CONCHA BIELA CORSA</t>
        </is>
      </c>
      <c r="D1135" s="2" t="inlineStr">
        <is>
          <t>MAHLE</t>
        </is>
      </c>
      <c r="E1135" s="3" t="n">
        <v>13.0769</v>
      </c>
      <c r="F1135" s="4" t="n">
        <v>0.3</v>
      </c>
      <c r="G1135" s="5">
        <f>ROUND(E1135*(1+F1135),2)</f>
        <v>17.00</v>
      </c>
      <c r="H1135" s="5">
        <f>ROUND(G1135*NOTAS!$B$2,2)</f>
        <v>12262.88</v>
      </c>
      <c r="I1135" s="6">
        <f>ROUND(G1135*NOTAS!$B$3,0)</f>
        <v>55231</v>
      </c>
      <c r="J1135" s="2" t="n">
        <v>6</v>
      </c>
    </row>
    <row r="1136">
      <c r="A1136" s="2" t="inlineStr">
        <is>
          <t>SB14271 1,00</t>
        </is>
      </c>
      <c r="B1136" s="2" t="inlineStr"/>
      <c r="C1136" s="2" t="inlineStr">
        <is>
          <t>CONCHA BIELA CORSA</t>
        </is>
      </c>
      <c r="D1136" s="2" t="inlineStr">
        <is>
          <t>MAHLE</t>
        </is>
      </c>
      <c r="E1136" s="3" t="n">
        <v>13.0769</v>
      </c>
      <c r="F1136" s="4" t="n">
        <v>0.3</v>
      </c>
      <c r="G1136" s="5">
        <f>ROUND(E1136*(1+F1136),2)</f>
        <v>17.00</v>
      </c>
      <c r="H1136" s="5">
        <f>ROUND(G1136*NOTAS!$B$2,2)</f>
        <v>12262.88</v>
      </c>
      <c r="I1136" s="6">
        <f>ROUND(G1136*NOTAS!$B$3,0)</f>
        <v>55231</v>
      </c>
      <c r="J1136" s="2" t="n">
        <v>3</v>
      </c>
    </row>
    <row r="1137">
      <c r="A1137" s="2" t="inlineStr">
        <is>
          <t>BB-271J 1,00</t>
        </is>
      </c>
      <c r="B1137" s="2" t="inlineStr"/>
      <c r="C1137" s="2" t="inlineStr">
        <is>
          <t>CONCHA BIELA CORSA</t>
        </is>
      </c>
      <c r="D1137" s="2" t="inlineStr">
        <is>
          <t>METAL LEVE</t>
        </is>
      </c>
      <c r="E1137" s="3" t="n">
        <v>13.0769</v>
      </c>
      <c r="F1137" s="4" t="n">
        <v>0.3</v>
      </c>
      <c r="G1137" s="5">
        <f>ROUND(E1137*(1+F1137),2)</f>
        <v>17.00</v>
      </c>
      <c r="H1137" s="5">
        <f>ROUND(G1137*NOTAS!$B$2,2)</f>
        <v>12262.88</v>
      </c>
      <c r="I1137" s="6">
        <f>ROUND(G1137*NOTAS!$B$3,0)</f>
        <v>55231</v>
      </c>
      <c r="J1137" s="2" t="n">
        <v>6</v>
      </c>
    </row>
    <row r="1138">
      <c r="A1138" s="2" t="inlineStr">
        <is>
          <t>10-135/4 010</t>
        </is>
      </c>
      <c r="B1138" s="2" t="inlineStr"/>
      <c r="C1138" s="2" t="inlineStr">
        <is>
          <t>CONCHA BIELA F-131/REGATA 1.6</t>
        </is>
      </c>
      <c r="D1138" s="2" t="inlineStr">
        <is>
          <t>SINTERMETAL</t>
        </is>
      </c>
      <c r="E1138" s="3" t="n">
        <v>17.4615</v>
      </c>
      <c r="F1138" s="4" t="n">
        <v>0.3</v>
      </c>
      <c r="G1138" s="5">
        <f>ROUND(E1138*(1+F1138),2)</f>
        <v>22.70</v>
      </c>
      <c r="H1138" s="5">
        <f>ROUND(G1138*NOTAS!$B$2,2)</f>
        <v>16374.55</v>
      </c>
      <c r="I1138" s="6">
        <f>ROUND(G1138*NOTAS!$B$3,0)</f>
        <v>73749</v>
      </c>
      <c r="J1138" s="2" t="n">
        <v>1</v>
      </c>
    </row>
    <row r="1139">
      <c r="A1139" s="2" t="inlineStr">
        <is>
          <t>10-135/4 030</t>
        </is>
      </c>
      <c r="B1139" s="2" t="inlineStr"/>
      <c r="C1139" s="2" t="inlineStr">
        <is>
          <t>CONCHA BIELA F-131/REGATA 1.6</t>
        </is>
      </c>
      <c r="D1139" s="2" t="inlineStr">
        <is>
          <t>SINTERMETAL</t>
        </is>
      </c>
      <c r="E1139" s="3" t="n">
        <v>17.4615</v>
      </c>
      <c r="F1139" s="4" t="n">
        <v>0.3</v>
      </c>
      <c r="G1139" s="5">
        <f>ROUND(E1139*(1+F1139),2)</f>
        <v>22.70</v>
      </c>
      <c r="H1139" s="5">
        <f>ROUND(G1139*NOTAS!$B$2,2)</f>
        <v>16374.55</v>
      </c>
      <c r="I1139" s="6">
        <f>ROUND(G1139*NOTAS!$B$3,0)</f>
        <v>73749</v>
      </c>
      <c r="J1139" s="2" t="n">
        <v>3</v>
      </c>
    </row>
    <row r="1140">
      <c r="A1140" s="2" t="inlineStr">
        <is>
          <t>10-137/4 000</t>
        </is>
      </c>
      <c r="B1140" s="2" t="inlineStr"/>
      <c r="C1140" s="2" t="inlineStr">
        <is>
          <t>CONCHA BIELA F-131/REGATA/TEMPRA 2.0</t>
        </is>
      </c>
      <c r="D1140" s="2" t="inlineStr">
        <is>
          <t>SINTERMETAL</t>
        </is>
      </c>
      <c r="E1140" s="3" t="n">
        <v>17.4615</v>
      </c>
      <c r="F1140" s="4" t="n">
        <v>0.3</v>
      </c>
      <c r="G1140" s="5">
        <f>ROUND(E1140*(1+F1140),2)</f>
        <v>22.70</v>
      </c>
      <c r="H1140" s="5">
        <f>ROUND(G1140*NOTAS!$B$2,2)</f>
        <v>16374.55</v>
      </c>
      <c r="I1140" s="6">
        <f>ROUND(G1140*NOTAS!$B$3,0)</f>
        <v>73749</v>
      </c>
      <c r="J1140" s="2" t="n">
        <v>6</v>
      </c>
    </row>
    <row r="1141">
      <c r="A1141" s="2" t="inlineStr">
        <is>
          <t>10-137/4 020</t>
        </is>
      </c>
      <c r="B1141" s="2" t="inlineStr"/>
      <c r="C1141" s="2" t="inlineStr">
        <is>
          <t>CONCHA BIELA F-131/REGATA/TEMPRA 2.0</t>
        </is>
      </c>
      <c r="D1141" s="2" t="inlineStr">
        <is>
          <t>SINTERMETAL</t>
        </is>
      </c>
      <c r="E1141" s="3" t="n">
        <v>17.4615</v>
      </c>
      <c r="F1141" s="4" t="n">
        <v>0.3</v>
      </c>
      <c r="G1141" s="5">
        <f>ROUND(E1141*(1+F1141),2)</f>
        <v>22.70</v>
      </c>
      <c r="H1141" s="5">
        <f>ROUND(G1141*NOTAS!$B$2,2)</f>
        <v>16374.55</v>
      </c>
      <c r="I1141" s="6">
        <f>ROUND(G1141*NOTAS!$B$3,0)</f>
        <v>73749</v>
      </c>
      <c r="J1141" s="2" t="n">
        <v>4</v>
      </c>
    </row>
    <row r="1142">
      <c r="A1142" s="2" t="inlineStr">
        <is>
          <t>10-137/4 040</t>
        </is>
      </c>
      <c r="B1142" s="2" t="inlineStr"/>
      <c r="C1142" s="2" t="inlineStr">
        <is>
          <t>CONCHA BIELA F-131/REGATA/TEMPRA 2.0</t>
        </is>
      </c>
      <c r="D1142" s="2" t="inlineStr">
        <is>
          <t>SINTERMETAL</t>
        </is>
      </c>
      <c r="E1142" s="3" t="n">
        <v>17.4615</v>
      </c>
      <c r="F1142" s="4" t="n">
        <v>0.3</v>
      </c>
      <c r="G1142" s="5">
        <f>ROUND(E1142*(1+F1142),2)</f>
        <v>22.70</v>
      </c>
      <c r="H1142" s="5">
        <f>ROUND(G1142*NOTAS!$B$2,2)</f>
        <v>16374.55</v>
      </c>
      <c r="I1142" s="6">
        <f>ROUND(G1142*NOTAS!$B$3,0)</f>
        <v>73749</v>
      </c>
      <c r="J1142" s="2" t="n">
        <v>1</v>
      </c>
    </row>
    <row r="1143">
      <c r="A1143" s="2" t="inlineStr">
        <is>
          <t>SB25407 STD</t>
        </is>
      </c>
      <c r="B1143" s="2" t="inlineStr"/>
      <c r="C1143" s="2" t="inlineStr">
        <is>
          <t>CONCHA BIELA F-147/UNO/PALIO/SIENA 1.3 8V</t>
        </is>
      </c>
      <c r="D1143" s="2" t="inlineStr">
        <is>
          <t>MAHLE</t>
        </is>
      </c>
      <c r="E1143" s="3" t="n">
        <v>18</v>
      </c>
      <c r="F1143" s="4" t="n">
        <v>0.3</v>
      </c>
      <c r="G1143" s="5">
        <f>ROUND(E1143*(1+F1143),2)</f>
        <v>23.40</v>
      </c>
      <c r="H1143" s="5">
        <f>ROUND(G1143*NOTAS!$B$2,2)</f>
        <v>16879.49</v>
      </c>
      <c r="I1143" s="6">
        <f>ROUND(G1143*NOTAS!$B$3,0)</f>
        <v>76024</v>
      </c>
      <c r="J1143" s="2" t="n">
        <v>13</v>
      </c>
    </row>
    <row r="1144">
      <c r="A1144" s="2" t="inlineStr">
        <is>
          <t>SB25407 025</t>
        </is>
      </c>
      <c r="B1144" s="2" t="inlineStr"/>
      <c r="C1144" s="2" t="inlineStr">
        <is>
          <t>CONCHA BIELA F-147/UNO/PALIO/SIENA 1.3 8V</t>
        </is>
      </c>
      <c r="D1144" s="2" t="inlineStr">
        <is>
          <t>MAHLE</t>
        </is>
      </c>
      <c r="E1144" s="3" t="n">
        <v>18</v>
      </c>
      <c r="F1144" s="4" t="n">
        <v>0.3</v>
      </c>
      <c r="G1144" s="5">
        <f>ROUND(E1144*(1+F1144),2)</f>
        <v>23.40</v>
      </c>
      <c r="H1144" s="5">
        <f>ROUND(G1144*NOTAS!$B$2,2)</f>
        <v>16879.49</v>
      </c>
      <c r="I1144" s="6">
        <f>ROUND(G1144*NOTAS!$B$3,0)</f>
        <v>76024</v>
      </c>
      <c r="J1144" s="2" t="n">
        <v>11</v>
      </c>
    </row>
    <row r="1145">
      <c r="A1145" s="2" t="inlineStr">
        <is>
          <t>SB25407 075</t>
        </is>
      </c>
      <c r="B1145" s="2" t="inlineStr"/>
      <c r="C1145" s="2" t="inlineStr">
        <is>
          <t>CONCHA BIELA F-147/UNO/PALIO/SIENA 1.3 8V</t>
        </is>
      </c>
      <c r="D1145" s="2" t="inlineStr">
        <is>
          <t>MAHLE</t>
        </is>
      </c>
      <c r="E1145" s="3" t="n">
        <v>18</v>
      </c>
      <c r="F1145" s="4" t="n">
        <v>0.3</v>
      </c>
      <c r="G1145" s="5">
        <f>ROUND(E1145*(1+F1145),2)</f>
        <v>23.40</v>
      </c>
      <c r="H1145" s="5">
        <f>ROUND(G1145*NOTAS!$B$2,2)</f>
        <v>16879.49</v>
      </c>
      <c r="I1145" s="6">
        <f>ROUND(G1145*NOTAS!$B$3,0)</f>
        <v>76024</v>
      </c>
      <c r="J1145" s="2" t="n">
        <v>6</v>
      </c>
    </row>
    <row r="1146">
      <c r="A1146" s="2" t="inlineStr">
        <is>
          <t>SB25407 100</t>
        </is>
      </c>
      <c r="B1146" s="2" t="inlineStr"/>
      <c r="C1146" s="2" t="inlineStr">
        <is>
          <t>CONCHA BIELA F-147/UNO/PALIO/SIENA 1.3 8V</t>
        </is>
      </c>
      <c r="D1146" s="2" t="inlineStr">
        <is>
          <t>MAHLE</t>
        </is>
      </c>
      <c r="E1146" s="3" t="n">
        <v>18</v>
      </c>
      <c r="F1146" s="4" t="n">
        <v>0.3</v>
      </c>
      <c r="G1146" s="5">
        <f>ROUND(E1146*(1+F1146),2)</f>
        <v>23.40</v>
      </c>
      <c r="H1146" s="5">
        <f>ROUND(G1146*NOTAS!$B$2,2)</f>
        <v>16879.49</v>
      </c>
      <c r="I1146" s="6">
        <f>ROUND(G1146*NOTAS!$B$3,0)</f>
        <v>76024</v>
      </c>
      <c r="J1146" s="2" t="n">
        <v>5</v>
      </c>
    </row>
    <row r="1147">
      <c r="A1147" s="2" t="inlineStr">
        <is>
          <t>SBB-407J 100</t>
        </is>
      </c>
      <c r="B1147" s="2" t="inlineStr"/>
      <c r="C1147" s="2" t="inlineStr">
        <is>
          <t>CONCHA BIELA F-147/UNO/PALIO/SIENA 1.3 8V</t>
        </is>
      </c>
      <c r="D1147" s="2" t="inlineStr">
        <is>
          <t>METAL LEVE</t>
        </is>
      </c>
      <c r="E1147" s="3" t="n">
        <v>18</v>
      </c>
      <c r="F1147" s="4" t="n">
        <v>0.3</v>
      </c>
      <c r="G1147" s="5">
        <f>ROUND(E1147*(1+F1147),2)</f>
        <v>23.40</v>
      </c>
      <c r="H1147" s="5">
        <f>ROUND(G1147*NOTAS!$B$2,2)</f>
        <v>16879.49</v>
      </c>
      <c r="I1147" s="6">
        <f>ROUND(G1147*NOTAS!$B$3,0)</f>
        <v>76024</v>
      </c>
      <c r="J1147" s="2" t="n">
        <v>1</v>
      </c>
    </row>
    <row r="1148">
      <c r="A1148" s="2" t="inlineStr">
        <is>
          <t>SB59538 STD</t>
        </is>
      </c>
      <c r="B1148" s="2" t="inlineStr"/>
      <c r="C1148" s="2" t="inlineStr">
        <is>
          <t>CONCHA BIELA FIESTA 1.6</t>
        </is>
      </c>
      <c r="D1148" s="2" t="inlineStr">
        <is>
          <t>MAHLE</t>
        </is>
      </c>
      <c r="E1148" s="3" t="n">
        <v>18</v>
      </c>
      <c r="F1148" s="4" t="n">
        <v>0.3</v>
      </c>
      <c r="G1148" s="5">
        <f>ROUND(E1148*(1+F1148),2)</f>
        <v>23.40</v>
      </c>
      <c r="H1148" s="5">
        <f>ROUND(G1148*NOTAS!$B$2,2)</f>
        <v>16879.49</v>
      </c>
      <c r="I1148" s="6">
        <f>ROUND(G1148*NOTAS!$B$3,0)</f>
        <v>76024</v>
      </c>
      <c r="J1148" s="2" t="n">
        <v>1</v>
      </c>
    </row>
    <row r="1149">
      <c r="A1149" s="2" t="inlineStr">
        <is>
          <t>SB59538 0,50</t>
        </is>
      </c>
      <c r="B1149" s="2" t="inlineStr"/>
      <c r="C1149" s="2" t="inlineStr">
        <is>
          <t>CONCHA BIELA FIESTA 1.6</t>
        </is>
      </c>
      <c r="D1149" s="2" t="inlineStr">
        <is>
          <t>MAHLE</t>
        </is>
      </c>
      <c r="E1149" s="3" t="n">
        <v>18</v>
      </c>
      <c r="F1149" s="4" t="n">
        <v>0.3</v>
      </c>
      <c r="G1149" s="5">
        <f>ROUND(E1149*(1+F1149),2)</f>
        <v>23.40</v>
      </c>
      <c r="H1149" s="5">
        <f>ROUND(G1149*NOTAS!$B$2,2)</f>
        <v>16879.49</v>
      </c>
      <c r="I1149" s="6">
        <f>ROUND(G1149*NOTAS!$B$3,0)</f>
        <v>76024</v>
      </c>
      <c r="J1149" s="2" t="n">
        <v>2</v>
      </c>
    </row>
    <row r="1150">
      <c r="A1150" s="2" t="inlineStr">
        <is>
          <t>SB25345 STD</t>
        </is>
      </c>
      <c r="B1150" s="2" t="inlineStr"/>
      <c r="C1150" s="2" t="inlineStr">
        <is>
          <t>CONCHA BIELA F-PALIO/SIENA 1.3 16V FIRE UNO FIRE</t>
        </is>
      </c>
      <c r="D1150" s="2" t="inlineStr">
        <is>
          <t>MAHLE</t>
        </is>
      </c>
      <c r="E1150" s="3" t="n">
        <v>22</v>
      </c>
      <c r="F1150" s="4" t="n">
        <v>0.3</v>
      </c>
      <c r="G1150" s="5">
        <f>ROUND(E1150*(1+F1150),2)</f>
        <v>28.60</v>
      </c>
      <c r="H1150" s="5">
        <f>ROUND(G1150*NOTAS!$B$2,2)</f>
        <v>20630.48</v>
      </c>
      <c r="I1150" s="6">
        <f>ROUND(G1150*NOTAS!$B$3,0)</f>
        <v>92918</v>
      </c>
      <c r="J1150" s="2" t="n">
        <v>1</v>
      </c>
    </row>
    <row r="1151">
      <c r="A1151" s="2" t="inlineStr">
        <is>
          <t>SB25345 025</t>
        </is>
      </c>
      <c r="B1151" s="2" t="inlineStr"/>
      <c r="C1151" s="2" t="inlineStr">
        <is>
          <t>CONCHA BIELA F-PALIO/SIENA 1.3 16V FIRE UNO FIRE</t>
        </is>
      </c>
      <c r="D1151" s="2" t="inlineStr">
        <is>
          <t>MAHLE</t>
        </is>
      </c>
      <c r="E1151" s="3" t="n">
        <v>22</v>
      </c>
      <c r="F1151" s="4" t="n">
        <v>0.3</v>
      </c>
      <c r="G1151" s="5">
        <f>ROUND(E1151*(1+F1151),2)</f>
        <v>28.60</v>
      </c>
      <c r="H1151" s="5">
        <f>ROUND(G1151*NOTAS!$B$2,2)</f>
        <v>20630.48</v>
      </c>
      <c r="I1151" s="6">
        <f>ROUND(G1151*NOTAS!$B$3,0)</f>
        <v>92918</v>
      </c>
      <c r="J1151" s="2" t="n">
        <v>3</v>
      </c>
    </row>
    <row r="1152">
      <c r="A1152" s="2" t="inlineStr">
        <is>
          <t>SB25345 050</t>
        </is>
      </c>
      <c r="B1152" s="2" t="inlineStr"/>
      <c r="C1152" s="2" t="inlineStr">
        <is>
          <t>CONCHA BIELA F-PALIO/SIENA 1.3 16V FIRE UNO FIRE</t>
        </is>
      </c>
      <c r="D1152" s="2" t="inlineStr">
        <is>
          <t>MAHLE</t>
        </is>
      </c>
      <c r="E1152" s="3" t="n">
        <v>22</v>
      </c>
      <c r="F1152" s="4" t="n">
        <v>0.3</v>
      </c>
      <c r="G1152" s="5">
        <f>ROUND(E1152*(1+F1152),2)</f>
        <v>28.60</v>
      </c>
      <c r="H1152" s="5">
        <f>ROUND(G1152*NOTAS!$B$2,2)</f>
        <v>20630.48</v>
      </c>
      <c r="I1152" s="6">
        <f>ROUND(G1152*NOTAS!$B$3,0)</f>
        <v>92918</v>
      </c>
      <c r="J1152" s="2" t="n">
        <v>1</v>
      </c>
    </row>
    <row r="1153">
      <c r="A1153" s="2" t="inlineStr">
        <is>
          <t>B8237-55 030</t>
        </is>
      </c>
      <c r="B1153" s="2" t="inlineStr"/>
      <c r="C1153" s="2" t="inlineStr">
        <is>
          <t>CONCHA BIELA F-PALIO/SIENA 1.3 16V FIRE UNO FIRE</t>
        </is>
      </c>
      <c r="D1153" s="2" t="inlineStr">
        <is>
          <t>NB</t>
        </is>
      </c>
      <c r="E1153" s="3" t="n">
        <v>8.76</v>
      </c>
      <c r="F1153" s="4" t="n">
        <v>0.3</v>
      </c>
      <c r="G1153" s="5">
        <f>ROUND(E1153*(1+F1153),2)</f>
        <v>11.39</v>
      </c>
      <c r="H1153" s="5">
        <f>ROUND(G1153*NOTAS!$B$2,2)</f>
        <v>8216.13</v>
      </c>
      <c r="I1153" s="6">
        <f>ROUND(G1153*NOTAS!$B$3,0)</f>
        <v>37005</v>
      </c>
      <c r="J1153" s="2" t="n">
        <v>1</v>
      </c>
    </row>
    <row r="1154">
      <c r="A1154" s="2" t="inlineStr">
        <is>
          <t>BB-261J STD</t>
        </is>
      </c>
      <c r="B1154" s="2" t="inlineStr"/>
      <c r="C1154" s="2" t="inlineStr">
        <is>
          <t>CONCHA BIELA F-UNO/PREMIO 1.5/1.6</t>
        </is>
      </c>
      <c r="D1154" s="2" t="inlineStr">
        <is>
          <t>METAL LEVE</t>
        </is>
      </c>
      <c r="E1154" s="3" t="n">
        <v>13.2923</v>
      </c>
      <c r="F1154" s="4" t="n">
        <v>0.3</v>
      </c>
      <c r="G1154" s="5">
        <f>ROUND(E1154*(1+F1154),2)</f>
        <v>17.28</v>
      </c>
      <c r="H1154" s="5">
        <f>ROUND(G1154*NOTAS!$B$2,2)</f>
        <v>12464.85</v>
      </c>
      <c r="I1154" s="6">
        <f>ROUND(G1154*NOTAS!$B$3,0)</f>
        <v>56140</v>
      </c>
      <c r="J1154" s="2" t="n">
        <v>3</v>
      </c>
    </row>
    <row r="1155">
      <c r="A1155" s="2" t="inlineStr">
        <is>
          <t>SB25261 025</t>
        </is>
      </c>
      <c r="B1155" s="2" t="inlineStr"/>
      <c r="C1155" s="2" t="inlineStr">
        <is>
          <t>CONCHA BIELA F-UNO/PREMIO 1.5/1.6</t>
        </is>
      </c>
      <c r="D1155" s="2" t="inlineStr">
        <is>
          <t>MAHLE</t>
        </is>
      </c>
      <c r="E1155" s="3" t="n">
        <v>13.2923</v>
      </c>
      <c r="F1155" s="4" t="n">
        <v>0.3</v>
      </c>
      <c r="G1155" s="5">
        <f>ROUND(E1155*(1+F1155),2)</f>
        <v>17.28</v>
      </c>
      <c r="H1155" s="5">
        <f>ROUND(G1155*NOTAS!$B$2,2)</f>
        <v>12464.85</v>
      </c>
      <c r="I1155" s="6">
        <f>ROUND(G1155*NOTAS!$B$3,0)</f>
        <v>56140</v>
      </c>
      <c r="J1155" s="2" t="n">
        <v>5</v>
      </c>
    </row>
    <row r="1156">
      <c r="A1156" s="2" t="inlineStr">
        <is>
          <t>SB25261 050</t>
        </is>
      </c>
      <c r="B1156" s="2" t="inlineStr"/>
      <c r="C1156" s="2" t="inlineStr">
        <is>
          <t>CONCHA BIELA F-UNO/PREMIO 1.5/1.6</t>
        </is>
      </c>
      <c r="D1156" s="2" t="inlineStr">
        <is>
          <t>MAHLE</t>
        </is>
      </c>
      <c r="E1156" s="3" t="n">
        <v>13.2923</v>
      </c>
      <c r="F1156" s="4" t="n">
        <v>0.3</v>
      </c>
      <c r="G1156" s="5">
        <f>ROUND(E1156*(1+F1156),2)</f>
        <v>17.28</v>
      </c>
      <c r="H1156" s="5">
        <f>ROUND(G1156*NOTAS!$B$2,2)</f>
        <v>12464.85</v>
      </c>
      <c r="I1156" s="6">
        <f>ROUND(G1156*NOTAS!$B$3,0)</f>
        <v>56140</v>
      </c>
      <c r="J1156" s="2" t="n">
        <v>5</v>
      </c>
    </row>
    <row r="1157">
      <c r="A1157" s="2" t="inlineStr">
        <is>
          <t>SB25261 075</t>
        </is>
      </c>
      <c r="B1157" s="2" t="inlineStr"/>
      <c r="C1157" s="2" t="inlineStr">
        <is>
          <t>CONCHA BIELA F-UNO/PREMIO 1.5/1.6</t>
        </is>
      </c>
      <c r="D1157" s="2" t="inlineStr">
        <is>
          <t>MAHLE</t>
        </is>
      </c>
      <c r="E1157" s="3" t="n">
        <v>13.2923</v>
      </c>
      <c r="F1157" s="4" t="n">
        <v>0.3</v>
      </c>
      <c r="G1157" s="5">
        <f>ROUND(E1157*(1+F1157),2)</f>
        <v>17.28</v>
      </c>
      <c r="H1157" s="5">
        <f>ROUND(G1157*NOTAS!$B$2,2)</f>
        <v>12464.85</v>
      </c>
      <c r="I1157" s="6">
        <f>ROUND(G1157*NOTAS!$B$3,0)</f>
        <v>56140</v>
      </c>
      <c r="J1157" s="2" t="n">
        <v>3</v>
      </c>
    </row>
    <row r="1158">
      <c r="A1158" s="2" t="inlineStr">
        <is>
          <t>BB-261J 075</t>
        </is>
      </c>
      <c r="B1158" s="2" t="inlineStr"/>
      <c r="C1158" s="2" t="inlineStr">
        <is>
          <t>CONCHA BIELA F-UNO/PREMIO 1.5/1.6</t>
        </is>
      </c>
      <c r="D1158" s="2" t="inlineStr">
        <is>
          <t>METAL LEVE</t>
        </is>
      </c>
      <c r="E1158" s="3" t="n">
        <v>13.2923</v>
      </c>
      <c r="F1158" s="4" t="n">
        <v>0.3</v>
      </c>
      <c r="G1158" s="5">
        <f>ROUND(E1158*(1+F1158),2)</f>
        <v>17.28</v>
      </c>
      <c r="H1158" s="5">
        <f>ROUND(G1158*NOTAS!$B$2,2)</f>
        <v>12464.85</v>
      </c>
      <c r="I1158" s="6">
        <f>ROUND(G1158*NOTAS!$B$3,0)</f>
        <v>56140</v>
      </c>
      <c r="J1158" s="2" t="n">
        <v>1</v>
      </c>
    </row>
    <row r="1159">
      <c r="A1159" s="2" t="inlineStr">
        <is>
          <t>BB-261J 100</t>
        </is>
      </c>
      <c r="B1159" s="2" t="inlineStr"/>
      <c r="C1159" s="2" t="inlineStr">
        <is>
          <t>CONCHA BIELA F-UNO/PREMIO 1.5/1.6</t>
        </is>
      </c>
      <c r="D1159" s="2" t="inlineStr">
        <is>
          <t>METAL LEVE</t>
        </is>
      </c>
      <c r="E1159" s="3" t="n">
        <v>13.2923</v>
      </c>
      <c r="F1159" s="4" t="n">
        <v>0.3</v>
      </c>
      <c r="G1159" s="5">
        <f>ROUND(E1159*(1+F1159),2)</f>
        <v>17.28</v>
      </c>
      <c r="H1159" s="5">
        <f>ROUND(G1159*NOTAS!$B$2,2)</f>
        <v>12464.85</v>
      </c>
      <c r="I1159" s="6">
        <f>ROUND(G1159*NOTAS!$B$3,0)</f>
        <v>56140</v>
      </c>
      <c r="J1159" s="2" t="n">
        <v>2</v>
      </c>
    </row>
    <row r="1160">
      <c r="A1160" s="2" t="inlineStr">
        <is>
          <t>SB25261 100</t>
        </is>
      </c>
      <c r="B1160" s="2" t="inlineStr"/>
      <c r="C1160" s="2" t="inlineStr">
        <is>
          <t>CONCHA BIELA F-UNO/PREMIO 1.5/1.6</t>
        </is>
      </c>
      <c r="D1160" s="2" t="inlineStr">
        <is>
          <t>MAHLE</t>
        </is>
      </c>
      <c r="E1160" s="3" t="n">
        <v>13.2923</v>
      </c>
      <c r="F1160" s="4" t="n">
        <v>0.3</v>
      </c>
      <c r="G1160" s="5">
        <f>ROUND(E1160*(1+F1160),2)</f>
        <v>17.28</v>
      </c>
      <c r="H1160" s="5">
        <f>ROUND(G1160*NOTAS!$B$2,2)</f>
        <v>12464.85</v>
      </c>
      <c r="I1160" s="6">
        <f>ROUND(G1160*NOTAS!$B$3,0)</f>
        <v>56140</v>
      </c>
      <c r="J1160" s="2" t="n">
        <v>2</v>
      </c>
    </row>
    <row r="1161">
      <c r="A1161" s="2" t="inlineStr">
        <is>
          <t>96612213 0,25</t>
        </is>
      </c>
      <c r="B1161" s="2" t="inlineStr"/>
      <c r="C1161" s="2" t="inlineStr">
        <is>
          <t>CONCHA BIELA MATIZ/TICO/DAMAS</t>
        </is>
      </c>
      <c r="D1161" s="2" t="inlineStr">
        <is>
          <t>WOORI CHEMICAL</t>
        </is>
      </c>
      <c r="E1161" s="3" t="n">
        <v>9.223100000000001</v>
      </c>
      <c r="F1161" s="4" t="n">
        <v>0.3</v>
      </c>
      <c r="G1161" s="5">
        <f>ROUND(E1161*(1+F1161),2)</f>
        <v>11.99</v>
      </c>
      <c r="H1161" s="5">
        <f>ROUND(G1161*NOTAS!$B$2,2)</f>
        <v>8648.93</v>
      </c>
      <c r="I1161" s="6">
        <f>ROUND(G1161*NOTAS!$B$3,0)</f>
        <v>38954</v>
      </c>
      <c r="J1161" s="2" t="n">
        <v>2</v>
      </c>
    </row>
    <row r="1162">
      <c r="A1162" s="2" t="inlineStr">
        <is>
          <t>12181A81851 STD</t>
        </is>
      </c>
      <c r="B1162" s="2" t="inlineStr"/>
      <c r="C1162" s="2" t="inlineStr">
        <is>
          <t>CONCHA BIELA MATIZ/TICO/DAMAS</t>
        </is>
      </c>
      <c r="D1162" s="2" t="inlineStr">
        <is>
          <t>WOORI CHEMICAL</t>
        </is>
      </c>
      <c r="E1162" s="3" t="n">
        <v>9.223100000000001</v>
      </c>
      <c r="F1162" s="4" t="n">
        <v>0.3</v>
      </c>
      <c r="G1162" s="5">
        <f>ROUND(E1162*(1+F1162),2)</f>
        <v>11.99</v>
      </c>
      <c r="H1162" s="5">
        <f>ROUND(G1162*NOTAS!$B$2,2)</f>
        <v>8648.93</v>
      </c>
      <c r="I1162" s="6">
        <f>ROUND(G1162*NOTAS!$B$3,0)</f>
        <v>38954</v>
      </c>
      <c r="J1162" s="2" t="n">
        <v>1</v>
      </c>
    </row>
    <row r="1163">
      <c r="A1163" s="2" t="inlineStr">
        <is>
          <t>SBB-1313J STD</t>
        </is>
      </c>
      <c r="B1163" s="2" t="inlineStr"/>
      <c r="C1163" s="2" t="inlineStr">
        <is>
          <t>CONCHA BIELA MONZA/OPTRA</t>
        </is>
      </c>
      <c r="D1163" s="2" t="inlineStr">
        <is>
          <t>METAL LEVE</t>
        </is>
      </c>
      <c r="E1163" s="3" t="n">
        <v>23</v>
      </c>
      <c r="F1163" s="4" t="n">
        <v>0.3</v>
      </c>
      <c r="G1163" s="5">
        <f>ROUND(E1163*(1+F1163),2)</f>
        <v>29.90</v>
      </c>
      <c r="H1163" s="5">
        <f>ROUND(G1163*NOTAS!$B$2,2)</f>
        <v>21568.23</v>
      </c>
      <c r="I1163" s="6">
        <f>ROUND(G1163*NOTAS!$B$3,0)</f>
        <v>97141</v>
      </c>
      <c r="J1163" s="2" t="n">
        <v>1</v>
      </c>
    </row>
    <row r="1164">
      <c r="A1164" s="2" t="inlineStr">
        <is>
          <t>SB141313 0,25</t>
        </is>
      </c>
      <c r="B1164" s="2" t="inlineStr"/>
      <c r="C1164" s="2" t="inlineStr">
        <is>
          <t>CONCHA BIELA MONZA/OPTRA</t>
        </is>
      </c>
      <c r="D1164" s="2" t="inlineStr">
        <is>
          <t>MAHLE</t>
        </is>
      </c>
      <c r="E1164" s="3" t="n">
        <v>23</v>
      </c>
      <c r="F1164" s="4" t="n">
        <v>0.3</v>
      </c>
      <c r="G1164" s="5">
        <f>ROUND(E1164*(1+F1164),2)</f>
        <v>29.90</v>
      </c>
      <c r="H1164" s="5">
        <f>ROUND(G1164*NOTAS!$B$2,2)</f>
        <v>21568.23</v>
      </c>
      <c r="I1164" s="6">
        <f>ROUND(G1164*NOTAS!$B$3,0)</f>
        <v>97141</v>
      </c>
      <c r="J1164" s="2" t="n">
        <v>2</v>
      </c>
    </row>
    <row r="1165">
      <c r="A1165" s="2" t="inlineStr">
        <is>
          <t>SB141313 0,50</t>
        </is>
      </c>
      <c r="B1165" s="2" t="inlineStr"/>
      <c r="C1165" s="2" t="inlineStr">
        <is>
          <t>CONCHA BIELA MONZA/OPTRA</t>
        </is>
      </c>
      <c r="D1165" s="2" t="inlineStr">
        <is>
          <t>MAHLE</t>
        </is>
      </c>
      <c r="E1165" s="3" t="n">
        <v>23</v>
      </c>
      <c r="F1165" s="4" t="n">
        <v>0.3</v>
      </c>
      <c r="G1165" s="5">
        <f>ROUND(E1165*(1+F1165),2)</f>
        <v>29.90</v>
      </c>
      <c r="H1165" s="5">
        <f>ROUND(G1165*NOTAS!$B$2,2)</f>
        <v>21568.23</v>
      </c>
      <c r="I1165" s="6">
        <f>ROUND(G1165*NOTAS!$B$3,0)</f>
        <v>97141</v>
      </c>
      <c r="J1165" s="2" t="n">
        <v>2</v>
      </c>
    </row>
    <row r="1166">
      <c r="A1166" s="2" t="inlineStr">
        <is>
          <t>SB141313 0,75</t>
        </is>
      </c>
      <c r="B1166" s="2" t="inlineStr"/>
      <c r="C1166" s="2" t="inlineStr">
        <is>
          <t>CONCHA BIELA MONZA/OPTRA</t>
        </is>
      </c>
      <c r="D1166" s="2" t="inlineStr">
        <is>
          <t>MAHLE</t>
        </is>
      </c>
      <c r="E1166" s="3" t="n">
        <v>23</v>
      </c>
      <c r="F1166" s="4" t="n">
        <v>0.3</v>
      </c>
      <c r="G1166" s="5">
        <f>ROUND(E1166*(1+F1166),2)</f>
        <v>29.90</v>
      </c>
      <c r="H1166" s="5">
        <f>ROUND(G1166*NOTAS!$B$2,2)</f>
        <v>21568.23</v>
      </c>
      <c r="I1166" s="6">
        <f>ROUND(G1166*NOTAS!$B$3,0)</f>
        <v>97141</v>
      </c>
      <c r="J1166" s="2" t="n">
        <v>2</v>
      </c>
    </row>
    <row r="1167">
      <c r="A1167" s="2" t="inlineStr">
        <is>
          <t>SB141313 1,00</t>
        </is>
      </c>
      <c r="B1167" s="2" t="inlineStr"/>
      <c r="C1167" s="2" t="inlineStr">
        <is>
          <t>CONCHA BIELA MONZA/OPTRA</t>
        </is>
      </c>
      <c r="D1167" s="2" t="inlineStr">
        <is>
          <t>MAHLE</t>
        </is>
      </c>
      <c r="E1167" s="3" t="n">
        <v>23</v>
      </c>
      <c r="F1167" s="4" t="n">
        <v>0.3</v>
      </c>
      <c r="G1167" s="5">
        <f>ROUND(E1167*(1+F1167),2)</f>
        <v>29.90</v>
      </c>
      <c r="H1167" s="5">
        <f>ROUND(G1167*NOTAS!$B$2,2)</f>
        <v>21568.23</v>
      </c>
      <c r="I1167" s="6">
        <f>ROUND(G1167*NOTAS!$B$3,0)</f>
        <v>97141</v>
      </c>
      <c r="J1167" s="2" t="n">
        <v>1</v>
      </c>
    </row>
    <row r="1168">
      <c r="A1168" s="2" t="inlineStr">
        <is>
          <t>BB-309J STD</t>
        </is>
      </c>
      <c r="B1168" s="2" t="inlineStr"/>
      <c r="C1168" s="2" t="inlineStr">
        <is>
          <t>CONCHA BIELA R-18/FUEGO</t>
        </is>
      </c>
      <c r="D1168" s="2" t="inlineStr">
        <is>
          <t>METAL LEVE</t>
        </is>
      </c>
      <c r="E1168" s="3" t="n">
        <v>13.8462</v>
      </c>
      <c r="F1168" s="4" t="n">
        <v>0.3</v>
      </c>
      <c r="G1168" s="5">
        <f>ROUND(E1168*(1+F1168),2)</f>
        <v>18.00</v>
      </c>
      <c r="H1168" s="5">
        <f>ROUND(G1168*NOTAS!$B$2,2)</f>
        <v>12984.22</v>
      </c>
      <c r="I1168" s="6">
        <f>ROUND(G1168*NOTAS!$B$3,0)</f>
        <v>58480</v>
      </c>
      <c r="J1168" s="2" t="n">
        <v>1</v>
      </c>
    </row>
    <row r="1169">
      <c r="A1169" s="2" t="inlineStr">
        <is>
          <t>10-241/4A STD</t>
        </is>
      </c>
      <c r="B1169" s="2" t="inlineStr"/>
      <c r="C1169" s="2" t="inlineStr">
        <is>
          <t>CONCHA BIELA R-18/FUEGO</t>
        </is>
      </c>
      <c r="D1169" s="2" t="inlineStr">
        <is>
          <t>SINTERMETAL</t>
        </is>
      </c>
      <c r="E1169" s="3" t="n">
        <v>13.8462</v>
      </c>
      <c r="F1169" s="4" t="n">
        <v>0.3</v>
      </c>
      <c r="G1169" s="5">
        <f>ROUND(E1169*(1+F1169),2)</f>
        <v>18.00</v>
      </c>
      <c r="H1169" s="5">
        <f>ROUND(G1169*NOTAS!$B$2,2)</f>
        <v>12984.22</v>
      </c>
      <c r="I1169" s="6">
        <f>ROUND(G1169*NOTAS!$B$3,0)</f>
        <v>58480</v>
      </c>
      <c r="J1169" s="2" t="n">
        <v>1</v>
      </c>
    </row>
    <row r="1170">
      <c r="A1170" s="2" t="inlineStr">
        <is>
          <t>BB-309J 0,25</t>
        </is>
      </c>
      <c r="B1170" s="2" t="inlineStr"/>
      <c r="C1170" s="2" t="inlineStr">
        <is>
          <t>CONCHA BIELA R-18/FUEGO</t>
        </is>
      </c>
      <c r="D1170" s="2" t="inlineStr">
        <is>
          <t>METAL LEVE</t>
        </is>
      </c>
      <c r="E1170" s="3" t="n">
        <v>13.8462</v>
      </c>
      <c r="F1170" s="4" t="n">
        <v>0.3</v>
      </c>
      <c r="G1170" s="5">
        <f>ROUND(E1170*(1+F1170),2)</f>
        <v>18.00</v>
      </c>
      <c r="H1170" s="5">
        <f>ROUND(G1170*NOTAS!$B$2,2)</f>
        <v>12984.22</v>
      </c>
      <c r="I1170" s="6">
        <f>ROUND(G1170*NOTAS!$B$3,0)</f>
        <v>58480</v>
      </c>
      <c r="J1170" s="2" t="n">
        <v>1</v>
      </c>
    </row>
    <row r="1171">
      <c r="A1171" s="2" t="inlineStr">
        <is>
          <t>B18309 0,75</t>
        </is>
      </c>
      <c r="B1171" s="2" t="inlineStr"/>
      <c r="C1171" s="2" t="inlineStr">
        <is>
          <t>CONCHA BIELA R-18/FUEGO</t>
        </is>
      </c>
      <c r="D1171" s="2" t="inlineStr">
        <is>
          <t>MAHLE</t>
        </is>
      </c>
      <c r="E1171" s="3" t="n">
        <v>13.8462</v>
      </c>
      <c r="F1171" s="4" t="n">
        <v>0.3</v>
      </c>
      <c r="G1171" s="5">
        <f>ROUND(E1171*(1+F1171),2)</f>
        <v>18.00</v>
      </c>
      <c r="H1171" s="5">
        <f>ROUND(G1171*NOTAS!$B$2,2)</f>
        <v>12984.22</v>
      </c>
      <c r="I1171" s="6">
        <f>ROUND(G1171*NOTAS!$B$3,0)</f>
        <v>58480</v>
      </c>
      <c r="J1171" s="2" t="n">
        <v>2</v>
      </c>
    </row>
    <row r="1172">
      <c r="A1172" s="2" t="inlineStr">
        <is>
          <t>BB-309J 0,25</t>
        </is>
      </c>
      <c r="B1172" s="2" t="inlineStr"/>
      <c r="C1172" s="2" t="inlineStr">
        <is>
          <t>CONCHA BIELA R-18/FUEGO USADA</t>
        </is>
      </c>
      <c r="D1172" s="2" t="inlineStr">
        <is>
          <t>METAL LEVE</t>
        </is>
      </c>
      <c r="E1172" s="3" t="n">
        <v>6.1538</v>
      </c>
      <c r="F1172" s="4" t="n">
        <v>0.3</v>
      </c>
      <c r="G1172" s="5">
        <f>ROUND(E1172*(1+F1172),2)</f>
        <v>8.00</v>
      </c>
      <c r="H1172" s="5">
        <f>ROUND(G1172*NOTAS!$B$2,2)</f>
        <v>5770.76</v>
      </c>
      <c r="I1172" s="6">
        <f>ROUND(G1172*NOTAS!$B$3,0)</f>
        <v>25991</v>
      </c>
      <c r="J1172" s="2" t="n">
        <v>1</v>
      </c>
    </row>
    <row r="1173">
      <c r="A1173" s="2" t="inlineStr">
        <is>
          <t>10-244/4A STD</t>
        </is>
      </c>
      <c r="B1173" s="2" t="inlineStr"/>
      <c r="C1173" s="2" t="inlineStr">
        <is>
          <t>CONCHA BIELA R-21 2.2</t>
        </is>
      </c>
      <c r="D1173" s="2" t="inlineStr">
        <is>
          <t>SINTERMETAL</t>
        </is>
      </c>
      <c r="E1173" s="3" t="n">
        <v>15.3846</v>
      </c>
      <c r="F1173" s="4" t="n">
        <v>0.3</v>
      </c>
      <c r="G1173" s="5">
        <f>ROUND(E1173*(1+F1173),2)</f>
        <v>20.00</v>
      </c>
      <c r="H1173" s="5">
        <f>ROUND(G1173*NOTAS!$B$2,2)</f>
        <v>14426.91</v>
      </c>
      <c r="I1173" s="6">
        <f>ROUND(G1173*NOTAS!$B$3,0)</f>
        <v>64977</v>
      </c>
      <c r="J1173" s="2" t="n">
        <v>1</v>
      </c>
    </row>
    <row r="1174">
      <c r="A1174" s="2" t="inlineStr">
        <is>
          <t>BB-310J 0,50</t>
        </is>
      </c>
      <c r="B1174" s="2" t="inlineStr"/>
      <c r="C1174" s="2" t="inlineStr">
        <is>
          <t>CONCHA BIELA R-21 2.2</t>
        </is>
      </c>
      <c r="D1174" s="2" t="inlineStr">
        <is>
          <t>METAL LEVE</t>
        </is>
      </c>
      <c r="E1174" s="3" t="n">
        <v>15.3846</v>
      </c>
      <c r="F1174" s="4" t="n">
        <v>0.3</v>
      </c>
      <c r="G1174" s="5">
        <f>ROUND(E1174*(1+F1174),2)</f>
        <v>20.00</v>
      </c>
      <c r="H1174" s="5">
        <f>ROUND(G1174*NOTAS!$B$2,2)</f>
        <v>14426.91</v>
      </c>
      <c r="I1174" s="6">
        <f>ROUND(G1174*NOTAS!$B$3,0)</f>
        <v>64977</v>
      </c>
      <c r="J1174" s="2" t="n">
        <v>3</v>
      </c>
    </row>
    <row r="1175">
      <c r="A1175" s="2" t="inlineStr">
        <is>
          <t>10-244/4A 0,50</t>
        </is>
      </c>
      <c r="B1175" s="2" t="inlineStr"/>
      <c r="C1175" s="2" t="inlineStr">
        <is>
          <t>CONCHA BIELA R-21 2.2</t>
        </is>
      </c>
      <c r="D1175" s="2" t="inlineStr">
        <is>
          <t>SINTERMETAL</t>
        </is>
      </c>
      <c r="E1175" s="3" t="n">
        <v>15.3846</v>
      </c>
      <c r="F1175" s="4" t="n">
        <v>0.3</v>
      </c>
      <c r="G1175" s="5">
        <f>ROUND(E1175*(1+F1175),2)</f>
        <v>20.00</v>
      </c>
      <c r="H1175" s="5">
        <f>ROUND(G1175*NOTAS!$B$2,2)</f>
        <v>14426.91</v>
      </c>
      <c r="I1175" s="6">
        <f>ROUND(G1175*NOTAS!$B$3,0)</f>
        <v>64977</v>
      </c>
      <c r="J1175" s="2" t="n">
        <v>2</v>
      </c>
    </row>
    <row r="1176">
      <c r="A1176" s="2" t="inlineStr">
        <is>
          <t>BB-310J 0,75</t>
        </is>
      </c>
      <c r="B1176" s="2" t="inlineStr"/>
      <c r="C1176" s="2" t="inlineStr">
        <is>
          <t>CONCHA BIELA R-21 2.2</t>
        </is>
      </c>
      <c r="D1176" s="2" t="inlineStr">
        <is>
          <t>METAL LEVE</t>
        </is>
      </c>
      <c r="E1176" s="3" t="n">
        <v>15.3846</v>
      </c>
      <c r="F1176" s="4" t="n">
        <v>0.3</v>
      </c>
      <c r="G1176" s="5">
        <f>ROUND(E1176*(1+F1176),2)</f>
        <v>20.00</v>
      </c>
      <c r="H1176" s="5">
        <f>ROUND(G1176*NOTAS!$B$2,2)</f>
        <v>14426.91</v>
      </c>
      <c r="I1176" s="6">
        <f>ROUND(G1176*NOTAS!$B$3,0)</f>
        <v>64977</v>
      </c>
      <c r="J1176" s="2" t="n">
        <v>4</v>
      </c>
    </row>
    <row r="1177">
      <c r="A1177" s="2" t="inlineStr">
        <is>
          <t>10-244/4A 0,75</t>
        </is>
      </c>
      <c r="B1177" s="2" t="inlineStr"/>
      <c r="C1177" s="2" t="inlineStr">
        <is>
          <t>CONCHA BIELA R-21 2.2</t>
        </is>
      </c>
      <c r="D1177" s="2" t="inlineStr">
        <is>
          <t>SINTERMETAL</t>
        </is>
      </c>
      <c r="E1177" s="3" t="n">
        <v>15.3846</v>
      </c>
      <c r="F1177" s="4" t="n">
        <v>0.3</v>
      </c>
      <c r="G1177" s="5">
        <f>ROUND(E1177*(1+F1177),2)</f>
        <v>20.00</v>
      </c>
      <c r="H1177" s="5">
        <f>ROUND(G1177*NOTAS!$B$2,2)</f>
        <v>14426.91</v>
      </c>
      <c r="I1177" s="6">
        <f>ROUND(G1177*NOTAS!$B$3,0)</f>
        <v>64977</v>
      </c>
      <c r="J1177" s="2" t="n">
        <v>2</v>
      </c>
    </row>
    <row r="1178">
      <c r="A1178" s="2" t="inlineStr">
        <is>
          <t>BB-310J 1,00</t>
        </is>
      </c>
      <c r="B1178" s="2" t="inlineStr"/>
      <c r="C1178" s="2" t="inlineStr">
        <is>
          <t>CONCHA BIELA R-21 2.2</t>
        </is>
      </c>
      <c r="D1178" s="2" t="inlineStr">
        <is>
          <t>METAL LEVE</t>
        </is>
      </c>
      <c r="E1178" s="3" t="n">
        <v>15.3846</v>
      </c>
      <c r="F1178" s="4" t="n">
        <v>0.3</v>
      </c>
      <c r="G1178" s="5">
        <f>ROUND(E1178*(1+F1178),2)</f>
        <v>20.00</v>
      </c>
      <c r="H1178" s="5">
        <f>ROUND(G1178*NOTAS!$B$2,2)</f>
        <v>14426.91</v>
      </c>
      <c r="I1178" s="6">
        <f>ROUND(G1178*NOTAS!$B$3,0)</f>
        <v>64977</v>
      </c>
      <c r="J1178" s="2" t="n">
        <v>4</v>
      </c>
    </row>
    <row r="1179">
      <c r="A1179" s="2" t="inlineStr">
        <is>
          <t>81011</t>
        </is>
      </c>
      <c r="B1179" s="2" t="inlineStr"/>
      <c r="C1179" s="2" t="inlineStr">
        <is>
          <t>CONCHA BIELA R-5 1.1</t>
        </is>
      </c>
      <c r="D1179" s="2" t="inlineStr">
        <is>
          <t>SINTERMETAL</t>
        </is>
      </c>
      <c r="E1179" s="3" t="n">
        <v>11.5385</v>
      </c>
      <c r="F1179" s="4" t="n">
        <v>0.3</v>
      </c>
      <c r="G1179" s="5">
        <f>ROUND(E1179*(1+F1179),2)</f>
        <v>15.00</v>
      </c>
      <c r="H1179" s="5">
        <f>ROUND(G1179*NOTAS!$B$2,2)</f>
        <v>10820.18</v>
      </c>
      <c r="I1179" s="6">
        <f>ROUND(G1179*NOTAS!$B$3,0)</f>
        <v>48733</v>
      </c>
      <c r="J1179" s="2" t="n">
        <v>1</v>
      </c>
    </row>
    <row r="1180">
      <c r="A1180" s="2" t="inlineStr">
        <is>
          <t>B8289-37 STD</t>
        </is>
      </c>
      <c r="B1180" s="2" t="inlineStr"/>
      <c r="C1180" s="2" t="inlineStr">
        <is>
          <t>CONCHA BIELA R-5/11/19/SYMBOL/CLIO 8V</t>
        </is>
      </c>
      <c r="D1180" s="2" t="inlineStr">
        <is>
          <t>NB</t>
        </is>
      </c>
      <c r="E1180" s="3" t="n">
        <v>13.8462</v>
      </c>
      <c r="F1180" s="4" t="n">
        <v>0.3</v>
      </c>
      <c r="G1180" s="5">
        <f>ROUND(E1180*(1+F1180),2)</f>
        <v>18.00</v>
      </c>
      <c r="H1180" s="5">
        <f>ROUND(G1180*NOTAS!$B$2,2)</f>
        <v>12984.22</v>
      </c>
      <c r="I1180" s="6">
        <f>ROUND(G1180*NOTAS!$B$3,0)</f>
        <v>58480</v>
      </c>
      <c r="J1180" s="2" t="n">
        <v>1</v>
      </c>
    </row>
    <row r="1181">
      <c r="A1181" s="2" t="inlineStr">
        <is>
          <t>B8289-37 0,25</t>
        </is>
      </c>
      <c r="B1181" s="2" t="inlineStr"/>
      <c r="C1181" s="2" t="inlineStr">
        <is>
          <t>CONCHA BIELA R-5/11/19/SYMBOL/CLIO 8V</t>
        </is>
      </c>
      <c r="D1181" s="2" t="inlineStr">
        <is>
          <t>NB</t>
        </is>
      </c>
      <c r="E1181" s="3" t="n">
        <v>13.8462</v>
      </c>
      <c r="F1181" s="4" t="n">
        <v>0.3</v>
      </c>
      <c r="G1181" s="5">
        <f>ROUND(E1181*(1+F1181),2)</f>
        <v>18.00</v>
      </c>
      <c r="H1181" s="5">
        <f>ROUND(G1181*NOTAS!$B$2,2)</f>
        <v>12984.22</v>
      </c>
      <c r="I1181" s="6">
        <f>ROUND(G1181*NOTAS!$B$3,0)</f>
        <v>58480</v>
      </c>
      <c r="J1181" s="2" t="n">
        <v>2</v>
      </c>
    </row>
    <row r="1182">
      <c r="A1182" s="2" t="inlineStr">
        <is>
          <t>BB-265J 0,25</t>
        </is>
      </c>
      <c r="B1182" s="2" t="inlineStr"/>
      <c r="C1182" s="2" t="inlineStr">
        <is>
          <t>CONCHA BIELA R-5/11/19/SYMBOL/CLIO 8V</t>
        </is>
      </c>
      <c r="D1182" s="2" t="inlineStr">
        <is>
          <t>METAL LEVE</t>
        </is>
      </c>
      <c r="E1182" s="3" t="n">
        <v>13.8462</v>
      </c>
      <c r="F1182" s="4" t="n">
        <v>0.3</v>
      </c>
      <c r="G1182" s="5">
        <f>ROUND(E1182*(1+F1182),2)</f>
        <v>18.00</v>
      </c>
      <c r="H1182" s="5">
        <f>ROUND(G1182*NOTAS!$B$2,2)</f>
        <v>12984.22</v>
      </c>
      <c r="I1182" s="6">
        <f>ROUND(G1182*NOTAS!$B$3,0)</f>
        <v>58480</v>
      </c>
      <c r="J1182" s="2" t="n">
        <v>1</v>
      </c>
    </row>
    <row r="1183">
      <c r="A1183" s="2" t="inlineStr">
        <is>
          <t>910751 0,25</t>
        </is>
      </c>
      <c r="B1183" s="2" t="inlineStr"/>
      <c r="C1183" s="2" t="inlineStr">
        <is>
          <t>CONCHA BIELA R-5/11/19/SYMBOL/CLIO 8V</t>
        </is>
      </c>
      <c r="D1183" s="2" t="inlineStr">
        <is>
          <t>SINTERMETAL</t>
        </is>
      </c>
      <c r="E1183" s="3" t="n">
        <v>13.8462</v>
      </c>
      <c r="F1183" s="4" t="n">
        <v>0.3</v>
      </c>
      <c r="G1183" s="5">
        <f>ROUND(E1183*(1+F1183),2)</f>
        <v>18.00</v>
      </c>
      <c r="H1183" s="5">
        <f>ROUND(G1183*NOTAS!$B$2,2)</f>
        <v>12984.22</v>
      </c>
      <c r="I1183" s="6">
        <f>ROUND(G1183*NOTAS!$B$3,0)</f>
        <v>58480</v>
      </c>
      <c r="J1183" s="2" t="n">
        <v>1</v>
      </c>
    </row>
    <row r="1184">
      <c r="A1184" s="2" t="inlineStr">
        <is>
          <t>B8289-37 1,25</t>
        </is>
      </c>
      <c r="B1184" s="2" t="inlineStr"/>
      <c r="C1184" s="2" t="inlineStr">
        <is>
          <t>CONCHA BIELA R-5/11/19/SYMBOL/CLIO 8V</t>
        </is>
      </c>
      <c r="D1184" s="2" t="inlineStr">
        <is>
          <t>NB</t>
        </is>
      </c>
      <c r="E1184" s="3" t="n">
        <v>13.8462</v>
      </c>
      <c r="F1184" s="4" t="n">
        <v>0.3</v>
      </c>
      <c r="G1184" s="5">
        <f>ROUND(E1184*(1+F1184),2)</f>
        <v>18.00</v>
      </c>
      <c r="H1184" s="5">
        <f>ROUND(G1184*NOTAS!$B$2,2)</f>
        <v>12984.22</v>
      </c>
      <c r="I1184" s="6">
        <f>ROUND(G1184*NOTAS!$B$3,0)</f>
        <v>58480</v>
      </c>
      <c r="J1184" s="2" t="n">
        <v>1</v>
      </c>
    </row>
    <row r="1185">
      <c r="A1185" s="2" t="inlineStr">
        <is>
          <t>B9289-55 STD</t>
        </is>
      </c>
      <c r="B1185" s="2" t="inlineStr"/>
      <c r="C1185" s="2" t="inlineStr">
        <is>
          <t>CONCHA BIELA R-LOGAN/SYMBOL/MEGANE SIN CUNA</t>
        </is>
      </c>
      <c r="D1185" s="2" t="inlineStr">
        <is>
          <t>NB</t>
        </is>
      </c>
      <c r="E1185" s="3" t="n">
        <v>7.25</v>
      </c>
      <c r="F1185" s="4" t="n">
        <v>0.3</v>
      </c>
      <c r="G1185" s="5">
        <f>ROUND(E1185*(1+F1185),2)</f>
        <v>9.43</v>
      </c>
      <c r="H1185" s="5">
        <f>ROUND(G1185*NOTAS!$B$2,2)</f>
        <v>6802.29</v>
      </c>
      <c r="I1185" s="6">
        <f>ROUND(G1185*NOTAS!$B$3,0)</f>
        <v>30637</v>
      </c>
      <c r="J1185" s="2" t="n">
        <v>1</v>
      </c>
    </row>
    <row r="1186">
      <c r="A1186" s="2" t="inlineStr">
        <is>
          <t>B9289-55 0,25</t>
        </is>
      </c>
      <c r="B1186" s="2" t="inlineStr"/>
      <c r="C1186" s="2" t="inlineStr">
        <is>
          <t>CONCHA BIELA R-LOGAN/SYMBOL/MEGANE SIN CUNA</t>
        </is>
      </c>
      <c r="D1186" s="2" t="inlineStr">
        <is>
          <t>NB</t>
        </is>
      </c>
      <c r="E1186" s="3" t="n">
        <v>7.25</v>
      </c>
      <c r="F1186" s="4" t="n">
        <v>0.3</v>
      </c>
      <c r="G1186" s="5">
        <f>ROUND(E1186*(1+F1186),2)</f>
        <v>9.43</v>
      </c>
      <c r="H1186" s="5">
        <f>ROUND(G1186*NOTAS!$B$2,2)</f>
        <v>6802.29</v>
      </c>
      <c r="I1186" s="6">
        <f>ROUND(G1186*NOTAS!$B$3,0)</f>
        <v>30637</v>
      </c>
      <c r="J1186" s="2" t="n">
        <v>2</v>
      </c>
    </row>
    <row r="1187">
      <c r="A1187" s="2" t="inlineStr">
        <is>
          <t>B9289-55 0,50</t>
        </is>
      </c>
      <c r="B1187" s="2" t="inlineStr"/>
      <c r="C1187" s="2" t="inlineStr">
        <is>
          <t>CONCHA BIELA R-LOGAN/SYMBOL/MEGANE SIN CUNA</t>
        </is>
      </c>
      <c r="D1187" s="2" t="inlineStr">
        <is>
          <t>NB</t>
        </is>
      </c>
      <c r="E1187" s="3" t="n">
        <v>7.25</v>
      </c>
      <c r="F1187" s="4" t="n">
        <v>0.3</v>
      </c>
      <c r="G1187" s="5">
        <f>ROUND(E1187*(1+F1187),2)</f>
        <v>9.43</v>
      </c>
      <c r="H1187" s="5">
        <f>ROUND(G1187*NOTAS!$B$2,2)</f>
        <v>6802.29</v>
      </c>
      <c r="I1187" s="6">
        <f>ROUND(G1187*NOTAS!$B$3,0)</f>
        <v>30637</v>
      </c>
      <c r="J1187" s="2" t="n">
        <v>1</v>
      </c>
    </row>
    <row r="1188">
      <c r="A1188" s="2" t="inlineStr">
        <is>
          <t>B9289-55 0,75</t>
        </is>
      </c>
      <c r="B1188" s="2" t="inlineStr"/>
      <c r="C1188" s="2" t="inlineStr">
        <is>
          <t>CONCHA BIELA R-LOGAN/SYMBOL/MEGANE SIN CUNA</t>
        </is>
      </c>
      <c r="D1188" s="2" t="inlineStr">
        <is>
          <t>NB</t>
        </is>
      </c>
      <c r="E1188" s="3" t="n">
        <v>7.25</v>
      </c>
      <c r="F1188" s="4" t="n">
        <v>0.3</v>
      </c>
      <c r="G1188" s="5">
        <f>ROUND(E1188*(1+F1188),2)</f>
        <v>9.43</v>
      </c>
      <c r="H1188" s="5">
        <f>ROUND(G1188*NOTAS!$B$2,2)</f>
        <v>6802.29</v>
      </c>
      <c r="I1188" s="6">
        <f>ROUND(G1188*NOTAS!$B$3,0)</f>
        <v>30637</v>
      </c>
      <c r="J1188" s="2" t="n">
        <v>1</v>
      </c>
    </row>
    <row r="1189">
      <c r="A1189" s="2" t="inlineStr">
        <is>
          <t>10-873/4A 0,20</t>
        </is>
      </c>
      <c r="B1189" s="2" t="inlineStr"/>
      <c r="C1189" s="2" t="inlineStr">
        <is>
          <t>CONCHA BIELA R-MEGANE 16V</t>
        </is>
      </c>
      <c r="D1189" s="2" t="inlineStr">
        <is>
          <t>SINTERMETAL</t>
        </is>
      </c>
      <c r="E1189" s="3" t="n">
        <v>15.3846</v>
      </c>
      <c r="F1189" s="4" t="n">
        <v>0.3</v>
      </c>
      <c r="G1189" s="5">
        <f>ROUND(E1189*(1+F1189),2)</f>
        <v>20.00</v>
      </c>
      <c r="H1189" s="5">
        <f>ROUND(G1189*NOTAS!$B$2,2)</f>
        <v>14426.91</v>
      </c>
      <c r="I1189" s="6">
        <f>ROUND(G1189*NOTAS!$B$3,0)</f>
        <v>64977</v>
      </c>
      <c r="J1189" s="2" t="n">
        <v>2</v>
      </c>
    </row>
    <row r="1190">
      <c r="A1190" s="2" t="inlineStr">
        <is>
          <t>6013</t>
        </is>
      </c>
      <c r="B1190" s="2" t="inlineStr"/>
      <c r="C1190" s="2" t="inlineStr">
        <is>
          <t>CONDESADOR F-REGATA AUTOMATICO</t>
        </is>
      </c>
      <c r="D1190" s="2" t="inlineStr">
        <is>
          <t>ANGLI</t>
        </is>
      </c>
      <c r="E1190" s="3" t="n">
        <v>9.2308</v>
      </c>
      <c r="F1190" s="4" t="n">
        <v>0.3</v>
      </c>
      <c r="G1190" s="5">
        <f>ROUND(E1190*(1+F1190),2)</f>
        <v>12.00</v>
      </c>
      <c r="H1190" s="5">
        <f>ROUND(G1190*NOTAS!$B$2,2)</f>
        <v>8656.15</v>
      </c>
      <c r="I1190" s="6">
        <f>ROUND(G1190*NOTAS!$B$3,0)</f>
        <v>38986</v>
      </c>
      <c r="J1190" s="2" t="n">
        <v>2</v>
      </c>
    </row>
    <row r="1191">
      <c r="A1191" s="2" t="inlineStr">
        <is>
          <t>6250</t>
        </is>
      </c>
      <c r="B1191" s="2" t="inlineStr"/>
      <c r="C1191" s="2" t="inlineStr">
        <is>
          <t>CONDESADOR TIPO FENSA</t>
        </is>
      </c>
      <c r="D1191" s="2" t="inlineStr">
        <is>
          <t>ANGLI</t>
        </is>
      </c>
      <c r="E1191" s="3" t="n">
        <v>9.2308</v>
      </c>
      <c r="F1191" s="4" t="n">
        <v>0.3</v>
      </c>
      <c r="G1191" s="5">
        <f>ROUND(E1191*(1+F1191),2)</f>
        <v>12.00</v>
      </c>
      <c r="H1191" s="5">
        <f>ROUND(G1191*NOTAS!$B$2,2)</f>
        <v>8656.15</v>
      </c>
      <c r="I1191" s="6">
        <f>ROUND(G1191*NOTAS!$B$3,0)</f>
        <v>38986</v>
      </c>
      <c r="J1191" s="2" t="n">
        <v>17</v>
      </c>
    </row>
    <row r="1192">
      <c r="A1192" s="2" t="inlineStr">
        <is>
          <t>S-210</t>
        </is>
      </c>
      <c r="B1192" s="2" t="inlineStr"/>
      <c r="C1192" s="2" t="inlineStr">
        <is>
          <t>CONECTOR BOBINA CORSA</t>
        </is>
      </c>
      <c r="D1192" s="2" t="inlineStr"/>
      <c r="E1192" s="3" t="n">
        <v>6.1538</v>
      </c>
      <c r="F1192" s="4" t="n">
        <v>0.3</v>
      </c>
      <c r="G1192" s="5">
        <f>ROUND(E1192*(1+F1192),2)</f>
        <v>8.00</v>
      </c>
      <c r="H1192" s="5">
        <f>ROUND(G1192*NOTAS!$B$2,2)</f>
        <v>5770.76</v>
      </c>
      <c r="I1192" s="6">
        <f>ROUND(G1192*NOTAS!$B$3,0)</f>
        <v>25991</v>
      </c>
      <c r="J1192" s="2" t="n">
        <v>19</v>
      </c>
    </row>
    <row r="1193">
      <c r="A1193" s="2" t="inlineStr">
        <is>
          <t>924080</t>
        </is>
      </c>
      <c r="B1193" s="2" t="inlineStr">
        <is>
          <t>89FG14A464HBA</t>
        </is>
      </c>
      <c r="C1193" s="2" t="inlineStr">
        <is>
          <t>CONECTOR BOBINA FIESTA BALITA 00/03 KA</t>
        </is>
      </c>
      <c r="D1193" s="2" t="inlineStr">
        <is>
          <t>FORD</t>
        </is>
      </c>
      <c r="E1193" s="3" t="n">
        <v>6.1538</v>
      </c>
      <c r="F1193" s="4" t="n">
        <v>0.3</v>
      </c>
      <c r="G1193" s="5">
        <f>ROUND(E1193*(1+F1193),2)</f>
        <v>8.00</v>
      </c>
      <c r="H1193" s="5">
        <f>ROUND(G1193*NOTAS!$B$2,2)</f>
        <v>5770.76</v>
      </c>
      <c r="I1193" s="6">
        <f>ROUND(G1193*NOTAS!$B$3,0)</f>
        <v>25991</v>
      </c>
      <c r="J1193" s="2" t="n">
        <v>3</v>
      </c>
    </row>
    <row r="1194">
      <c r="A1194" s="2" t="inlineStr">
        <is>
          <t>S-230</t>
        </is>
      </c>
      <c r="B1194" s="2" t="inlineStr"/>
      <c r="C1194" s="2" t="inlineStr">
        <is>
          <t>CONECTOR BOBINA R-SYMB/MEG/CL</t>
        </is>
      </c>
      <c r="D1194" s="2" t="inlineStr"/>
      <c r="E1194" s="3" t="n">
        <v>6.1538</v>
      </c>
      <c r="F1194" s="4" t="n">
        <v>0.3</v>
      </c>
      <c r="G1194" s="5">
        <f>ROUND(E1194*(1+F1194),2)</f>
        <v>8.00</v>
      </c>
      <c r="H1194" s="5">
        <f>ROUND(G1194*NOTAS!$B$2,2)</f>
        <v>5770.76</v>
      </c>
      <c r="I1194" s="6">
        <f>ROUND(G1194*NOTAS!$B$3,0)</f>
        <v>25991</v>
      </c>
      <c r="J1194" s="2" t="n">
        <v>9</v>
      </c>
    </row>
    <row r="1195">
      <c r="A1195" s="2" t="inlineStr">
        <is>
          <t>S-560</t>
        </is>
      </c>
      <c r="B1195" s="2" t="inlineStr"/>
      <c r="C1195" s="2" t="inlineStr">
        <is>
          <t>CONECTOR ELECTROVENTILADOR AVEO/OPTRA</t>
        </is>
      </c>
      <c r="D1195" s="2" t="inlineStr"/>
      <c r="E1195" s="3" t="n">
        <v>6.1538</v>
      </c>
      <c r="F1195" s="4" t="n">
        <v>0.3</v>
      </c>
      <c r="G1195" s="5">
        <f>ROUND(E1195*(1+F1195),2)</f>
        <v>8.00</v>
      </c>
      <c r="H1195" s="5">
        <f>ROUND(G1195*NOTAS!$B$2,2)</f>
        <v>5770.76</v>
      </c>
      <c r="I1195" s="6">
        <f>ROUND(G1195*NOTAS!$B$3,0)</f>
        <v>25991</v>
      </c>
      <c r="J1195" s="2" t="n">
        <v>5</v>
      </c>
    </row>
    <row r="1196">
      <c r="A1196" s="2" t="inlineStr">
        <is>
          <t>S-221</t>
        </is>
      </c>
      <c r="B1196" s="2" t="inlineStr"/>
      <c r="C1196" s="2" t="inlineStr">
        <is>
          <t>CONECTOR ELECTROVENTILADOR CORSA</t>
        </is>
      </c>
      <c r="D1196" s="2" t="inlineStr"/>
      <c r="E1196" s="3" t="n">
        <v>6.1538</v>
      </c>
      <c r="F1196" s="4" t="n">
        <v>0.3</v>
      </c>
      <c r="G1196" s="5">
        <f>ROUND(E1196*(1+F1196),2)</f>
        <v>8.00</v>
      </c>
      <c r="H1196" s="5">
        <f>ROUND(G1196*NOTAS!$B$2,2)</f>
        <v>5770.76</v>
      </c>
      <c r="I1196" s="6">
        <f>ROUND(G1196*NOTAS!$B$3,0)</f>
        <v>25991</v>
      </c>
      <c r="J1196" s="2" t="n">
        <v>7</v>
      </c>
    </row>
    <row r="1197">
      <c r="A1197" s="2" t="inlineStr">
        <is>
          <t>S-200</t>
        </is>
      </c>
      <c r="B1197" s="2" t="inlineStr"/>
      <c r="C1197" s="2" t="inlineStr">
        <is>
          <t>CONECTOR ELECTROVENTILADOR FIESTA/KA/ECOSPORT</t>
        </is>
      </c>
      <c r="D1197" s="2" t="inlineStr"/>
      <c r="E1197" s="3" t="n">
        <v>6.1538</v>
      </c>
      <c r="F1197" s="4" t="n">
        <v>0.3</v>
      </c>
      <c r="G1197" s="5">
        <f>ROUND(E1197*(1+F1197),2)</f>
        <v>8.00</v>
      </c>
      <c r="H1197" s="5">
        <f>ROUND(G1197*NOTAS!$B$2,2)</f>
        <v>5770.76</v>
      </c>
      <c r="I1197" s="6">
        <f>ROUND(G1197*NOTAS!$B$3,0)</f>
        <v>25991</v>
      </c>
      <c r="J1197" s="2" t="n">
        <v>10</v>
      </c>
    </row>
    <row r="1198">
      <c r="A1198" s="2" t="inlineStr">
        <is>
          <t>S-551</t>
        </is>
      </c>
      <c r="B1198" s="2" t="inlineStr"/>
      <c r="C1198" s="2" t="inlineStr">
        <is>
          <t>CONECTOR IAC CORSA</t>
        </is>
      </c>
      <c r="D1198" s="2" t="inlineStr"/>
      <c r="E1198" s="3" t="n">
        <v>4.6154</v>
      </c>
      <c r="F1198" s="4" t="n">
        <v>0.3</v>
      </c>
      <c r="G1198" s="5">
        <f>ROUND(E1198*(1+F1198),2)</f>
        <v>6.00</v>
      </c>
      <c r="H1198" s="5">
        <f>ROUND(G1198*NOTAS!$B$2,2)</f>
        <v>4328.07</v>
      </c>
      <c r="I1198" s="6">
        <f>ROUND(G1198*NOTAS!$B$3,0)</f>
        <v>19493</v>
      </c>
      <c r="J1198" s="2" t="n">
        <v>4</v>
      </c>
    </row>
    <row r="1199">
      <c r="A1199" s="2" t="inlineStr">
        <is>
          <t>S-260</t>
        </is>
      </c>
      <c r="B1199" s="2" t="inlineStr"/>
      <c r="C1199" s="2" t="inlineStr">
        <is>
          <t>CONECTOR INYECTOR AVEO/LANOS</t>
        </is>
      </c>
      <c r="D1199" s="2" t="inlineStr"/>
      <c r="E1199" s="3" t="n">
        <v>5.3846</v>
      </c>
      <c r="F1199" s="4" t="n">
        <v>0.3</v>
      </c>
      <c r="G1199" s="5">
        <f>ROUND(E1199*(1+F1199),2)</f>
        <v>7.00</v>
      </c>
      <c r="H1199" s="5">
        <f>ROUND(G1199*NOTAS!$B$2,2)</f>
        <v>5049.42</v>
      </c>
      <c r="I1199" s="6">
        <f>ROUND(G1199*NOTAS!$B$3,0)</f>
        <v>22742</v>
      </c>
      <c r="J1199" s="2" t="n">
        <v>15</v>
      </c>
    </row>
    <row r="1200">
      <c r="A1200" s="2" t="inlineStr">
        <is>
          <t>S-190</t>
        </is>
      </c>
      <c r="B1200" s="2" t="inlineStr"/>
      <c r="C1200" s="2" t="inlineStr">
        <is>
          <t>CONECTOR INYECTOR CORSA</t>
        </is>
      </c>
      <c r="D1200" s="2" t="inlineStr"/>
      <c r="E1200" s="3" t="n">
        <v>5.3846</v>
      </c>
      <c r="F1200" s="4" t="n">
        <v>0.3</v>
      </c>
      <c r="G1200" s="5">
        <f>ROUND(E1200*(1+F1200),2)</f>
        <v>7.00</v>
      </c>
      <c r="H1200" s="5">
        <f>ROUND(G1200*NOTAS!$B$2,2)</f>
        <v>5049.42</v>
      </c>
      <c r="I1200" s="6">
        <f>ROUND(G1200*NOTAS!$B$3,0)</f>
        <v>22742</v>
      </c>
      <c r="J1200" s="2" t="n">
        <v>5</v>
      </c>
    </row>
    <row r="1201">
      <c r="A1201" s="2" t="inlineStr">
        <is>
          <t>S-160</t>
        </is>
      </c>
      <c r="B1201" s="2" t="inlineStr"/>
      <c r="C1201" s="2" t="inlineStr">
        <is>
          <t>CONECTOR SENSOR MAP CORSA</t>
        </is>
      </c>
      <c r="D1201" s="2" t="inlineStr"/>
      <c r="E1201" s="3" t="n">
        <v>4.6154</v>
      </c>
      <c r="F1201" s="4" t="n">
        <v>0.3</v>
      </c>
      <c r="G1201" s="5">
        <f>ROUND(E1201*(1+F1201),2)</f>
        <v>6.00</v>
      </c>
      <c r="H1201" s="5">
        <f>ROUND(G1201*NOTAS!$B$2,2)</f>
        <v>4328.07</v>
      </c>
      <c r="I1201" s="6">
        <f>ROUND(G1201*NOTAS!$B$3,0)</f>
        <v>19493</v>
      </c>
      <c r="J1201" s="2" t="n">
        <v>8</v>
      </c>
    </row>
    <row r="1202">
      <c r="A1202" s="2" t="inlineStr">
        <is>
          <t>S-150</t>
        </is>
      </c>
      <c r="B1202" s="2" t="inlineStr"/>
      <c r="C1202" s="2" t="inlineStr">
        <is>
          <t>CONECTOR SENSOR TEMPERATURA CORSA</t>
        </is>
      </c>
      <c r="D1202" s="2" t="inlineStr"/>
      <c r="E1202" s="3" t="n">
        <v>4.6154</v>
      </c>
      <c r="F1202" s="4" t="n">
        <v>0.3</v>
      </c>
      <c r="G1202" s="5">
        <f>ROUND(E1202*(1+F1202),2)</f>
        <v>6.00</v>
      </c>
      <c r="H1202" s="5">
        <f>ROUND(G1202*NOTAS!$B$2,2)</f>
        <v>4328.07</v>
      </c>
      <c r="I1202" s="6">
        <f>ROUND(G1202*NOTAS!$B$3,0)</f>
        <v>19493</v>
      </c>
      <c r="J1202" s="2" t="n">
        <v>5</v>
      </c>
    </row>
    <row r="1203">
      <c r="A1203" s="2" t="inlineStr">
        <is>
          <t>S-240</t>
        </is>
      </c>
      <c r="B1203" s="2" t="inlineStr"/>
      <c r="C1203" s="2" t="inlineStr">
        <is>
          <t>CONECTOR SENSOR VELOCIMETRO AVEO/LANOS</t>
        </is>
      </c>
      <c r="D1203" s="2" t="inlineStr"/>
      <c r="E1203" s="3" t="n">
        <v>5.3846</v>
      </c>
      <c r="F1203" s="4" t="n">
        <v>0.3</v>
      </c>
      <c r="G1203" s="5">
        <f>ROUND(E1203*(1+F1203),2)</f>
        <v>7.00</v>
      </c>
      <c r="H1203" s="5">
        <f>ROUND(G1203*NOTAS!$B$2,2)</f>
        <v>5049.42</v>
      </c>
      <c r="I1203" s="6">
        <f>ROUND(G1203*NOTAS!$B$3,0)</f>
        <v>22742</v>
      </c>
      <c r="J1203" s="2" t="n">
        <v>10</v>
      </c>
    </row>
    <row r="1204">
      <c r="A1204" s="2" t="inlineStr">
        <is>
          <t>S-7031</t>
        </is>
      </c>
      <c r="B1204" s="2" t="inlineStr"/>
      <c r="C1204" s="2" t="inlineStr">
        <is>
          <t>CONECTOR SENSOR VELOCIMETRO CIELO</t>
        </is>
      </c>
      <c r="D1204" s="2" t="inlineStr"/>
      <c r="E1204" s="3" t="n">
        <v>5.3846</v>
      </c>
      <c r="F1204" s="4" t="n">
        <v>0.3</v>
      </c>
      <c r="G1204" s="5">
        <f>ROUND(E1204*(1+F1204),2)</f>
        <v>7.00</v>
      </c>
      <c r="H1204" s="5">
        <f>ROUND(G1204*NOTAS!$B$2,2)</f>
        <v>5049.42</v>
      </c>
      <c r="I1204" s="6">
        <f>ROUND(G1204*NOTAS!$B$3,0)</f>
        <v>22742</v>
      </c>
      <c r="J1204" s="2" t="n">
        <v>9</v>
      </c>
    </row>
    <row r="1205">
      <c r="A1205" s="2" t="inlineStr">
        <is>
          <t>S-240</t>
        </is>
      </c>
      <c r="B1205" s="2" t="inlineStr"/>
      <c r="C1205" s="2" t="inlineStr">
        <is>
          <t>CONECTOR SENSOR VELOCIMETRO CORSA</t>
        </is>
      </c>
      <c r="D1205" s="2" t="inlineStr"/>
      <c r="E1205" s="3" t="n">
        <v>5.3846</v>
      </c>
      <c r="F1205" s="4" t="n">
        <v>0.3</v>
      </c>
      <c r="G1205" s="5">
        <f>ROUND(E1205*(1+F1205),2)</f>
        <v>7.00</v>
      </c>
      <c r="H1205" s="5">
        <f>ROUND(G1205*NOTAS!$B$2,2)</f>
        <v>5049.42</v>
      </c>
      <c r="I1205" s="6">
        <f>ROUND(G1205*NOTAS!$B$3,0)</f>
        <v>22742</v>
      </c>
      <c r="J1205" s="2" t="n">
        <v>5</v>
      </c>
    </row>
    <row r="1206">
      <c r="A1206" s="2" t="inlineStr">
        <is>
          <t>S-255</t>
        </is>
      </c>
      <c r="B1206" s="2" t="inlineStr"/>
      <c r="C1206" s="2" t="inlineStr">
        <is>
          <t>CONECTOR TPS CORSA</t>
        </is>
      </c>
      <c r="D1206" s="2" t="inlineStr"/>
      <c r="E1206" s="3" t="n">
        <v>4.6154</v>
      </c>
      <c r="F1206" s="4" t="n">
        <v>0.3</v>
      </c>
      <c r="G1206" s="5">
        <f>ROUND(E1206*(1+F1206),2)</f>
        <v>6.00</v>
      </c>
      <c r="H1206" s="5">
        <f>ROUND(G1206*NOTAS!$B$2,2)</f>
        <v>4328.07</v>
      </c>
      <c r="I1206" s="6">
        <f>ROUND(G1206*NOTAS!$B$3,0)</f>
        <v>19493</v>
      </c>
      <c r="J1206" s="2" t="n">
        <v>7</v>
      </c>
    </row>
    <row r="1207">
      <c r="A1207" s="2" t="inlineStr">
        <is>
          <t>S-420</t>
        </is>
      </c>
      <c r="B1207" s="2" t="inlineStr"/>
      <c r="C1207" s="2" t="inlineStr">
        <is>
          <t>CONECTOR VALVULA PRECION ACEITE CORSA</t>
        </is>
      </c>
      <c r="D1207" s="2" t="inlineStr"/>
      <c r="E1207" s="3" t="n">
        <v>4.6154</v>
      </c>
      <c r="F1207" s="4" t="n">
        <v>0.3</v>
      </c>
      <c r="G1207" s="5">
        <f>ROUND(E1207*(1+F1207),2)</f>
        <v>6.00</v>
      </c>
      <c r="H1207" s="5">
        <f>ROUND(G1207*NOTAS!$B$2,2)</f>
        <v>4328.07</v>
      </c>
      <c r="I1207" s="6">
        <f>ROUND(G1207*NOTAS!$B$3,0)</f>
        <v>19493</v>
      </c>
      <c r="J1207" s="2" t="n">
        <v>35</v>
      </c>
    </row>
    <row r="1208">
      <c r="A1208" s="2" t="inlineStr"/>
      <c r="B1208" s="2" t="inlineStr"/>
      <c r="C1208" s="2" t="inlineStr">
        <is>
          <t>CONMUTADOR ENCENDIDO AVEO/SPARK/LANOS/OPTRA</t>
        </is>
      </c>
      <c r="D1208" s="2" t="inlineStr">
        <is>
          <t>KOREA</t>
        </is>
      </c>
      <c r="E1208" s="3" t="n">
        <v>16.9231</v>
      </c>
      <c r="F1208" s="4" t="n">
        <v>0.3</v>
      </c>
      <c r="G1208" s="5">
        <f>ROUND(E1208*(1+F1208),2)</f>
        <v>22.00</v>
      </c>
      <c r="H1208" s="5">
        <f>ROUND(G1208*NOTAS!$B$2,2)</f>
        <v>15869.60</v>
      </c>
      <c r="I1208" s="6">
        <f>ROUND(G1208*NOTAS!$B$3,0)</f>
        <v>71475</v>
      </c>
      <c r="J1208" s="2" t="n">
        <v>4</v>
      </c>
    </row>
    <row r="1209">
      <c r="A1209" s="2" t="inlineStr">
        <is>
          <t>A-38</t>
        </is>
      </c>
      <c r="B1209" s="2" t="inlineStr"/>
      <c r="C1209" s="2" t="inlineStr">
        <is>
          <t>CONMUTADOR ENCENDIDO CHEVETTE 5 PTAS</t>
        </is>
      </c>
      <c r="D1209" s="2" t="inlineStr">
        <is>
          <t>MARZU</t>
        </is>
      </c>
      <c r="E1209" s="3" t="n">
        <v>13.8462</v>
      </c>
      <c r="F1209" s="4" t="n">
        <v>0.3</v>
      </c>
      <c r="G1209" s="5">
        <f>ROUND(E1209*(1+F1209),2)</f>
        <v>18.00</v>
      </c>
      <c r="H1209" s="5">
        <f>ROUND(G1209*NOTAS!$B$2,2)</f>
        <v>12984.22</v>
      </c>
      <c r="I1209" s="6">
        <f>ROUND(G1209*NOTAS!$B$3,0)</f>
        <v>58480</v>
      </c>
      <c r="J1209" s="2" t="n">
        <v>1</v>
      </c>
    </row>
    <row r="1210">
      <c r="A1210" s="2" t="inlineStr">
        <is>
          <t>TIGM350</t>
        </is>
      </c>
      <c r="B1210" s="2" t="inlineStr"/>
      <c r="C1210" s="2" t="inlineStr">
        <is>
          <t>COPA TRIPOIDE AVEO AUTOMATICO 22X22X38</t>
        </is>
      </c>
      <c r="D1210" s="2" t="inlineStr">
        <is>
          <t>TITANIUM</t>
        </is>
      </c>
      <c r="E1210" s="3" t="n">
        <v>25</v>
      </c>
      <c r="F1210" s="4" t="n">
        <v>0.3</v>
      </c>
      <c r="G1210" s="5">
        <f>ROUND(E1210*(1+F1210),2)</f>
        <v>32.50</v>
      </c>
      <c r="H1210" s="5">
        <f>ROUND(G1210*NOTAS!$B$2,2)</f>
        <v>23443.73</v>
      </c>
      <c r="I1210" s="6">
        <f>ROUND(G1210*NOTAS!$B$3,0)</f>
        <v>105588</v>
      </c>
      <c r="J1210" s="2" t="n">
        <v>3</v>
      </c>
    </row>
    <row r="1211">
      <c r="A1211" s="2" t="inlineStr">
        <is>
          <t>KGM350</t>
        </is>
      </c>
      <c r="B1211" s="2" t="inlineStr"/>
      <c r="C1211" s="2" t="inlineStr">
        <is>
          <t>COPA TRIPOIDE AVEO AUTOMATICO 22X22X38</t>
        </is>
      </c>
      <c r="D1211" s="2" t="inlineStr">
        <is>
          <t>KAMPF</t>
        </is>
      </c>
      <c r="E1211" s="3" t="n">
        <v>23</v>
      </c>
      <c r="F1211" s="4" t="n">
        <v>0.3</v>
      </c>
      <c r="G1211" s="5">
        <f>ROUND(E1211*(1+F1211),2)</f>
        <v>29.90</v>
      </c>
      <c r="H1211" s="5">
        <f>ROUND(G1211*NOTAS!$B$2,2)</f>
        <v>21568.23</v>
      </c>
      <c r="I1211" s="6">
        <f>ROUND(G1211*NOTAS!$B$3,0)</f>
        <v>97141</v>
      </c>
      <c r="J1211" s="2" t="n">
        <v>2</v>
      </c>
    </row>
    <row r="1212">
      <c r="A1212" s="2" t="inlineStr">
        <is>
          <t>TIGM300</t>
        </is>
      </c>
      <c r="B1212" s="2" t="inlineStr"/>
      <c r="C1212" s="2" t="inlineStr">
        <is>
          <t>COPA TRIPOIDE AVEO SINCRONICO 22X34X35</t>
        </is>
      </c>
      <c r="D1212" s="2" t="inlineStr">
        <is>
          <t>TITANIUM</t>
        </is>
      </c>
      <c r="E1212" s="3" t="n">
        <v>25</v>
      </c>
      <c r="F1212" s="4" t="n">
        <v>0.3</v>
      </c>
      <c r="G1212" s="5">
        <f>ROUND(E1212*(1+F1212),2)</f>
        <v>32.50</v>
      </c>
      <c r="H1212" s="5">
        <f>ROUND(G1212*NOTAS!$B$2,2)</f>
        <v>23443.73</v>
      </c>
      <c r="I1212" s="6">
        <f>ROUND(G1212*NOTAS!$B$3,0)</f>
        <v>105588</v>
      </c>
      <c r="J1212" s="2" t="n">
        <v>5</v>
      </c>
    </row>
    <row r="1213">
      <c r="A1213" s="2" t="inlineStr">
        <is>
          <t>KGM300</t>
        </is>
      </c>
      <c r="B1213" s="2" t="inlineStr"/>
      <c r="C1213" s="2" t="inlineStr">
        <is>
          <t>COPA TRIPOIDE AVEO SINCRONICO 22X34X35</t>
        </is>
      </c>
      <c r="D1213" s="2" t="inlineStr">
        <is>
          <t>KAMPF</t>
        </is>
      </c>
      <c r="E1213" s="3" t="n">
        <v>23</v>
      </c>
      <c r="F1213" s="4" t="n">
        <v>0.3</v>
      </c>
      <c r="G1213" s="5">
        <f>ROUND(E1213*(1+F1213),2)</f>
        <v>29.90</v>
      </c>
      <c r="H1213" s="5">
        <f>ROUND(G1213*NOTAS!$B$2,2)</f>
        <v>21568.23</v>
      </c>
      <c r="I1213" s="6">
        <f>ROUND(G1213*NOTAS!$B$3,0)</f>
        <v>97141</v>
      </c>
      <c r="J1213" s="2" t="n">
        <v>2</v>
      </c>
    </row>
    <row r="1214">
      <c r="A1214" s="2" t="inlineStr">
        <is>
          <t>TIDW302</t>
        </is>
      </c>
      <c r="B1214" s="2" t="inlineStr"/>
      <c r="C1214" s="2" t="inlineStr">
        <is>
          <t>COPA TRIPOIDE CIELO/LANOS</t>
        </is>
      </c>
      <c r="D1214" s="2" t="inlineStr">
        <is>
          <t>TITANIUM</t>
        </is>
      </c>
      <c r="E1214" s="3" t="n">
        <v>27</v>
      </c>
      <c r="F1214" s="4" t="n">
        <v>0.3</v>
      </c>
      <c r="G1214" s="5">
        <f>ROUND(E1214*(1+F1214),2)</f>
        <v>35.10</v>
      </c>
      <c r="H1214" s="5">
        <f>ROUND(G1214*NOTAS!$B$2,2)</f>
        <v>25319.23</v>
      </c>
      <c r="I1214" s="6">
        <f>ROUND(G1214*NOTAS!$B$3,0)</f>
        <v>114035</v>
      </c>
      <c r="J1214" s="2" t="n">
        <v>15</v>
      </c>
    </row>
    <row r="1215">
      <c r="A1215" s="2" t="inlineStr">
        <is>
          <t>KDW302</t>
        </is>
      </c>
      <c r="B1215" s="2" t="inlineStr"/>
      <c r="C1215" s="2" t="inlineStr">
        <is>
          <t>COPA TRIPOIDE CIELO/LANOS</t>
        </is>
      </c>
      <c r="D1215" s="2" t="inlineStr">
        <is>
          <t>KAMPF</t>
        </is>
      </c>
      <c r="E1215" s="3" t="n">
        <v>25</v>
      </c>
      <c r="F1215" s="4" t="n">
        <v>0.3</v>
      </c>
      <c r="G1215" s="5">
        <f>ROUND(E1215*(1+F1215),2)</f>
        <v>32.50</v>
      </c>
      <c r="H1215" s="5">
        <f>ROUND(G1215*NOTAS!$B$2,2)</f>
        <v>23443.73</v>
      </c>
      <c r="I1215" s="6">
        <f>ROUND(G1215*NOTAS!$B$3,0)</f>
        <v>105588</v>
      </c>
      <c r="J1215" s="2" t="n">
        <v>1</v>
      </c>
    </row>
    <row r="1216">
      <c r="A1216" s="2" t="inlineStr">
        <is>
          <t>GST-OP-701F2</t>
        </is>
      </c>
      <c r="B1216" s="2" t="inlineStr"/>
      <c r="C1216" s="2" t="inlineStr">
        <is>
          <t>COPA TRIPOIDE CIELO/LANOS</t>
        </is>
      </c>
      <c r="D1216" s="2" t="inlineStr">
        <is>
          <t>SUPERTREN</t>
        </is>
      </c>
      <c r="E1216" s="3" t="n">
        <v>25</v>
      </c>
      <c r="F1216" s="4" t="n">
        <v>0.3</v>
      </c>
      <c r="G1216" s="5">
        <f>ROUND(E1216*(1+F1216),2)</f>
        <v>32.50</v>
      </c>
      <c r="H1216" s="5">
        <f>ROUND(G1216*NOTAS!$B$2,2)</f>
        <v>23443.73</v>
      </c>
      <c r="I1216" s="6">
        <f>ROUND(G1216*NOTAS!$B$3,0)</f>
        <v>105588</v>
      </c>
      <c r="J1216" s="2" t="n">
        <v>9</v>
      </c>
    </row>
    <row r="1217">
      <c r="A1217" s="2" t="inlineStr">
        <is>
          <t>TIFO729</t>
        </is>
      </c>
      <c r="B1217" s="2" t="inlineStr"/>
      <c r="C1217" s="2" t="inlineStr">
        <is>
          <t>COPA TRIPOIDE CON TRICETA CORCEL ESTRIA GRUESA</t>
        </is>
      </c>
      <c r="D1217" s="2" t="inlineStr">
        <is>
          <t>TITANIUM</t>
        </is>
      </c>
      <c r="E1217" s="3" t="n">
        <v>27</v>
      </c>
      <c r="F1217" s="4" t="n">
        <v>0.3</v>
      </c>
      <c r="G1217" s="5">
        <f>ROUND(E1217*(1+F1217),2)</f>
        <v>35.10</v>
      </c>
      <c r="H1217" s="5">
        <f>ROUND(G1217*NOTAS!$B$2,2)</f>
        <v>25319.23</v>
      </c>
      <c r="I1217" s="6">
        <f>ROUND(G1217*NOTAS!$B$3,0)</f>
        <v>114035</v>
      </c>
      <c r="J1217" s="2" t="n">
        <v>2</v>
      </c>
    </row>
    <row r="1218">
      <c r="A1218" s="2" t="inlineStr">
        <is>
          <t>GST-RN-702</t>
        </is>
      </c>
      <c r="B1218" s="2" t="inlineStr"/>
      <c r="C1218" s="2" t="inlineStr">
        <is>
          <t>COPA TRIPOIDE CON TRICETA R-21</t>
        </is>
      </c>
      <c r="D1218" s="2" t="inlineStr">
        <is>
          <t>SUPERTREN</t>
        </is>
      </c>
      <c r="E1218" s="3" t="n">
        <v>25</v>
      </c>
      <c r="F1218" s="4" t="n">
        <v>0.3</v>
      </c>
      <c r="G1218" s="5">
        <f>ROUND(E1218*(1+F1218),2)</f>
        <v>32.50</v>
      </c>
      <c r="H1218" s="5">
        <f>ROUND(G1218*NOTAS!$B$2,2)</f>
        <v>23443.73</v>
      </c>
      <c r="I1218" s="6">
        <f>ROUND(G1218*NOTAS!$B$3,0)</f>
        <v>105588</v>
      </c>
      <c r="J1218" s="2" t="n">
        <v>2</v>
      </c>
    </row>
    <row r="1219">
      <c r="A1219" s="2" t="inlineStr">
        <is>
          <t>TIGM203</t>
        </is>
      </c>
      <c r="B1219" s="2" t="inlineStr"/>
      <c r="C1219" s="2" t="inlineStr">
        <is>
          <t>COPA TRIPOIDE CORSA 28X22X35</t>
        </is>
      </c>
      <c r="D1219" s="2" t="inlineStr">
        <is>
          <t>TITANIUM</t>
        </is>
      </c>
      <c r="E1219" s="3" t="n">
        <v>27</v>
      </c>
      <c r="F1219" s="4" t="n">
        <v>0.3</v>
      </c>
      <c r="G1219" s="5">
        <f>ROUND(E1219*(1+F1219),2)</f>
        <v>35.10</v>
      </c>
      <c r="H1219" s="5">
        <f>ROUND(G1219*NOTAS!$B$2,2)</f>
        <v>25319.23</v>
      </c>
      <c r="I1219" s="6">
        <f>ROUND(G1219*NOTAS!$B$3,0)</f>
        <v>114035</v>
      </c>
      <c r="J1219" s="2" t="n">
        <v>13</v>
      </c>
    </row>
    <row r="1220">
      <c r="A1220" s="2" t="inlineStr">
        <is>
          <t>KGM203</t>
        </is>
      </c>
      <c r="B1220" s="2" t="inlineStr"/>
      <c r="C1220" s="2" t="inlineStr">
        <is>
          <t>COPA TRIPOIDE CORSA 28X22X35</t>
        </is>
      </c>
      <c r="D1220" s="2" t="inlineStr">
        <is>
          <t>KAMPF</t>
        </is>
      </c>
      <c r="E1220" s="3" t="n">
        <v>25</v>
      </c>
      <c r="F1220" s="4" t="n">
        <v>0.3</v>
      </c>
      <c r="G1220" s="5">
        <f>ROUND(E1220*(1+F1220),2)</f>
        <v>32.50</v>
      </c>
      <c r="H1220" s="5">
        <f>ROUND(G1220*NOTAS!$B$2,2)</f>
        <v>23443.73</v>
      </c>
      <c r="I1220" s="6">
        <f>ROUND(G1220*NOTAS!$B$3,0)</f>
        <v>105588</v>
      </c>
      <c r="J1220" s="2" t="n">
        <v>2</v>
      </c>
    </row>
    <row r="1221">
      <c r="A1221" s="2" t="inlineStr">
        <is>
          <t>GST-OP-705</t>
        </is>
      </c>
      <c r="B1221" s="2" t="inlineStr"/>
      <c r="C1221" s="2" t="inlineStr">
        <is>
          <t>COPA TRIPOIDE CORSA 28X22X35</t>
        </is>
      </c>
      <c r="D1221" s="2" t="inlineStr">
        <is>
          <t>SUPERTREN</t>
        </is>
      </c>
      <c r="E1221" s="3" t="n">
        <v>25</v>
      </c>
      <c r="F1221" s="4" t="n">
        <v>0.3</v>
      </c>
      <c r="G1221" s="5">
        <f>ROUND(E1221*(1+F1221),2)</f>
        <v>32.50</v>
      </c>
      <c r="H1221" s="5">
        <f>ROUND(G1221*NOTAS!$B$2,2)</f>
        <v>23443.73</v>
      </c>
      <c r="I1221" s="6">
        <f>ROUND(G1221*NOTAS!$B$3,0)</f>
        <v>105588</v>
      </c>
      <c r="J1221" s="2" t="n">
        <v>3</v>
      </c>
    </row>
    <row r="1222">
      <c r="A1222" s="2" t="inlineStr">
        <is>
          <t>FO713</t>
        </is>
      </c>
      <c r="B1222" s="2" t="inlineStr"/>
      <c r="C1222" s="2" t="inlineStr">
        <is>
          <t>COPA TRIPOIDE FIESTA SINC</t>
        </is>
      </c>
      <c r="D1222" s="2" t="inlineStr">
        <is>
          <t>PERFECT</t>
        </is>
      </c>
      <c r="E1222" s="3" t="n">
        <v>25</v>
      </c>
      <c r="F1222" s="4" t="n">
        <v>0.3</v>
      </c>
      <c r="G1222" s="5">
        <f>ROUND(E1222*(1+F1222),2)</f>
        <v>32.50</v>
      </c>
      <c r="H1222" s="5">
        <f>ROUND(G1222*NOTAS!$B$2,2)</f>
        <v>23443.73</v>
      </c>
      <c r="I1222" s="6">
        <f>ROUND(G1222*NOTAS!$B$3,0)</f>
        <v>105588</v>
      </c>
      <c r="J1222" s="2" t="n">
        <v>2</v>
      </c>
    </row>
    <row r="1223">
      <c r="A1223" s="2" t="inlineStr">
        <is>
          <t>KGM370</t>
        </is>
      </c>
      <c r="B1223" s="2" t="inlineStr"/>
      <c r="C1223" s="2" t="inlineStr">
        <is>
          <t>COPA TRIPOIDE OPTRA SINCRONICO 24X34X35</t>
        </is>
      </c>
      <c r="D1223" s="2" t="inlineStr">
        <is>
          <t>KAMPF</t>
        </is>
      </c>
      <c r="E1223" s="3" t="n">
        <v>27</v>
      </c>
      <c r="F1223" s="4" t="n">
        <v>0.3</v>
      </c>
      <c r="G1223" s="5">
        <f>ROUND(E1223*(1+F1223),2)</f>
        <v>35.10</v>
      </c>
      <c r="H1223" s="5">
        <f>ROUND(G1223*NOTAS!$B$2,2)</f>
        <v>25319.23</v>
      </c>
      <c r="I1223" s="6">
        <f>ROUND(G1223*NOTAS!$B$3,0)</f>
        <v>114035</v>
      </c>
      <c r="J1223" s="2" t="n">
        <v>1</v>
      </c>
    </row>
    <row r="1224">
      <c r="A1224" s="2" t="inlineStr">
        <is>
          <t>TIRE1000</t>
        </is>
      </c>
      <c r="B1224" s="2" t="inlineStr"/>
      <c r="C1224" s="2" t="inlineStr">
        <is>
          <t>COPA TRIPOIDE R-LOGAN 21X23X36.4 ESTRIA GRUESA</t>
        </is>
      </c>
      <c r="D1224" s="2" t="inlineStr">
        <is>
          <t>TITANIUM</t>
        </is>
      </c>
      <c r="E1224" s="3" t="n">
        <v>26</v>
      </c>
      <c r="F1224" s="4" t="n">
        <v>0.3</v>
      </c>
      <c r="G1224" s="5">
        <f>ROUND(E1224*(1+F1224),2)</f>
        <v>33.80</v>
      </c>
      <c r="H1224" s="5">
        <f>ROUND(G1224*NOTAS!$B$2,2)</f>
        <v>24381.48</v>
      </c>
      <c r="I1224" s="6">
        <f>ROUND(G1224*NOTAS!$B$3,0)</f>
        <v>109812</v>
      </c>
      <c r="J1224" s="2" t="n">
        <v>1</v>
      </c>
    </row>
    <row r="1225">
      <c r="A1225" s="2" t="inlineStr">
        <is>
          <t>17330</t>
        </is>
      </c>
      <c r="B1225" s="2" t="inlineStr"/>
      <c r="C1225" s="2" t="inlineStr">
        <is>
          <t>CORREA AIRE ACONDICIONADO CIELO LANOS</t>
        </is>
      </c>
      <c r="D1225" s="2" t="inlineStr">
        <is>
          <t>DAYCO</t>
        </is>
      </c>
      <c r="E1225" s="3" t="n">
        <v>3.6</v>
      </c>
      <c r="F1225" s="4" t="n">
        <v>0.3</v>
      </c>
      <c r="G1225" s="5">
        <f>ROUND(E1225*(1+F1225),2)</f>
        <v>4.68</v>
      </c>
      <c r="H1225" s="5">
        <f>ROUND(G1225*NOTAS!$B$2,2)</f>
        <v>3375.90</v>
      </c>
      <c r="I1225" s="6">
        <f>ROUND(G1225*NOTAS!$B$3,0)</f>
        <v>15205</v>
      </c>
      <c r="J1225" s="2" t="n">
        <v>7</v>
      </c>
    </row>
    <row r="1226">
      <c r="A1226" s="2" t="inlineStr">
        <is>
          <t>4PK0980</t>
        </is>
      </c>
      <c r="B1226" s="2" t="inlineStr"/>
      <c r="C1226" s="2" t="inlineStr">
        <is>
          <t>CORREA AIRE ACONDICIONADO D.HID KIA RIO</t>
        </is>
      </c>
      <c r="D1226" s="2" t="inlineStr">
        <is>
          <t>DAYCO</t>
        </is>
      </c>
      <c r="E1226" s="3" t="n">
        <v>6</v>
      </c>
      <c r="F1226" s="4" t="n">
        <v>0.3</v>
      </c>
      <c r="G1226" s="5">
        <f>ROUND(E1226*(1+F1226),2)</f>
        <v>7.80</v>
      </c>
      <c r="H1226" s="5">
        <f>ROUND(G1226*NOTAS!$B$2,2)</f>
        <v>5626.50</v>
      </c>
      <c r="I1226" s="6">
        <f>ROUND(G1226*NOTAS!$B$3,0)</f>
        <v>25341</v>
      </c>
      <c r="J1226" s="2" t="n">
        <v>6</v>
      </c>
    </row>
    <row r="1227">
      <c r="A1227" s="2" t="inlineStr">
        <is>
          <t>46520502</t>
        </is>
      </c>
      <c r="B1227" s="2" t="inlineStr">
        <is>
          <t>4PK0775</t>
        </is>
      </c>
      <c r="C1227" s="2" t="inlineStr">
        <is>
          <t xml:space="preserve">CORREA AIRE ACONDICIONADO F-PAL/SIE 1.3 8V </t>
        </is>
      </c>
      <c r="D1227" s="2" t="inlineStr">
        <is>
          <t>FIAT</t>
        </is>
      </c>
      <c r="E1227" s="3" t="n">
        <v>7</v>
      </c>
      <c r="F1227" s="4" t="n">
        <v>0.3</v>
      </c>
      <c r="G1227" s="5">
        <f>ROUND(E1227*(1+F1227),2)</f>
        <v>9.10</v>
      </c>
      <c r="H1227" s="5">
        <f>ROUND(G1227*NOTAS!$B$2,2)</f>
        <v>6564.24</v>
      </c>
      <c r="I1227" s="6">
        <f>ROUND(G1227*NOTAS!$B$3,0)</f>
        <v>29565</v>
      </c>
      <c r="J1227" s="2" t="n">
        <v>1</v>
      </c>
    </row>
    <row r="1228">
      <c r="A1228" s="2" t="inlineStr">
        <is>
          <t>3PK0668</t>
        </is>
      </c>
      <c r="B1228" s="2" t="inlineStr"/>
      <c r="C1228" s="2" t="inlineStr">
        <is>
          <t>CORREA AIRE ACONDICIONADO F-PAL/SIE 1.6</t>
        </is>
      </c>
      <c r="D1228" s="2" t="inlineStr">
        <is>
          <t>DAYCO</t>
        </is>
      </c>
      <c r="E1228" s="3" t="n">
        <v>3</v>
      </c>
      <c r="F1228" s="4" t="n">
        <v>0.3</v>
      </c>
      <c r="G1228" s="5">
        <f>ROUND(E1228*(1+F1228),2)</f>
        <v>3.90</v>
      </c>
      <c r="H1228" s="5">
        <f>ROUND(G1228*NOTAS!$B$2,2)</f>
        <v>2813.25</v>
      </c>
      <c r="I1228" s="6">
        <f>ROUND(G1228*NOTAS!$B$3,0)</f>
        <v>12671</v>
      </c>
      <c r="J1228" s="2" t="n">
        <v>9</v>
      </c>
    </row>
    <row r="1229">
      <c r="A1229" s="2" t="inlineStr">
        <is>
          <t>9378</t>
        </is>
      </c>
      <c r="B1229" s="2" t="inlineStr"/>
      <c r="C1229" s="2" t="inlineStr">
        <is>
          <t>CORREA AIRE ACONDICIONADO F-UNO 00/…</t>
        </is>
      </c>
      <c r="D1229" s="2" t="inlineStr">
        <is>
          <t>GATES</t>
        </is>
      </c>
      <c r="E1229" s="3" t="n">
        <v>4.5</v>
      </c>
      <c r="F1229" s="4" t="n">
        <v>0.3</v>
      </c>
      <c r="G1229" s="5">
        <f>ROUND(E1229*(1+F1229),2)</f>
        <v>5.85</v>
      </c>
      <c r="H1229" s="5">
        <f>ROUND(G1229*NOTAS!$B$2,2)</f>
        <v>4219.87</v>
      </c>
      <c r="I1229" s="6">
        <f>ROUND(G1229*NOTAS!$B$3,0)</f>
        <v>19006</v>
      </c>
      <c r="J1229" s="2" t="n">
        <v>6</v>
      </c>
    </row>
    <row r="1230">
      <c r="A1230" s="2" t="inlineStr">
        <is>
          <t>17380</t>
        </is>
      </c>
      <c r="B1230" s="2" t="inlineStr"/>
      <c r="C1230" s="2" t="inlineStr">
        <is>
          <t>CORREA AIRE ACONDICIONADO F-UNO 00/…</t>
        </is>
      </c>
      <c r="D1230" s="2" t="inlineStr">
        <is>
          <t>DAYCO</t>
        </is>
      </c>
      <c r="E1230" s="3" t="n">
        <v>4.5</v>
      </c>
      <c r="F1230" s="4" t="n">
        <v>0.3</v>
      </c>
      <c r="G1230" s="5">
        <f>ROUND(E1230*(1+F1230),2)</f>
        <v>5.85</v>
      </c>
      <c r="H1230" s="5">
        <f>ROUND(G1230*NOTAS!$B$2,2)</f>
        <v>4219.87</v>
      </c>
      <c r="I1230" s="6">
        <f>ROUND(G1230*NOTAS!$B$3,0)</f>
        <v>19006</v>
      </c>
      <c r="J1230" s="2" t="n">
        <v>2</v>
      </c>
    </row>
    <row r="1231">
      <c r="A1231" s="2" t="inlineStr">
        <is>
          <t>4PK0735</t>
        </is>
      </c>
      <c r="B1231" s="2" t="inlineStr"/>
      <c r="C1231" s="2" t="inlineStr">
        <is>
          <t>CORREA AIRE ACONDICIONADO MATIZ</t>
        </is>
      </c>
      <c r="D1231" s="2" t="inlineStr">
        <is>
          <t>DAYCO</t>
        </is>
      </c>
      <c r="E1231" s="3" t="n">
        <v>5</v>
      </c>
      <c r="F1231" s="4" t="n">
        <v>0.3</v>
      </c>
      <c r="G1231" s="5">
        <f>ROUND(E1231*(1+F1231),2)</f>
        <v>6.50</v>
      </c>
      <c r="H1231" s="5">
        <f>ROUND(G1231*NOTAS!$B$2,2)</f>
        <v>4688.75</v>
      </c>
      <c r="I1231" s="6">
        <f>ROUND(G1231*NOTAS!$B$3,0)</f>
        <v>21118</v>
      </c>
      <c r="J1231" s="2" t="n">
        <v>1</v>
      </c>
    </row>
    <row r="1232">
      <c r="A1232" s="2" t="inlineStr">
        <is>
          <t>4PK0736</t>
        </is>
      </c>
      <c r="B1232" s="2" t="inlineStr"/>
      <c r="C1232" s="2" t="inlineStr">
        <is>
          <t>CORREA AIRE ACONDICIONADO MATIZ</t>
        </is>
      </c>
      <c r="D1232" s="2" t="inlineStr">
        <is>
          <t>DAYCO</t>
        </is>
      </c>
      <c r="E1232" s="3" t="n">
        <v>5</v>
      </c>
      <c r="F1232" s="4" t="n">
        <v>0.3</v>
      </c>
      <c r="G1232" s="5">
        <f>ROUND(E1232*(1+F1232),2)</f>
        <v>6.50</v>
      </c>
      <c r="H1232" s="5">
        <f>ROUND(G1232*NOTAS!$B$2,2)</f>
        <v>4688.75</v>
      </c>
      <c r="I1232" s="6">
        <f>ROUND(G1232*NOTAS!$B$3,0)</f>
        <v>21118</v>
      </c>
      <c r="J1232" s="2" t="n">
        <v>1</v>
      </c>
    </row>
    <row r="1233">
      <c r="A1233" s="2" t="inlineStr">
        <is>
          <t>4PK0740</t>
        </is>
      </c>
      <c r="B1233" s="2" t="inlineStr"/>
      <c r="C1233" s="2" t="inlineStr">
        <is>
          <t>CORREA AIRE ACONDICIONADO MATIZ</t>
        </is>
      </c>
      <c r="D1233" s="2" t="inlineStr">
        <is>
          <t>GATES</t>
        </is>
      </c>
      <c r="E1233" s="3" t="n">
        <v>6</v>
      </c>
      <c r="F1233" s="4" t="n">
        <v>0.3</v>
      </c>
      <c r="G1233" s="5">
        <f>ROUND(E1233*(1+F1233),2)</f>
        <v>7.80</v>
      </c>
      <c r="H1233" s="5">
        <f>ROUND(G1233*NOTAS!$B$2,2)</f>
        <v>5626.50</v>
      </c>
      <c r="I1233" s="6">
        <f>ROUND(G1233*NOTAS!$B$3,0)</f>
        <v>25341</v>
      </c>
      <c r="J1233" s="2" t="n">
        <v>2</v>
      </c>
    </row>
    <row r="1234">
      <c r="A1234" s="2" t="inlineStr">
        <is>
          <t>4PK0740</t>
        </is>
      </c>
      <c r="B1234" s="2" t="inlineStr">
        <is>
          <t>K040292</t>
        </is>
      </c>
      <c r="C1234" s="2" t="inlineStr">
        <is>
          <t>CORREA AIRE ACONDICIONADO MATIZ</t>
        </is>
      </c>
      <c r="D1234" s="2" t="inlineStr">
        <is>
          <t>GATES</t>
        </is>
      </c>
      <c r="E1234" s="3" t="n">
        <v>6</v>
      </c>
      <c r="F1234" s="4" t="n">
        <v>0.3</v>
      </c>
      <c r="G1234" s="5">
        <f>ROUND(E1234*(1+F1234),2)</f>
        <v>7.80</v>
      </c>
      <c r="H1234" s="5">
        <f>ROUND(G1234*NOTAS!$B$2,2)</f>
        <v>5626.50</v>
      </c>
      <c r="I1234" s="6">
        <f>ROUND(G1234*NOTAS!$B$3,0)</f>
        <v>25341</v>
      </c>
      <c r="J1234" s="2" t="n">
        <v>2</v>
      </c>
    </row>
    <row r="1235">
      <c r="A1235" s="2" t="inlineStr">
        <is>
          <t>5PK1065</t>
        </is>
      </c>
      <c r="B1235" s="2" t="inlineStr"/>
      <c r="C1235" s="2" t="inlineStr">
        <is>
          <t>CORREA AIRE ACONDICIONADO MAZDA 626 92/97 SIGNO LANCER</t>
        </is>
      </c>
      <c r="D1235" s="2" t="inlineStr">
        <is>
          <t>DAYCO</t>
        </is>
      </c>
      <c r="E1235" s="3" t="n">
        <v>8</v>
      </c>
      <c r="F1235" s="4" t="n">
        <v>0.3</v>
      </c>
      <c r="G1235" s="5">
        <f>ROUND(E1235*(1+F1235),2)</f>
        <v>10.40</v>
      </c>
      <c r="H1235" s="5">
        <f>ROUND(G1235*NOTAS!$B$2,2)</f>
        <v>7501.99</v>
      </c>
      <c r="I1235" s="6">
        <f>ROUND(G1235*NOTAS!$B$3,0)</f>
        <v>33788</v>
      </c>
      <c r="J1235" s="2" t="n">
        <v>1</v>
      </c>
    </row>
    <row r="1236">
      <c r="A1236" s="2" t="inlineStr">
        <is>
          <t>5PK0891</t>
        </is>
      </c>
      <c r="B1236" s="2" t="inlineStr"/>
      <c r="C1236" s="2" t="inlineStr">
        <is>
          <t>CORREA AIRE ACONDICIONADO R-TWINGO</t>
        </is>
      </c>
      <c r="D1236" s="2" t="inlineStr">
        <is>
          <t>GATES</t>
        </is>
      </c>
      <c r="E1236" s="3" t="n">
        <v>6</v>
      </c>
      <c r="F1236" s="4" t="n">
        <v>0.3</v>
      </c>
      <c r="G1236" s="5">
        <f>ROUND(E1236*(1+F1236),2)</f>
        <v>7.80</v>
      </c>
      <c r="H1236" s="5">
        <f>ROUND(G1236*NOTAS!$B$2,2)</f>
        <v>5626.50</v>
      </c>
      <c r="I1236" s="6">
        <f>ROUND(G1236*NOTAS!$B$3,0)</f>
        <v>25341</v>
      </c>
      <c r="J1236" s="2" t="n">
        <v>1</v>
      </c>
    </row>
    <row r="1237">
      <c r="A1237" s="2" t="inlineStr">
        <is>
          <t>5PK0900</t>
        </is>
      </c>
      <c r="B1237" s="2" t="inlineStr"/>
      <c r="C1237" s="2" t="inlineStr">
        <is>
          <t>CORREA AIRE ACONDICIONADO R-TWINGO</t>
        </is>
      </c>
      <c r="D1237" s="2" t="inlineStr">
        <is>
          <t>DAYCO</t>
        </is>
      </c>
      <c r="E1237" s="3" t="n">
        <v>6</v>
      </c>
      <c r="F1237" s="4" t="n">
        <v>0.3</v>
      </c>
      <c r="G1237" s="5">
        <f>ROUND(E1237*(1+F1237),2)</f>
        <v>7.80</v>
      </c>
      <c r="H1237" s="5">
        <f>ROUND(G1237*NOTAS!$B$2,2)</f>
        <v>5626.50</v>
      </c>
      <c r="I1237" s="6">
        <f>ROUND(G1237*NOTAS!$B$3,0)</f>
        <v>25341</v>
      </c>
      <c r="J1237" s="2" t="n">
        <v>8</v>
      </c>
    </row>
    <row r="1238">
      <c r="A1238" s="2" t="inlineStr">
        <is>
          <t>5PK0903</t>
        </is>
      </c>
      <c r="B1238" s="2" t="inlineStr"/>
      <c r="C1238" s="2" t="inlineStr">
        <is>
          <t>CORREA AIRE ACONDICIONADO R-TWINGO</t>
        </is>
      </c>
      <c r="D1238" s="2" t="inlineStr">
        <is>
          <t>GATES</t>
        </is>
      </c>
      <c r="E1238" s="3" t="n">
        <v>6</v>
      </c>
      <c r="F1238" s="4" t="n">
        <v>0.3</v>
      </c>
      <c r="G1238" s="5">
        <f>ROUND(E1238*(1+F1238),2)</f>
        <v>7.80</v>
      </c>
      <c r="H1238" s="5">
        <f>ROUND(G1238*NOTAS!$B$2,2)</f>
        <v>5626.50</v>
      </c>
      <c r="I1238" s="6">
        <f>ROUND(G1238*NOTAS!$B$3,0)</f>
        <v>25341</v>
      </c>
      <c r="J1238" s="2" t="n">
        <v>1</v>
      </c>
    </row>
    <row r="1239">
      <c r="A1239" s="2" t="inlineStr">
        <is>
          <t>4PK0930</t>
        </is>
      </c>
      <c r="B1239" s="2" t="inlineStr"/>
      <c r="C1239" s="2" t="inlineStr">
        <is>
          <t>CORREA AIRE ACONDICIONADO R-TWINGO 16V /TURPIAL</t>
        </is>
      </c>
      <c r="D1239" s="2" t="inlineStr">
        <is>
          <t>DAYCO</t>
        </is>
      </c>
      <c r="E1239" s="3" t="n">
        <v>6</v>
      </c>
      <c r="F1239" s="4" t="n">
        <v>0.3</v>
      </c>
      <c r="G1239" s="5">
        <f>ROUND(E1239*(1+F1239),2)</f>
        <v>7.80</v>
      </c>
      <c r="H1239" s="5">
        <f>ROUND(G1239*NOTAS!$B$2,2)</f>
        <v>5626.50</v>
      </c>
      <c r="I1239" s="6">
        <f>ROUND(G1239*NOTAS!$B$3,0)</f>
        <v>25341</v>
      </c>
      <c r="J1239" s="2" t="n">
        <v>2</v>
      </c>
    </row>
    <row r="1240">
      <c r="A1240" s="2" t="inlineStr">
        <is>
          <t>7700867939</t>
        </is>
      </c>
      <c r="B1240" s="2" t="inlineStr"/>
      <c r="C1240" s="2" t="inlineStr">
        <is>
          <t>CORREA AIRE ACONDICIONADO R-TWINGO 5PK0910</t>
        </is>
      </c>
      <c r="D1240" s="2" t="inlineStr">
        <is>
          <t>RENAULT</t>
        </is>
      </c>
      <c r="E1240" s="3" t="n">
        <v>7.6923</v>
      </c>
      <c r="F1240" s="4" t="n">
        <v>0.3</v>
      </c>
      <c r="G1240" s="5">
        <f>ROUND(E1240*(1+F1240),2)</f>
        <v>10.00</v>
      </c>
      <c r="H1240" s="5">
        <f>ROUND(G1240*NOTAS!$B$2,2)</f>
        <v>7213.46</v>
      </c>
      <c r="I1240" s="6">
        <f>ROUND(G1240*NOTAS!$B$3,0)</f>
        <v>32489</v>
      </c>
      <c r="J1240" s="2" t="n">
        <v>1</v>
      </c>
    </row>
    <row r="1241">
      <c r="A1241" s="2" t="inlineStr">
        <is>
          <t>4PK0960</t>
        </is>
      </c>
      <c r="B1241" s="2" t="inlineStr"/>
      <c r="C1241" s="2" t="inlineStr">
        <is>
          <t>CORREA AIRE ACONDICIONADO SILVERADO 5.3</t>
        </is>
      </c>
      <c r="D1241" s="2" t="inlineStr">
        <is>
          <t>DAYCO</t>
        </is>
      </c>
      <c r="E1241" s="3" t="n">
        <v>6</v>
      </c>
      <c r="F1241" s="4" t="n">
        <v>0.3</v>
      </c>
      <c r="G1241" s="5">
        <f>ROUND(E1241*(1+F1241),2)</f>
        <v>7.80</v>
      </c>
      <c r="H1241" s="5">
        <f>ROUND(G1241*NOTAS!$B$2,2)</f>
        <v>5626.50</v>
      </c>
      <c r="I1241" s="6">
        <f>ROUND(G1241*NOTAS!$B$3,0)</f>
        <v>25341</v>
      </c>
      <c r="J1241" s="2" t="n">
        <v>3</v>
      </c>
    </row>
    <row r="1242">
      <c r="A1242" s="2" t="inlineStr">
        <is>
          <t>4PK0780</t>
        </is>
      </c>
      <c r="B1242" s="2" t="inlineStr">
        <is>
          <t>96570670</t>
        </is>
      </c>
      <c r="C1242" s="2" t="inlineStr">
        <is>
          <t>CORREA AIRE ACONDICIONADO SPARK</t>
        </is>
      </c>
      <c r="D1242" s="2" t="inlineStr">
        <is>
          <t>GM</t>
        </is>
      </c>
      <c r="E1242" s="3" t="n">
        <v>6</v>
      </c>
      <c r="F1242" s="4" t="n">
        <v>0.3</v>
      </c>
      <c r="G1242" s="5">
        <f>ROUND(E1242*(1+F1242),2)</f>
        <v>7.80</v>
      </c>
      <c r="H1242" s="5">
        <f>ROUND(G1242*NOTAS!$B$2,2)</f>
        <v>5626.50</v>
      </c>
      <c r="I1242" s="6">
        <f>ROUND(G1242*NOTAS!$B$3,0)</f>
        <v>25341</v>
      </c>
      <c r="J1242" s="2" t="n">
        <v>1</v>
      </c>
    </row>
    <row r="1243">
      <c r="A1243" s="2" t="inlineStr">
        <is>
          <t>4PK0940</t>
        </is>
      </c>
      <c r="B1243" s="2" t="inlineStr"/>
      <c r="C1243" s="2" t="inlineStr">
        <is>
          <t>CORREA AIRE ACONDICIONADO TOYOTA STARLET</t>
        </is>
      </c>
      <c r="D1243" s="2" t="inlineStr">
        <is>
          <t>DAYCO</t>
        </is>
      </c>
      <c r="E1243" s="3" t="n">
        <v>6</v>
      </c>
      <c r="F1243" s="4" t="n">
        <v>0.3</v>
      </c>
      <c r="G1243" s="5">
        <f>ROUND(E1243*(1+F1243),2)</f>
        <v>7.80</v>
      </c>
      <c r="H1243" s="5">
        <f>ROUND(G1243*NOTAS!$B$2,2)</f>
        <v>5626.50</v>
      </c>
      <c r="I1243" s="6">
        <f>ROUND(G1243*NOTAS!$B$3,0)</f>
        <v>25341</v>
      </c>
      <c r="J1243" s="2" t="n">
        <v>2</v>
      </c>
    </row>
    <row r="1244">
      <c r="A1244" s="2" t="inlineStr">
        <is>
          <t>4PK0689</t>
        </is>
      </c>
      <c r="B1244" s="2" t="inlineStr"/>
      <c r="C1244" s="2" t="inlineStr">
        <is>
          <t>CORREA ALTERNADOR ARAUCA/X1</t>
        </is>
      </c>
      <c r="D1244" s="2" t="inlineStr">
        <is>
          <t>CHERY</t>
        </is>
      </c>
      <c r="E1244" s="3" t="n">
        <v>9.2308</v>
      </c>
      <c r="F1244" s="4" t="n">
        <v>0.3</v>
      </c>
      <c r="G1244" s="5">
        <f>ROUND(E1244*(1+F1244),2)</f>
        <v>12.00</v>
      </c>
      <c r="H1244" s="5">
        <f>ROUND(G1244*NOTAS!$B$2,2)</f>
        <v>8656.15</v>
      </c>
      <c r="I1244" s="6">
        <f>ROUND(G1244*NOTAS!$B$3,0)</f>
        <v>38986</v>
      </c>
      <c r="J1244" s="2" t="n">
        <v>4</v>
      </c>
    </row>
    <row r="1245">
      <c r="A1245" s="2" t="inlineStr">
        <is>
          <t>7365</t>
        </is>
      </c>
      <c r="B1245" s="2" t="inlineStr"/>
      <c r="C1245" s="2" t="inlineStr">
        <is>
          <t>CORREA ALTERNADOR CHEVETTE</t>
        </is>
      </c>
      <c r="D1245" s="2" t="inlineStr">
        <is>
          <t>GATES</t>
        </is>
      </c>
      <c r="E1245" s="3" t="n">
        <v>3.6</v>
      </c>
      <c r="F1245" s="4" t="n">
        <v>0.3</v>
      </c>
      <c r="G1245" s="5">
        <f>ROUND(E1245*(1+F1245),2)</f>
        <v>4.68</v>
      </c>
      <c r="H1245" s="5">
        <f>ROUND(G1245*NOTAS!$B$2,2)</f>
        <v>3375.90</v>
      </c>
      <c r="I1245" s="6">
        <f>ROUND(G1245*NOTAS!$B$3,0)</f>
        <v>15205</v>
      </c>
      <c r="J1245" s="2" t="n">
        <v>1</v>
      </c>
    </row>
    <row r="1246">
      <c r="A1246" s="2" t="inlineStr">
        <is>
          <t>7365</t>
        </is>
      </c>
      <c r="B1246" s="2" t="inlineStr"/>
      <c r="C1246" s="2" t="inlineStr">
        <is>
          <t>CORREA ALTERNADOR CHEVETTE</t>
        </is>
      </c>
      <c r="D1246" s="2" t="inlineStr">
        <is>
          <t>PERFECT CIRCLE</t>
        </is>
      </c>
      <c r="E1246" s="3" t="n">
        <v>3.6</v>
      </c>
      <c r="F1246" s="4" t="n">
        <v>0.3</v>
      </c>
      <c r="G1246" s="5">
        <f>ROUND(E1246*(1+F1246),2)</f>
        <v>4.68</v>
      </c>
      <c r="H1246" s="5">
        <f>ROUND(G1246*NOTAS!$B$2,2)</f>
        <v>3375.90</v>
      </c>
      <c r="I1246" s="6">
        <f>ROUND(G1246*NOTAS!$B$3,0)</f>
        <v>15205</v>
      </c>
      <c r="J1246" s="2" t="n">
        <v>3</v>
      </c>
    </row>
    <row r="1247">
      <c r="A1247" s="2" t="inlineStr">
        <is>
          <t>5PK0865</t>
        </is>
      </c>
      <c r="B1247" s="2" t="inlineStr"/>
      <c r="C1247" s="2" t="inlineStr">
        <is>
          <t>CORREA ALTERNADOR CIELO/LAN</t>
        </is>
      </c>
      <c r="D1247" s="2" t="inlineStr">
        <is>
          <t>DAYCO</t>
        </is>
      </c>
      <c r="E1247" s="3" t="n">
        <v>6</v>
      </c>
      <c r="F1247" s="4" t="n">
        <v>0.3</v>
      </c>
      <c r="G1247" s="5">
        <f>ROUND(E1247*(1+F1247),2)</f>
        <v>7.80</v>
      </c>
      <c r="H1247" s="5">
        <f>ROUND(G1247*NOTAS!$B$2,2)</f>
        <v>5626.50</v>
      </c>
      <c r="I1247" s="6">
        <f>ROUND(G1247*NOTAS!$B$3,0)</f>
        <v>25341</v>
      </c>
      <c r="J1247" s="2" t="n">
        <v>33</v>
      </c>
    </row>
    <row r="1248">
      <c r="A1248" s="2" t="inlineStr">
        <is>
          <t>5PK0870</t>
        </is>
      </c>
      <c r="B1248" s="2" t="inlineStr"/>
      <c r="C1248" s="2" t="inlineStr">
        <is>
          <t>CORREA ALTERNADOR CIELO/LAN</t>
        </is>
      </c>
      <c r="D1248" s="2" t="inlineStr">
        <is>
          <t>KMC</t>
        </is>
      </c>
      <c r="E1248" s="3" t="n">
        <v>4</v>
      </c>
      <c r="F1248" s="4" t="n">
        <v>0.3</v>
      </c>
      <c r="G1248" s="5">
        <f>ROUND(E1248*(1+F1248),2)</f>
        <v>5.20</v>
      </c>
      <c r="H1248" s="5">
        <f>ROUND(G1248*NOTAS!$B$2,2)</f>
        <v>3751.00</v>
      </c>
      <c r="I1248" s="6">
        <f>ROUND(G1248*NOTAS!$B$3,0)</f>
        <v>16894</v>
      </c>
      <c r="J1248" s="2" t="n">
        <v>2</v>
      </c>
    </row>
    <row r="1249">
      <c r="A1249" s="2" t="inlineStr">
        <is>
          <t>5PK0870</t>
        </is>
      </c>
      <c r="B1249" s="2" t="inlineStr"/>
      <c r="C1249" s="2" t="inlineStr">
        <is>
          <t>CORREA ALTERNADOR CIELO/LAN</t>
        </is>
      </c>
      <c r="D1249" s="2" t="inlineStr">
        <is>
          <t>KOREA</t>
        </is>
      </c>
      <c r="E1249" s="3" t="n">
        <v>4</v>
      </c>
      <c r="F1249" s="4" t="n">
        <v>0.3</v>
      </c>
      <c r="G1249" s="5">
        <f>ROUND(E1249*(1+F1249),2)</f>
        <v>5.20</v>
      </c>
      <c r="H1249" s="5">
        <f>ROUND(G1249*NOTAS!$B$2,2)</f>
        <v>3751.00</v>
      </c>
      <c r="I1249" s="6">
        <f>ROUND(G1249*NOTAS!$B$3,0)</f>
        <v>16894</v>
      </c>
      <c r="J1249" s="2" t="n">
        <v>1</v>
      </c>
    </row>
    <row r="1250">
      <c r="A1250" s="2" t="inlineStr">
        <is>
          <t>5PK0875</t>
        </is>
      </c>
      <c r="B1250" s="2" t="inlineStr"/>
      <c r="C1250" s="2" t="inlineStr">
        <is>
          <t>CORREA ALTERNADOR CIELO/LAN</t>
        </is>
      </c>
      <c r="D1250" s="2" t="inlineStr">
        <is>
          <t>GOODYEAR</t>
        </is>
      </c>
      <c r="E1250" s="3" t="n">
        <v>4</v>
      </c>
      <c r="F1250" s="4" t="n">
        <v>0.3</v>
      </c>
      <c r="G1250" s="5">
        <f>ROUND(E1250*(1+F1250),2)</f>
        <v>5.20</v>
      </c>
      <c r="H1250" s="5">
        <f>ROUND(G1250*NOTAS!$B$2,2)</f>
        <v>3751.00</v>
      </c>
      <c r="I1250" s="6">
        <f>ROUND(G1250*NOTAS!$B$3,0)</f>
        <v>16894</v>
      </c>
      <c r="J1250" s="2" t="n">
        <v>1</v>
      </c>
    </row>
    <row r="1251">
      <c r="A1251" s="2" t="inlineStr">
        <is>
          <t>5PK0965</t>
        </is>
      </c>
      <c r="B1251" s="2" t="inlineStr"/>
      <c r="C1251" s="2" t="inlineStr">
        <is>
          <t>CORREA ALTERNADOR COROLLA 94/02</t>
        </is>
      </c>
      <c r="D1251" s="2" t="inlineStr">
        <is>
          <t>DAYCO</t>
        </is>
      </c>
      <c r="E1251" s="3" t="n">
        <v>3</v>
      </c>
      <c r="F1251" s="4" t="n">
        <v>0.3</v>
      </c>
      <c r="G1251" s="5">
        <f>ROUND(E1251*(1+F1251),2)</f>
        <v>3.90</v>
      </c>
      <c r="H1251" s="5">
        <f>ROUND(G1251*NOTAS!$B$2,2)</f>
        <v>2813.25</v>
      </c>
      <c r="I1251" s="6">
        <f>ROUND(G1251*NOTAS!$B$3,0)</f>
        <v>12671</v>
      </c>
      <c r="J1251" s="2" t="n">
        <v>5</v>
      </c>
    </row>
    <row r="1252">
      <c r="A1252" s="2" t="inlineStr">
        <is>
          <t>5PK0970</t>
        </is>
      </c>
      <c r="B1252" s="2" t="inlineStr"/>
      <c r="C1252" s="2" t="inlineStr">
        <is>
          <t>CORREA ALTERNADOR COROLLA 94/02</t>
        </is>
      </c>
      <c r="D1252" s="2" t="inlineStr">
        <is>
          <t>FIRTS CAR</t>
        </is>
      </c>
      <c r="E1252" s="3" t="n">
        <v>3</v>
      </c>
      <c r="F1252" s="4" t="n">
        <v>0.3</v>
      </c>
      <c r="G1252" s="5">
        <f>ROUND(E1252*(1+F1252),2)</f>
        <v>3.90</v>
      </c>
      <c r="H1252" s="5">
        <f>ROUND(G1252*NOTAS!$B$2,2)</f>
        <v>2813.25</v>
      </c>
      <c r="I1252" s="6">
        <f>ROUND(G1252*NOTAS!$B$3,0)</f>
        <v>12671</v>
      </c>
      <c r="J1252" s="2" t="n">
        <v>5</v>
      </c>
    </row>
    <row r="1253">
      <c r="A1253" s="2" t="inlineStr">
        <is>
          <t>5PK0970</t>
        </is>
      </c>
      <c r="B1253" s="2" t="inlineStr"/>
      <c r="C1253" s="2" t="inlineStr">
        <is>
          <t>CORREA ALTERNADOR COROLLA 94/02</t>
        </is>
      </c>
      <c r="D1253" s="2" t="inlineStr">
        <is>
          <t>DAYCO</t>
        </is>
      </c>
      <c r="E1253" s="3" t="n">
        <v>7</v>
      </c>
      <c r="F1253" s="4" t="n">
        <v>0.3</v>
      </c>
      <c r="G1253" s="5">
        <f>ROUND(E1253*(1+F1253),2)</f>
        <v>9.10</v>
      </c>
      <c r="H1253" s="5">
        <f>ROUND(G1253*NOTAS!$B$2,2)</f>
        <v>6564.24</v>
      </c>
      <c r="I1253" s="6">
        <f>ROUND(G1253*NOTAS!$B$3,0)</f>
        <v>29565</v>
      </c>
      <c r="J1253" s="2" t="n">
        <v>2</v>
      </c>
    </row>
    <row r="1254">
      <c r="A1254" s="2" t="inlineStr">
        <is>
          <t>5PK0980</t>
        </is>
      </c>
      <c r="B1254" s="2" t="inlineStr"/>
      <c r="C1254" s="2" t="inlineStr">
        <is>
          <t>CORREA ALTERNADOR COROLLA/STARLET</t>
        </is>
      </c>
      <c r="D1254" s="2" t="inlineStr">
        <is>
          <t>DAYCO</t>
        </is>
      </c>
      <c r="E1254" s="3" t="n">
        <v>7</v>
      </c>
      <c r="F1254" s="4" t="n">
        <v>0.3</v>
      </c>
      <c r="G1254" s="5">
        <f>ROUND(E1254*(1+F1254),2)</f>
        <v>9.10</v>
      </c>
      <c r="H1254" s="5">
        <f>ROUND(G1254*NOTAS!$B$2,2)</f>
        <v>6564.24</v>
      </c>
      <c r="I1254" s="6">
        <f>ROUND(G1254*NOTAS!$B$3,0)</f>
        <v>29565</v>
      </c>
      <c r="J1254" s="2" t="n">
        <v>2</v>
      </c>
    </row>
    <row r="1255">
      <c r="A1255" s="2" t="inlineStr">
        <is>
          <t>4PK0900</t>
        </is>
      </c>
      <c r="B1255" s="2" t="inlineStr"/>
      <c r="C1255" s="2" t="inlineStr">
        <is>
          <t>CORREA ALTERNADOR HYUNDAI EXCEL/ACCENT/GETZ</t>
        </is>
      </c>
      <c r="D1255" s="2" t="inlineStr">
        <is>
          <t>DAYCO</t>
        </is>
      </c>
      <c r="E1255" s="3" t="n">
        <v>6</v>
      </c>
      <c r="F1255" s="4" t="n">
        <v>0.3</v>
      </c>
      <c r="G1255" s="5">
        <f>ROUND(E1255*(1+F1255),2)</f>
        <v>7.80</v>
      </c>
      <c r="H1255" s="5">
        <f>ROUND(G1255*NOTAS!$B$2,2)</f>
        <v>5626.50</v>
      </c>
      <c r="I1255" s="6">
        <f>ROUND(G1255*NOTAS!$B$3,0)</f>
        <v>25341</v>
      </c>
      <c r="J1255" s="2" t="n">
        <v>2</v>
      </c>
    </row>
    <row r="1256">
      <c r="A1256" s="2" t="inlineStr">
        <is>
          <t>5PK1005</t>
        </is>
      </c>
      <c r="B1256" s="2" t="inlineStr"/>
      <c r="C1256" s="2" t="inlineStr">
        <is>
          <t>CORREA ALTERNADOR LANOS/ESPERO 1.6</t>
        </is>
      </c>
      <c r="D1256" s="2" t="inlineStr">
        <is>
          <t>DAYCO</t>
        </is>
      </c>
      <c r="E1256" s="3" t="n">
        <v>7</v>
      </c>
      <c r="F1256" s="4" t="n">
        <v>0.3</v>
      </c>
      <c r="G1256" s="5">
        <f>ROUND(E1256*(1+F1256),2)</f>
        <v>9.10</v>
      </c>
      <c r="H1256" s="5">
        <f>ROUND(G1256*NOTAS!$B$2,2)</f>
        <v>6564.24</v>
      </c>
      <c r="I1256" s="6">
        <f>ROUND(G1256*NOTAS!$B$3,0)</f>
        <v>29565</v>
      </c>
      <c r="J1256" s="2" t="n">
        <v>2</v>
      </c>
    </row>
    <row r="1257">
      <c r="A1257" s="2" t="inlineStr">
        <is>
          <t>5PK1008</t>
        </is>
      </c>
      <c r="B1257" s="2" t="inlineStr"/>
      <c r="C1257" s="2" t="inlineStr">
        <is>
          <t>CORREA ALTERNADOR LANOS/ESPERO 1.6</t>
        </is>
      </c>
      <c r="D1257" s="2" t="inlineStr">
        <is>
          <t>ROFAN</t>
        </is>
      </c>
      <c r="E1257" s="3" t="n">
        <v>3</v>
      </c>
      <c r="F1257" s="4" t="n">
        <v>0.3</v>
      </c>
      <c r="G1257" s="5">
        <f>ROUND(E1257*(1+F1257),2)</f>
        <v>3.90</v>
      </c>
      <c r="H1257" s="5">
        <f>ROUND(G1257*NOTAS!$B$2,2)</f>
        <v>2813.25</v>
      </c>
      <c r="I1257" s="6">
        <f>ROUND(G1257*NOTAS!$B$3,0)</f>
        <v>12671</v>
      </c>
      <c r="J1257" s="2" t="n">
        <v>2</v>
      </c>
    </row>
    <row r="1258">
      <c r="A1258" s="2" t="inlineStr">
        <is>
          <t>3PK0715</t>
        </is>
      </c>
      <c r="B1258" s="2" t="inlineStr"/>
      <c r="C1258" s="2" t="inlineStr">
        <is>
          <t>CORREA ALTERNADOR R-19 1.4/CLIO</t>
        </is>
      </c>
      <c r="D1258" s="2" t="inlineStr">
        <is>
          <t>CONTINENTAL</t>
        </is>
      </c>
      <c r="E1258" s="3" t="n">
        <v>3</v>
      </c>
      <c r="F1258" s="4" t="n">
        <v>0.3</v>
      </c>
      <c r="G1258" s="5">
        <f>ROUND(E1258*(1+F1258),2)</f>
        <v>3.90</v>
      </c>
      <c r="H1258" s="5">
        <f>ROUND(G1258*NOTAS!$B$2,2)</f>
        <v>2813.25</v>
      </c>
      <c r="I1258" s="6">
        <f>ROUND(G1258*NOTAS!$B$3,0)</f>
        <v>12671</v>
      </c>
      <c r="J1258" s="2" t="n">
        <v>10</v>
      </c>
    </row>
    <row r="1259">
      <c r="A1259" s="2" t="inlineStr">
        <is>
          <t>3PK0715</t>
        </is>
      </c>
      <c r="B1259" s="2" t="inlineStr">
        <is>
          <t>K030280</t>
        </is>
      </c>
      <c r="C1259" s="2" t="inlineStr">
        <is>
          <t>CORREA ALTERNADOR R-19 1.4/CLIO</t>
        </is>
      </c>
      <c r="D1259" s="2" t="inlineStr">
        <is>
          <t>GATES</t>
        </is>
      </c>
      <c r="E1259" s="3" t="n">
        <v>3</v>
      </c>
      <c r="F1259" s="4" t="n">
        <v>0.3</v>
      </c>
      <c r="G1259" s="5">
        <f>ROUND(E1259*(1+F1259),2)</f>
        <v>3.90</v>
      </c>
      <c r="H1259" s="5">
        <f>ROUND(G1259*NOTAS!$B$2,2)</f>
        <v>2813.25</v>
      </c>
      <c r="I1259" s="6">
        <f>ROUND(G1259*NOTAS!$B$3,0)</f>
        <v>12671</v>
      </c>
      <c r="J1259" s="2" t="n">
        <v>2</v>
      </c>
    </row>
    <row r="1260">
      <c r="A1260" s="2" t="inlineStr">
        <is>
          <t>3PK0735</t>
        </is>
      </c>
      <c r="B1260" s="2" t="inlineStr"/>
      <c r="C1260" s="2" t="inlineStr">
        <is>
          <t>CORREA ALTERNADOR R-TWINGO/CL</t>
        </is>
      </c>
      <c r="D1260" s="2" t="inlineStr">
        <is>
          <t>CONTINENTAL</t>
        </is>
      </c>
      <c r="E1260" s="3" t="n">
        <v>3</v>
      </c>
      <c r="F1260" s="4" t="n">
        <v>0.3</v>
      </c>
      <c r="G1260" s="5">
        <f>ROUND(E1260*(1+F1260),2)</f>
        <v>3.90</v>
      </c>
      <c r="H1260" s="5">
        <f>ROUND(G1260*NOTAS!$B$2,2)</f>
        <v>2813.25</v>
      </c>
      <c r="I1260" s="6">
        <f>ROUND(G1260*NOTAS!$B$3,0)</f>
        <v>12671</v>
      </c>
      <c r="J1260" s="2" t="n">
        <v>3</v>
      </c>
    </row>
    <row r="1261">
      <c r="A1261" s="2" t="inlineStr">
        <is>
          <t>3PK0740</t>
        </is>
      </c>
      <c r="B1261" s="2" t="inlineStr">
        <is>
          <t>K030290</t>
        </is>
      </c>
      <c r="C1261" s="2" t="inlineStr">
        <is>
          <t>CORREA ALTERNADOR R-TWINGO/CL</t>
        </is>
      </c>
      <c r="D1261" s="2" t="inlineStr">
        <is>
          <t>GATES</t>
        </is>
      </c>
      <c r="E1261" s="3" t="n">
        <v>3</v>
      </c>
      <c r="F1261" s="4" t="n">
        <v>0.3</v>
      </c>
      <c r="G1261" s="5">
        <f>ROUND(E1261*(1+F1261),2)</f>
        <v>3.90</v>
      </c>
      <c r="H1261" s="5">
        <f>ROUND(G1261*NOTAS!$B$2,2)</f>
        <v>2813.25</v>
      </c>
      <c r="I1261" s="6">
        <f>ROUND(G1261*NOTAS!$B$3,0)</f>
        <v>12671</v>
      </c>
      <c r="J1261" s="2" t="n">
        <v>3</v>
      </c>
    </row>
    <row r="1262">
      <c r="A1262" s="2" t="inlineStr">
        <is>
          <t>4PK0665</t>
        </is>
      </c>
      <c r="B1262" s="2" t="inlineStr"/>
      <c r="C1262" s="2" t="inlineStr">
        <is>
          <t>CORREA ALTERNADOR SPARK</t>
        </is>
      </c>
      <c r="D1262" s="2" t="inlineStr">
        <is>
          <t>ACDELCO</t>
        </is>
      </c>
      <c r="E1262" s="3" t="n">
        <v>4</v>
      </c>
      <c r="F1262" s="4" t="n">
        <v>0.3</v>
      </c>
      <c r="G1262" s="5">
        <f>ROUND(E1262*(1+F1262),2)</f>
        <v>5.20</v>
      </c>
      <c r="H1262" s="5">
        <f>ROUND(G1262*NOTAS!$B$2,2)</f>
        <v>3751.00</v>
      </c>
      <c r="I1262" s="6">
        <f>ROUND(G1262*NOTAS!$B$3,0)</f>
        <v>16894</v>
      </c>
      <c r="J1262" s="2" t="n">
        <v>1</v>
      </c>
    </row>
    <row r="1263">
      <c r="A1263" s="2" t="inlineStr">
        <is>
          <t>4PK0665</t>
        </is>
      </c>
      <c r="B1263" s="2" t="inlineStr">
        <is>
          <t>96239408</t>
        </is>
      </c>
      <c r="C1263" s="2" t="inlineStr">
        <is>
          <t>CORREA ALTERNADOR SPARK</t>
        </is>
      </c>
      <c r="D1263" s="2" t="inlineStr">
        <is>
          <t>GM</t>
        </is>
      </c>
      <c r="E1263" s="3" t="n">
        <v>4</v>
      </c>
      <c r="F1263" s="4" t="n">
        <v>0.3</v>
      </c>
      <c r="G1263" s="5">
        <f>ROUND(E1263*(1+F1263),2)</f>
        <v>5.20</v>
      </c>
      <c r="H1263" s="5">
        <f>ROUND(G1263*NOTAS!$B$2,2)</f>
        <v>3751.00</v>
      </c>
      <c r="I1263" s="6">
        <f>ROUND(G1263*NOTAS!$B$3,0)</f>
        <v>16894</v>
      </c>
      <c r="J1263" s="2" t="n">
        <v>1</v>
      </c>
    </row>
    <row r="1264">
      <c r="A1264" s="2" t="inlineStr">
        <is>
          <t>4PK0665A</t>
        </is>
      </c>
      <c r="B1264" s="2" t="inlineStr">
        <is>
          <t>89009399</t>
        </is>
      </c>
      <c r="C1264" s="2" t="inlineStr">
        <is>
          <t>CORREA ALTERNADOR SPARK</t>
        </is>
      </c>
      <c r="D1264" s="2" t="inlineStr">
        <is>
          <t>ACDELCO</t>
        </is>
      </c>
      <c r="E1264" s="3" t="n">
        <v>4</v>
      </c>
      <c r="F1264" s="4" t="n">
        <v>0.3</v>
      </c>
      <c r="G1264" s="5">
        <f>ROUND(E1264*(1+F1264),2)</f>
        <v>5.20</v>
      </c>
      <c r="H1264" s="5">
        <f>ROUND(G1264*NOTAS!$B$2,2)</f>
        <v>3751.00</v>
      </c>
      <c r="I1264" s="6">
        <f>ROUND(G1264*NOTAS!$B$3,0)</f>
        <v>16894</v>
      </c>
      <c r="J1264" s="2" t="n">
        <v>3</v>
      </c>
    </row>
    <row r="1265">
      <c r="A1265" s="2" t="inlineStr">
        <is>
          <t>4PK0674</t>
        </is>
      </c>
      <c r="B1265" s="2" t="inlineStr"/>
      <c r="C1265" s="2" t="inlineStr">
        <is>
          <t>CORREA ALTERNADOR SPARK</t>
        </is>
      </c>
      <c r="D1265" s="2" t="inlineStr">
        <is>
          <t>GATES</t>
        </is>
      </c>
      <c r="E1265" s="3" t="n">
        <v>4</v>
      </c>
      <c r="F1265" s="4" t="n">
        <v>0.3</v>
      </c>
      <c r="G1265" s="5">
        <f>ROUND(E1265*(1+F1265),2)</f>
        <v>5.20</v>
      </c>
      <c r="H1265" s="5">
        <f>ROUND(G1265*NOTAS!$B$2,2)</f>
        <v>3751.00</v>
      </c>
      <c r="I1265" s="6">
        <f>ROUND(G1265*NOTAS!$B$3,0)</f>
        <v>16894</v>
      </c>
      <c r="J1265" s="2" t="n">
        <v>2</v>
      </c>
    </row>
    <row r="1266">
      <c r="A1266" s="2" t="inlineStr">
        <is>
          <t>4PK0674</t>
        </is>
      </c>
      <c r="B1266" s="2" t="inlineStr">
        <is>
          <t>K040265</t>
        </is>
      </c>
      <c r="C1266" s="2" t="inlineStr">
        <is>
          <t>CORREA ALTERNADOR SPARK</t>
        </is>
      </c>
      <c r="D1266" s="2" t="inlineStr">
        <is>
          <t>GATES</t>
        </is>
      </c>
      <c r="E1266" s="3" t="n">
        <v>4</v>
      </c>
      <c r="F1266" s="4" t="n">
        <v>0.3</v>
      </c>
      <c r="G1266" s="5">
        <f>ROUND(E1266*(1+F1266),2)</f>
        <v>5.20</v>
      </c>
      <c r="H1266" s="5">
        <f>ROUND(G1266*NOTAS!$B$2,2)</f>
        <v>3751.00</v>
      </c>
      <c r="I1266" s="6">
        <f>ROUND(G1266*NOTAS!$B$3,0)</f>
        <v>16894</v>
      </c>
      <c r="J1266" s="2" t="n">
        <v>2</v>
      </c>
    </row>
    <row r="1267">
      <c r="A1267" s="2" t="inlineStr">
        <is>
          <t>7340</t>
        </is>
      </c>
      <c r="B1267" s="2" t="inlineStr"/>
      <c r="C1267" s="2" t="inlineStr">
        <is>
          <t>CORREA COFBEL UNIVERSAL</t>
        </is>
      </c>
      <c r="D1267" s="2" t="inlineStr">
        <is>
          <t>COFBEL</t>
        </is>
      </c>
      <c r="E1267" s="3" t="n">
        <v>2</v>
      </c>
      <c r="F1267" s="4" t="n">
        <v>0.3</v>
      </c>
      <c r="G1267" s="5">
        <f>ROUND(E1267*(1+F1267),2)</f>
        <v>2.60</v>
      </c>
      <c r="H1267" s="5">
        <f>ROUND(G1267*NOTAS!$B$2,2)</f>
        <v>1875.50</v>
      </c>
      <c r="I1267" s="6">
        <f>ROUND(G1267*NOTAS!$B$3,0)</f>
        <v>8447</v>
      </c>
      <c r="J1267" s="2" t="n">
        <v>1</v>
      </c>
    </row>
    <row r="1268">
      <c r="A1268" s="2" t="inlineStr">
        <is>
          <t>7450</t>
        </is>
      </c>
      <c r="B1268" s="2" t="inlineStr"/>
      <c r="C1268" s="2" t="inlineStr">
        <is>
          <t>CORREA COFBEL UNIVERSAL</t>
        </is>
      </c>
      <c r="D1268" s="2" t="inlineStr">
        <is>
          <t>COFBEL</t>
        </is>
      </c>
      <c r="E1268" s="3" t="n">
        <v>2</v>
      </c>
      <c r="F1268" s="4" t="n">
        <v>0.3</v>
      </c>
      <c r="G1268" s="5">
        <f>ROUND(E1268*(1+F1268),2)</f>
        <v>2.60</v>
      </c>
      <c r="H1268" s="5">
        <f>ROUND(G1268*NOTAS!$B$2,2)</f>
        <v>1875.50</v>
      </c>
      <c r="I1268" s="6">
        <f>ROUND(G1268*NOTAS!$B$3,0)</f>
        <v>8447</v>
      </c>
      <c r="J1268" s="2" t="n">
        <v>3</v>
      </c>
    </row>
    <row r="1269">
      <c r="A1269" s="2" t="inlineStr">
        <is>
          <t>8530</t>
        </is>
      </c>
      <c r="B1269" s="2" t="inlineStr"/>
      <c r="C1269" s="2" t="inlineStr">
        <is>
          <t>CORREA COFBEL UNIVERSAL</t>
        </is>
      </c>
      <c r="D1269" s="2" t="inlineStr">
        <is>
          <t>COFBEL</t>
        </is>
      </c>
      <c r="E1269" s="3" t="n">
        <v>2</v>
      </c>
      <c r="F1269" s="4" t="n">
        <v>0.3</v>
      </c>
      <c r="G1269" s="5">
        <f>ROUND(E1269*(1+F1269),2)</f>
        <v>2.60</v>
      </c>
      <c r="H1269" s="5">
        <f>ROUND(G1269*NOTAS!$B$2,2)</f>
        <v>1875.50</v>
      </c>
      <c r="I1269" s="6">
        <f>ROUND(G1269*NOTAS!$B$3,0)</f>
        <v>8447</v>
      </c>
      <c r="J1269" s="2" t="n">
        <v>1</v>
      </c>
    </row>
    <row r="1270">
      <c r="A1270" s="2" t="inlineStr">
        <is>
          <t>9440</t>
        </is>
      </c>
      <c r="B1270" s="2" t="inlineStr"/>
      <c r="C1270" s="2" t="inlineStr">
        <is>
          <t>CORREA COFBEL UNIVERSAL</t>
        </is>
      </c>
      <c r="D1270" s="2" t="inlineStr">
        <is>
          <t>COFBEL</t>
        </is>
      </c>
      <c r="E1270" s="3" t="n">
        <v>2</v>
      </c>
      <c r="F1270" s="4" t="n">
        <v>0.3</v>
      </c>
      <c r="G1270" s="5">
        <f>ROUND(E1270*(1+F1270),2)</f>
        <v>2.60</v>
      </c>
      <c r="H1270" s="5">
        <f>ROUND(G1270*NOTAS!$B$2,2)</f>
        <v>1875.50</v>
      </c>
      <c r="I1270" s="6">
        <f>ROUND(G1270*NOTAS!$B$3,0)</f>
        <v>8447</v>
      </c>
      <c r="J1270" s="2" t="n">
        <v>2</v>
      </c>
    </row>
    <row r="1271">
      <c r="A1271" s="2" t="inlineStr">
        <is>
          <t>15215</t>
        </is>
      </c>
      <c r="B1271" s="2" t="inlineStr"/>
      <c r="C1271" s="2" t="inlineStr">
        <is>
          <t xml:space="preserve">CORREA DAYCO UNIVERSAL </t>
        </is>
      </c>
      <c r="D1271" s="2" t="inlineStr">
        <is>
          <t>DAYCO</t>
        </is>
      </c>
      <c r="E1271" s="3" t="n">
        <v>3</v>
      </c>
      <c r="F1271" s="4" t="n">
        <v>0.3</v>
      </c>
      <c r="G1271" s="5">
        <f>ROUND(E1271*(1+F1271),2)</f>
        <v>3.90</v>
      </c>
      <c r="H1271" s="5">
        <f>ROUND(G1271*NOTAS!$B$2,2)</f>
        <v>2813.25</v>
      </c>
      <c r="I1271" s="6">
        <f>ROUND(G1271*NOTAS!$B$3,0)</f>
        <v>12671</v>
      </c>
      <c r="J1271" s="2" t="n">
        <v>7</v>
      </c>
    </row>
    <row r="1272">
      <c r="A1272" s="2" t="inlineStr">
        <is>
          <t>15240</t>
        </is>
      </c>
      <c r="B1272" s="2" t="inlineStr"/>
      <c r="C1272" s="2" t="inlineStr">
        <is>
          <t xml:space="preserve">CORREA DAYCO UNIVERSAL </t>
        </is>
      </c>
      <c r="D1272" s="2" t="inlineStr">
        <is>
          <t>DAYCO</t>
        </is>
      </c>
      <c r="E1272" s="3" t="n">
        <v>3</v>
      </c>
      <c r="F1272" s="4" t="n">
        <v>0.3</v>
      </c>
      <c r="G1272" s="5">
        <f>ROUND(E1272*(1+F1272),2)</f>
        <v>3.90</v>
      </c>
      <c r="H1272" s="5">
        <f>ROUND(G1272*NOTAS!$B$2,2)</f>
        <v>2813.25</v>
      </c>
      <c r="I1272" s="6">
        <f>ROUND(G1272*NOTAS!$B$3,0)</f>
        <v>12671</v>
      </c>
      <c r="J1272" s="2" t="n">
        <v>2</v>
      </c>
    </row>
    <row r="1273">
      <c r="A1273" s="2" t="inlineStr">
        <is>
          <t>15250</t>
        </is>
      </c>
      <c r="B1273" s="2" t="inlineStr"/>
      <c r="C1273" s="2" t="inlineStr">
        <is>
          <t xml:space="preserve">CORREA DAYCO UNIVERSAL </t>
        </is>
      </c>
      <c r="D1273" s="2" t="inlineStr">
        <is>
          <t>DAYCO</t>
        </is>
      </c>
      <c r="E1273" s="3" t="n">
        <v>3</v>
      </c>
      <c r="F1273" s="4" t="n">
        <v>0.3</v>
      </c>
      <c r="G1273" s="5">
        <f>ROUND(E1273*(1+F1273),2)</f>
        <v>3.90</v>
      </c>
      <c r="H1273" s="5">
        <f>ROUND(G1273*NOTAS!$B$2,2)</f>
        <v>2813.25</v>
      </c>
      <c r="I1273" s="6">
        <f>ROUND(G1273*NOTAS!$B$3,0)</f>
        <v>12671</v>
      </c>
      <c r="J1273" s="2" t="n">
        <v>2</v>
      </c>
    </row>
    <row r="1274">
      <c r="A1274" s="2" t="inlineStr">
        <is>
          <t>15260</t>
        </is>
      </c>
      <c r="B1274" s="2" t="inlineStr"/>
      <c r="C1274" s="2" t="inlineStr">
        <is>
          <t xml:space="preserve">CORREA DAYCO UNIVERSAL </t>
        </is>
      </c>
      <c r="D1274" s="2" t="inlineStr">
        <is>
          <t>DAYCO</t>
        </is>
      </c>
      <c r="E1274" s="3" t="n">
        <v>3</v>
      </c>
      <c r="F1274" s="4" t="n">
        <v>0.3</v>
      </c>
      <c r="G1274" s="5">
        <f>ROUND(E1274*(1+F1274),2)</f>
        <v>3.90</v>
      </c>
      <c r="H1274" s="5">
        <f>ROUND(G1274*NOTAS!$B$2,2)</f>
        <v>2813.25</v>
      </c>
      <c r="I1274" s="6">
        <f>ROUND(G1274*NOTAS!$B$3,0)</f>
        <v>12671</v>
      </c>
      <c r="J1274" s="2" t="n">
        <v>1</v>
      </c>
    </row>
    <row r="1275">
      <c r="A1275" s="2" t="inlineStr">
        <is>
          <t>15280</t>
        </is>
      </c>
      <c r="B1275" s="2" t="inlineStr"/>
      <c r="C1275" s="2" t="inlineStr">
        <is>
          <t xml:space="preserve">CORREA DAYCO UNIVERSAL </t>
        </is>
      </c>
      <c r="D1275" s="2" t="inlineStr">
        <is>
          <t>DAYCO</t>
        </is>
      </c>
      <c r="E1275" s="3" t="n">
        <v>3</v>
      </c>
      <c r="F1275" s="4" t="n">
        <v>0.3</v>
      </c>
      <c r="G1275" s="5">
        <f>ROUND(E1275*(1+F1275),2)</f>
        <v>3.90</v>
      </c>
      <c r="H1275" s="5">
        <f>ROUND(G1275*NOTAS!$B$2,2)</f>
        <v>2813.25</v>
      </c>
      <c r="I1275" s="6">
        <f>ROUND(G1275*NOTAS!$B$3,0)</f>
        <v>12671</v>
      </c>
      <c r="J1275" s="2" t="n">
        <v>1</v>
      </c>
    </row>
    <row r="1276">
      <c r="A1276" s="2" t="inlineStr">
        <is>
          <t>15290</t>
        </is>
      </c>
      <c r="B1276" s="2" t="inlineStr"/>
      <c r="C1276" s="2" t="inlineStr">
        <is>
          <t xml:space="preserve">CORREA DAYCO UNIVERSAL </t>
        </is>
      </c>
      <c r="D1276" s="2" t="inlineStr">
        <is>
          <t>DAYCO</t>
        </is>
      </c>
      <c r="E1276" s="3" t="n">
        <v>3</v>
      </c>
      <c r="F1276" s="4" t="n">
        <v>0.3</v>
      </c>
      <c r="G1276" s="5">
        <f>ROUND(E1276*(1+F1276),2)</f>
        <v>3.90</v>
      </c>
      <c r="H1276" s="5">
        <f>ROUND(G1276*NOTAS!$B$2,2)</f>
        <v>2813.25</v>
      </c>
      <c r="I1276" s="6">
        <f>ROUND(G1276*NOTAS!$B$3,0)</f>
        <v>12671</v>
      </c>
      <c r="J1276" s="2" t="n">
        <v>4</v>
      </c>
    </row>
    <row r="1277">
      <c r="A1277" s="2" t="inlineStr">
        <is>
          <t>15300</t>
        </is>
      </c>
      <c r="B1277" s="2" t="inlineStr"/>
      <c r="C1277" s="2" t="inlineStr">
        <is>
          <t xml:space="preserve">CORREA DAYCO UNIVERSAL </t>
        </is>
      </c>
      <c r="D1277" s="2" t="inlineStr">
        <is>
          <t>DAYCO</t>
        </is>
      </c>
      <c r="E1277" s="3" t="n">
        <v>3</v>
      </c>
      <c r="F1277" s="4" t="n">
        <v>0.3</v>
      </c>
      <c r="G1277" s="5">
        <f>ROUND(E1277*(1+F1277),2)</f>
        <v>3.90</v>
      </c>
      <c r="H1277" s="5">
        <f>ROUND(G1277*NOTAS!$B$2,2)</f>
        <v>2813.25</v>
      </c>
      <c r="I1277" s="6">
        <f>ROUND(G1277*NOTAS!$B$3,0)</f>
        <v>12671</v>
      </c>
      <c r="J1277" s="2" t="n">
        <v>3</v>
      </c>
    </row>
    <row r="1278">
      <c r="A1278" s="2" t="inlineStr">
        <is>
          <t>15310</t>
        </is>
      </c>
      <c r="B1278" s="2" t="inlineStr"/>
      <c r="C1278" s="2" t="inlineStr">
        <is>
          <t xml:space="preserve">CORREA DAYCO UNIVERSAL </t>
        </is>
      </c>
      <c r="D1278" s="2" t="inlineStr">
        <is>
          <t>DAYCO</t>
        </is>
      </c>
      <c r="E1278" s="3" t="n">
        <v>3</v>
      </c>
      <c r="F1278" s="4" t="n">
        <v>0.3</v>
      </c>
      <c r="G1278" s="5">
        <f>ROUND(E1278*(1+F1278),2)</f>
        <v>3.90</v>
      </c>
      <c r="H1278" s="5">
        <f>ROUND(G1278*NOTAS!$B$2,2)</f>
        <v>2813.25</v>
      </c>
      <c r="I1278" s="6">
        <f>ROUND(G1278*NOTAS!$B$3,0)</f>
        <v>12671</v>
      </c>
      <c r="J1278" s="2" t="n">
        <v>4</v>
      </c>
    </row>
    <row r="1279">
      <c r="A1279" s="2" t="inlineStr">
        <is>
          <t>15320</t>
        </is>
      </c>
      <c r="B1279" s="2" t="inlineStr"/>
      <c r="C1279" s="2" t="inlineStr">
        <is>
          <t xml:space="preserve">CORREA DAYCO UNIVERSAL </t>
        </is>
      </c>
      <c r="D1279" s="2" t="inlineStr">
        <is>
          <t>DAYCO</t>
        </is>
      </c>
      <c r="E1279" s="3" t="n">
        <v>3</v>
      </c>
      <c r="F1279" s="4" t="n">
        <v>0.3</v>
      </c>
      <c r="G1279" s="5">
        <f>ROUND(E1279*(1+F1279),2)</f>
        <v>3.90</v>
      </c>
      <c r="H1279" s="5">
        <f>ROUND(G1279*NOTAS!$B$2,2)</f>
        <v>2813.25</v>
      </c>
      <c r="I1279" s="6">
        <f>ROUND(G1279*NOTAS!$B$3,0)</f>
        <v>12671</v>
      </c>
      <c r="J1279" s="2" t="n">
        <v>2</v>
      </c>
    </row>
    <row r="1280">
      <c r="A1280" s="2" t="inlineStr">
        <is>
          <t>15335</t>
        </is>
      </c>
      <c r="B1280" s="2" t="inlineStr"/>
      <c r="C1280" s="2" t="inlineStr">
        <is>
          <t xml:space="preserve">CORREA DAYCO UNIVERSAL </t>
        </is>
      </c>
      <c r="D1280" s="2" t="inlineStr">
        <is>
          <t>DAYCO</t>
        </is>
      </c>
      <c r="E1280" s="3" t="n">
        <v>3</v>
      </c>
      <c r="F1280" s="4" t="n">
        <v>0.3</v>
      </c>
      <c r="G1280" s="5">
        <f>ROUND(E1280*(1+F1280),2)</f>
        <v>3.90</v>
      </c>
      <c r="H1280" s="5">
        <f>ROUND(G1280*NOTAS!$B$2,2)</f>
        <v>2813.25</v>
      </c>
      <c r="I1280" s="6">
        <f>ROUND(G1280*NOTAS!$B$3,0)</f>
        <v>12671</v>
      </c>
      <c r="J1280" s="2" t="n">
        <v>2</v>
      </c>
    </row>
    <row r="1281">
      <c r="A1281" s="2" t="inlineStr">
        <is>
          <t>15340</t>
        </is>
      </c>
      <c r="B1281" s="2" t="inlineStr"/>
      <c r="C1281" s="2" t="inlineStr">
        <is>
          <t xml:space="preserve">CORREA DAYCO UNIVERSAL </t>
        </is>
      </c>
      <c r="D1281" s="2" t="inlineStr">
        <is>
          <t>DAYCO</t>
        </is>
      </c>
      <c r="E1281" s="3" t="n">
        <v>3</v>
      </c>
      <c r="F1281" s="4" t="n">
        <v>0.3</v>
      </c>
      <c r="G1281" s="5">
        <f>ROUND(E1281*(1+F1281),2)</f>
        <v>3.90</v>
      </c>
      <c r="H1281" s="5">
        <f>ROUND(G1281*NOTAS!$B$2,2)</f>
        <v>2813.25</v>
      </c>
      <c r="I1281" s="6">
        <f>ROUND(G1281*NOTAS!$B$3,0)</f>
        <v>12671</v>
      </c>
      <c r="J1281" s="2" t="n">
        <v>4</v>
      </c>
    </row>
    <row r="1282">
      <c r="A1282" s="2" t="inlineStr">
        <is>
          <t>15350</t>
        </is>
      </c>
      <c r="B1282" s="2" t="inlineStr"/>
      <c r="C1282" s="2" t="inlineStr">
        <is>
          <t xml:space="preserve">CORREA DAYCO UNIVERSAL </t>
        </is>
      </c>
      <c r="D1282" s="2" t="inlineStr">
        <is>
          <t>DAYCO</t>
        </is>
      </c>
      <c r="E1282" s="3" t="n">
        <v>3</v>
      </c>
      <c r="F1282" s="4" t="n">
        <v>0.3</v>
      </c>
      <c r="G1282" s="5">
        <f>ROUND(E1282*(1+F1282),2)</f>
        <v>3.90</v>
      </c>
      <c r="H1282" s="5">
        <f>ROUND(G1282*NOTAS!$B$2,2)</f>
        <v>2813.25</v>
      </c>
      <c r="I1282" s="6">
        <f>ROUND(G1282*NOTAS!$B$3,0)</f>
        <v>12671</v>
      </c>
      <c r="J1282" s="2" t="n">
        <v>2</v>
      </c>
    </row>
    <row r="1283">
      <c r="A1283" s="2" t="inlineStr">
        <is>
          <t>15375</t>
        </is>
      </c>
      <c r="B1283" s="2" t="inlineStr"/>
      <c r="C1283" s="2" t="inlineStr">
        <is>
          <t xml:space="preserve">CORREA DAYCO UNIVERSAL </t>
        </is>
      </c>
      <c r="D1283" s="2" t="inlineStr">
        <is>
          <t>DAYCO</t>
        </is>
      </c>
      <c r="E1283" s="3" t="n">
        <v>3</v>
      </c>
      <c r="F1283" s="4" t="n">
        <v>0.3</v>
      </c>
      <c r="G1283" s="5">
        <f>ROUND(E1283*(1+F1283),2)</f>
        <v>3.90</v>
      </c>
      <c r="H1283" s="5">
        <f>ROUND(G1283*NOTAS!$B$2,2)</f>
        <v>2813.25</v>
      </c>
      <c r="I1283" s="6">
        <f>ROUND(G1283*NOTAS!$B$3,0)</f>
        <v>12671</v>
      </c>
      <c r="J1283" s="2" t="n">
        <v>1</v>
      </c>
    </row>
    <row r="1284">
      <c r="A1284" s="2" t="inlineStr">
        <is>
          <t>15380</t>
        </is>
      </c>
      <c r="B1284" s="2" t="inlineStr"/>
      <c r="C1284" s="2" t="inlineStr">
        <is>
          <t xml:space="preserve">CORREA DAYCO UNIVERSAL </t>
        </is>
      </c>
      <c r="D1284" s="2" t="inlineStr">
        <is>
          <t>DAYCO</t>
        </is>
      </c>
      <c r="E1284" s="3" t="n">
        <v>3</v>
      </c>
      <c r="F1284" s="4" t="n">
        <v>0.3</v>
      </c>
      <c r="G1284" s="5">
        <f>ROUND(E1284*(1+F1284),2)</f>
        <v>3.90</v>
      </c>
      <c r="H1284" s="5">
        <f>ROUND(G1284*NOTAS!$B$2,2)</f>
        <v>2813.25</v>
      </c>
      <c r="I1284" s="6">
        <f>ROUND(G1284*NOTAS!$B$3,0)</f>
        <v>12671</v>
      </c>
      <c r="J1284" s="2" t="n">
        <v>3</v>
      </c>
    </row>
    <row r="1285">
      <c r="A1285" s="2" t="inlineStr">
        <is>
          <t>15390</t>
        </is>
      </c>
      <c r="B1285" s="2" t="inlineStr"/>
      <c r="C1285" s="2" t="inlineStr">
        <is>
          <t xml:space="preserve">CORREA DAYCO UNIVERSAL </t>
        </is>
      </c>
      <c r="D1285" s="2" t="inlineStr">
        <is>
          <t>DAYCO</t>
        </is>
      </c>
      <c r="E1285" s="3" t="n">
        <v>3</v>
      </c>
      <c r="F1285" s="4" t="n">
        <v>0.3</v>
      </c>
      <c r="G1285" s="5">
        <f>ROUND(E1285*(1+F1285),2)</f>
        <v>3.90</v>
      </c>
      <c r="H1285" s="5">
        <f>ROUND(G1285*NOTAS!$B$2,2)</f>
        <v>2813.25</v>
      </c>
      <c r="I1285" s="6">
        <f>ROUND(G1285*NOTAS!$B$3,0)</f>
        <v>12671</v>
      </c>
      <c r="J1285" s="2" t="n">
        <v>2</v>
      </c>
    </row>
    <row r="1286">
      <c r="A1286" s="2" t="inlineStr">
        <is>
          <t>15400</t>
        </is>
      </c>
      <c r="B1286" s="2" t="inlineStr"/>
      <c r="C1286" s="2" t="inlineStr">
        <is>
          <t xml:space="preserve">CORREA DAYCO UNIVERSAL </t>
        </is>
      </c>
      <c r="D1286" s="2" t="inlineStr">
        <is>
          <t>DAYCO</t>
        </is>
      </c>
      <c r="E1286" s="3" t="n">
        <v>3</v>
      </c>
      <c r="F1286" s="4" t="n">
        <v>0.3</v>
      </c>
      <c r="G1286" s="5">
        <f>ROUND(E1286*(1+F1286),2)</f>
        <v>3.90</v>
      </c>
      <c r="H1286" s="5">
        <f>ROUND(G1286*NOTAS!$B$2,2)</f>
        <v>2813.25</v>
      </c>
      <c r="I1286" s="6">
        <f>ROUND(G1286*NOTAS!$B$3,0)</f>
        <v>12671</v>
      </c>
      <c r="J1286" s="2" t="n">
        <v>5</v>
      </c>
    </row>
    <row r="1287">
      <c r="A1287" s="2" t="inlineStr">
        <is>
          <t>15410</t>
        </is>
      </c>
      <c r="B1287" s="2" t="inlineStr"/>
      <c r="C1287" s="2" t="inlineStr">
        <is>
          <t xml:space="preserve">CORREA DAYCO UNIVERSAL </t>
        </is>
      </c>
      <c r="D1287" s="2" t="inlineStr">
        <is>
          <t>DAYCO</t>
        </is>
      </c>
      <c r="E1287" s="3" t="n">
        <v>3</v>
      </c>
      <c r="F1287" s="4" t="n">
        <v>0.3</v>
      </c>
      <c r="G1287" s="5">
        <f>ROUND(E1287*(1+F1287),2)</f>
        <v>3.90</v>
      </c>
      <c r="H1287" s="5">
        <f>ROUND(G1287*NOTAS!$B$2,2)</f>
        <v>2813.25</v>
      </c>
      <c r="I1287" s="6">
        <f>ROUND(G1287*NOTAS!$B$3,0)</f>
        <v>12671</v>
      </c>
      <c r="J1287" s="2" t="n">
        <v>1</v>
      </c>
    </row>
    <row r="1288">
      <c r="A1288" s="2" t="inlineStr">
        <is>
          <t>15415</t>
        </is>
      </c>
      <c r="B1288" s="2" t="inlineStr"/>
      <c r="C1288" s="2" t="inlineStr">
        <is>
          <t xml:space="preserve">CORREA DAYCO UNIVERSAL </t>
        </is>
      </c>
      <c r="D1288" s="2" t="inlineStr">
        <is>
          <t>DAYCO</t>
        </is>
      </c>
      <c r="E1288" s="3" t="n">
        <v>3</v>
      </c>
      <c r="F1288" s="4" t="n">
        <v>0.3</v>
      </c>
      <c r="G1288" s="5">
        <f>ROUND(E1288*(1+F1288),2)</f>
        <v>3.90</v>
      </c>
      <c r="H1288" s="5">
        <f>ROUND(G1288*NOTAS!$B$2,2)</f>
        <v>2813.25</v>
      </c>
      <c r="I1288" s="6">
        <f>ROUND(G1288*NOTAS!$B$3,0)</f>
        <v>12671</v>
      </c>
      <c r="J1288" s="2" t="n">
        <v>2</v>
      </c>
    </row>
    <row r="1289">
      <c r="A1289" s="2" t="inlineStr">
        <is>
          <t>15420</t>
        </is>
      </c>
      <c r="B1289" s="2" t="inlineStr"/>
      <c r="C1289" s="2" t="inlineStr">
        <is>
          <t xml:space="preserve">CORREA DAYCO UNIVERSAL </t>
        </is>
      </c>
      <c r="D1289" s="2" t="inlineStr">
        <is>
          <t>DAYCO</t>
        </is>
      </c>
      <c r="E1289" s="3" t="n">
        <v>3</v>
      </c>
      <c r="F1289" s="4" t="n">
        <v>0.3</v>
      </c>
      <c r="G1289" s="5">
        <f>ROUND(E1289*(1+F1289),2)</f>
        <v>3.90</v>
      </c>
      <c r="H1289" s="5">
        <f>ROUND(G1289*NOTAS!$B$2,2)</f>
        <v>2813.25</v>
      </c>
      <c r="I1289" s="6">
        <f>ROUND(G1289*NOTAS!$B$3,0)</f>
        <v>12671</v>
      </c>
      <c r="J1289" s="2" t="n">
        <v>7</v>
      </c>
    </row>
    <row r="1290">
      <c r="A1290" s="2" t="inlineStr">
        <is>
          <t>15435</t>
        </is>
      </c>
      <c r="B1290" s="2" t="inlineStr"/>
      <c r="C1290" s="2" t="inlineStr">
        <is>
          <t xml:space="preserve">CORREA DAYCO UNIVERSAL </t>
        </is>
      </c>
      <c r="D1290" s="2" t="inlineStr">
        <is>
          <t>DAYCO</t>
        </is>
      </c>
      <c r="E1290" s="3" t="n">
        <v>3</v>
      </c>
      <c r="F1290" s="4" t="n">
        <v>0.3</v>
      </c>
      <c r="G1290" s="5">
        <f>ROUND(E1290*(1+F1290),2)</f>
        <v>3.90</v>
      </c>
      <c r="H1290" s="5">
        <f>ROUND(G1290*NOTAS!$B$2,2)</f>
        <v>2813.25</v>
      </c>
      <c r="I1290" s="6">
        <f>ROUND(G1290*NOTAS!$B$3,0)</f>
        <v>12671</v>
      </c>
      <c r="J1290" s="2" t="n">
        <v>3</v>
      </c>
    </row>
    <row r="1291">
      <c r="A1291" s="2" t="inlineStr">
        <is>
          <t>15440</t>
        </is>
      </c>
      <c r="B1291" s="2" t="inlineStr"/>
      <c r="C1291" s="2" t="inlineStr">
        <is>
          <t xml:space="preserve">CORREA DAYCO UNIVERSAL </t>
        </is>
      </c>
      <c r="D1291" s="2" t="inlineStr">
        <is>
          <t>DAYCO</t>
        </is>
      </c>
      <c r="E1291" s="3" t="n">
        <v>3</v>
      </c>
      <c r="F1291" s="4" t="n">
        <v>0.3</v>
      </c>
      <c r="G1291" s="5">
        <f>ROUND(E1291*(1+F1291),2)</f>
        <v>3.90</v>
      </c>
      <c r="H1291" s="5">
        <f>ROUND(G1291*NOTAS!$B$2,2)</f>
        <v>2813.25</v>
      </c>
      <c r="I1291" s="6">
        <f>ROUND(G1291*NOTAS!$B$3,0)</f>
        <v>12671</v>
      </c>
      <c r="J1291" s="2" t="n">
        <v>1</v>
      </c>
    </row>
    <row r="1292">
      <c r="A1292" s="2" t="inlineStr">
        <is>
          <t>15445</t>
        </is>
      </c>
      <c r="B1292" s="2" t="inlineStr"/>
      <c r="C1292" s="2" t="inlineStr">
        <is>
          <t xml:space="preserve">CORREA DAYCO UNIVERSAL </t>
        </is>
      </c>
      <c r="D1292" s="2" t="inlineStr">
        <is>
          <t>DAYCO</t>
        </is>
      </c>
      <c r="E1292" s="3" t="n">
        <v>3</v>
      </c>
      <c r="F1292" s="4" t="n">
        <v>0.3</v>
      </c>
      <c r="G1292" s="5">
        <f>ROUND(E1292*(1+F1292),2)</f>
        <v>3.90</v>
      </c>
      <c r="H1292" s="5">
        <f>ROUND(G1292*NOTAS!$B$2,2)</f>
        <v>2813.25</v>
      </c>
      <c r="I1292" s="6">
        <f>ROUND(G1292*NOTAS!$B$3,0)</f>
        <v>12671</v>
      </c>
      <c r="J1292" s="2" t="n">
        <v>9</v>
      </c>
    </row>
    <row r="1293">
      <c r="A1293" s="2" t="inlineStr">
        <is>
          <t>15460</t>
        </is>
      </c>
      <c r="B1293" s="2" t="inlineStr"/>
      <c r="C1293" s="2" t="inlineStr">
        <is>
          <t xml:space="preserve">CORREA DAYCO UNIVERSAL </t>
        </is>
      </c>
      <c r="D1293" s="2" t="inlineStr">
        <is>
          <t>DAYCO</t>
        </is>
      </c>
      <c r="E1293" s="3" t="n">
        <v>3</v>
      </c>
      <c r="F1293" s="4" t="n">
        <v>0.3</v>
      </c>
      <c r="G1293" s="5">
        <f>ROUND(E1293*(1+F1293),2)</f>
        <v>3.90</v>
      </c>
      <c r="H1293" s="5">
        <f>ROUND(G1293*NOTAS!$B$2,2)</f>
        <v>2813.25</v>
      </c>
      <c r="I1293" s="6">
        <f>ROUND(G1293*NOTAS!$B$3,0)</f>
        <v>12671</v>
      </c>
      <c r="J1293" s="2" t="n">
        <v>2</v>
      </c>
    </row>
    <row r="1294">
      <c r="A1294" s="2" t="inlineStr">
        <is>
          <t>15465</t>
        </is>
      </c>
      <c r="B1294" s="2" t="inlineStr"/>
      <c r="C1294" s="2" t="inlineStr">
        <is>
          <t xml:space="preserve">CORREA DAYCO UNIVERSAL </t>
        </is>
      </c>
      <c r="D1294" s="2" t="inlineStr">
        <is>
          <t>DAYCO</t>
        </is>
      </c>
      <c r="E1294" s="3" t="n">
        <v>3</v>
      </c>
      <c r="F1294" s="4" t="n">
        <v>0.3</v>
      </c>
      <c r="G1294" s="5">
        <f>ROUND(E1294*(1+F1294),2)</f>
        <v>3.90</v>
      </c>
      <c r="H1294" s="5">
        <f>ROUND(G1294*NOTAS!$B$2,2)</f>
        <v>2813.25</v>
      </c>
      <c r="I1294" s="6">
        <f>ROUND(G1294*NOTAS!$B$3,0)</f>
        <v>12671</v>
      </c>
      <c r="J1294" s="2" t="n">
        <v>2</v>
      </c>
    </row>
    <row r="1295">
      <c r="A1295" s="2" t="inlineStr">
        <is>
          <t>15470</t>
        </is>
      </c>
      <c r="B1295" s="2" t="inlineStr"/>
      <c r="C1295" s="2" t="inlineStr">
        <is>
          <t xml:space="preserve">CORREA DAYCO UNIVERSAL </t>
        </is>
      </c>
      <c r="D1295" s="2" t="inlineStr">
        <is>
          <t>DAYCO</t>
        </is>
      </c>
      <c r="E1295" s="3" t="n">
        <v>4</v>
      </c>
      <c r="F1295" s="4" t="n">
        <v>0.3</v>
      </c>
      <c r="G1295" s="5">
        <f>ROUND(E1295*(1+F1295),2)</f>
        <v>5.20</v>
      </c>
      <c r="H1295" s="5">
        <f>ROUND(G1295*NOTAS!$B$2,2)</f>
        <v>3751.00</v>
      </c>
      <c r="I1295" s="6">
        <f>ROUND(G1295*NOTAS!$B$3,0)</f>
        <v>16894</v>
      </c>
      <c r="J1295" s="2" t="n">
        <v>2</v>
      </c>
    </row>
    <row r="1296">
      <c r="A1296" s="2" t="inlineStr">
        <is>
          <t>15480</t>
        </is>
      </c>
      <c r="B1296" s="2" t="inlineStr"/>
      <c r="C1296" s="2" t="inlineStr">
        <is>
          <t xml:space="preserve">CORREA DAYCO UNIVERSAL </t>
        </is>
      </c>
      <c r="D1296" s="2" t="inlineStr">
        <is>
          <t>DAYCO</t>
        </is>
      </c>
      <c r="E1296" s="3" t="n">
        <v>4</v>
      </c>
      <c r="F1296" s="4" t="n">
        <v>0.3</v>
      </c>
      <c r="G1296" s="5">
        <f>ROUND(E1296*(1+F1296),2)</f>
        <v>5.20</v>
      </c>
      <c r="H1296" s="5">
        <f>ROUND(G1296*NOTAS!$B$2,2)</f>
        <v>3751.00</v>
      </c>
      <c r="I1296" s="6">
        <f>ROUND(G1296*NOTAS!$B$3,0)</f>
        <v>16894</v>
      </c>
      <c r="J1296" s="2" t="n">
        <v>3</v>
      </c>
    </row>
    <row r="1297">
      <c r="A1297" s="2" t="inlineStr">
        <is>
          <t>15490</t>
        </is>
      </c>
      <c r="B1297" s="2" t="inlineStr"/>
      <c r="C1297" s="2" t="inlineStr">
        <is>
          <t xml:space="preserve">CORREA DAYCO UNIVERSAL </t>
        </is>
      </c>
      <c r="D1297" s="2" t="inlineStr">
        <is>
          <t>DAYCO</t>
        </is>
      </c>
      <c r="E1297" s="3" t="n">
        <v>4</v>
      </c>
      <c r="F1297" s="4" t="n">
        <v>0.3</v>
      </c>
      <c r="G1297" s="5">
        <f>ROUND(E1297*(1+F1297),2)</f>
        <v>5.20</v>
      </c>
      <c r="H1297" s="5">
        <f>ROUND(G1297*NOTAS!$B$2,2)</f>
        <v>3751.00</v>
      </c>
      <c r="I1297" s="6">
        <f>ROUND(G1297*NOTAS!$B$3,0)</f>
        <v>16894</v>
      </c>
      <c r="J1297" s="2" t="n">
        <v>2</v>
      </c>
    </row>
    <row r="1298">
      <c r="A1298" s="2" t="inlineStr">
        <is>
          <t>15500</t>
        </is>
      </c>
      <c r="B1298" s="2" t="inlineStr"/>
      <c r="C1298" s="2" t="inlineStr">
        <is>
          <t xml:space="preserve">CORREA DAYCO UNIVERSAL </t>
        </is>
      </c>
      <c r="D1298" s="2" t="inlineStr">
        <is>
          <t>DAYCO</t>
        </is>
      </c>
      <c r="E1298" s="3" t="n">
        <v>4</v>
      </c>
      <c r="F1298" s="4" t="n">
        <v>0.3</v>
      </c>
      <c r="G1298" s="5">
        <f>ROUND(E1298*(1+F1298),2)</f>
        <v>5.20</v>
      </c>
      <c r="H1298" s="5">
        <f>ROUND(G1298*NOTAS!$B$2,2)</f>
        <v>3751.00</v>
      </c>
      <c r="I1298" s="6">
        <f>ROUND(G1298*NOTAS!$B$3,0)</f>
        <v>16894</v>
      </c>
      <c r="J1298" s="2" t="n">
        <v>2</v>
      </c>
    </row>
    <row r="1299">
      <c r="A1299" s="2" t="inlineStr">
        <is>
          <t>15510</t>
        </is>
      </c>
      <c r="B1299" s="2" t="inlineStr"/>
      <c r="C1299" s="2" t="inlineStr">
        <is>
          <t xml:space="preserve">CORREA DAYCO UNIVERSAL </t>
        </is>
      </c>
      <c r="D1299" s="2" t="inlineStr">
        <is>
          <t>DAYCO</t>
        </is>
      </c>
      <c r="E1299" s="3" t="n">
        <v>4</v>
      </c>
      <c r="F1299" s="4" t="n">
        <v>0.3</v>
      </c>
      <c r="G1299" s="5">
        <f>ROUND(E1299*(1+F1299),2)</f>
        <v>5.20</v>
      </c>
      <c r="H1299" s="5">
        <f>ROUND(G1299*NOTAS!$B$2,2)</f>
        <v>3751.00</v>
      </c>
      <c r="I1299" s="6">
        <f>ROUND(G1299*NOTAS!$B$3,0)</f>
        <v>16894</v>
      </c>
      <c r="J1299" s="2" t="n">
        <v>2</v>
      </c>
    </row>
    <row r="1300">
      <c r="A1300" s="2" t="inlineStr">
        <is>
          <t>15530</t>
        </is>
      </c>
      <c r="B1300" s="2" t="inlineStr"/>
      <c r="C1300" s="2" t="inlineStr">
        <is>
          <t xml:space="preserve">CORREA DAYCO UNIVERSAL </t>
        </is>
      </c>
      <c r="D1300" s="2" t="inlineStr">
        <is>
          <t>DAYCO</t>
        </is>
      </c>
      <c r="E1300" s="3" t="n">
        <v>4</v>
      </c>
      <c r="F1300" s="4" t="n">
        <v>0.3</v>
      </c>
      <c r="G1300" s="5">
        <f>ROUND(E1300*(1+F1300),2)</f>
        <v>5.20</v>
      </c>
      <c r="H1300" s="5">
        <f>ROUND(G1300*NOTAS!$B$2,2)</f>
        <v>3751.00</v>
      </c>
      <c r="I1300" s="6">
        <f>ROUND(G1300*NOTAS!$B$3,0)</f>
        <v>16894</v>
      </c>
      <c r="J1300" s="2" t="n">
        <v>19</v>
      </c>
    </row>
    <row r="1301">
      <c r="A1301" s="2" t="inlineStr">
        <is>
          <t>17300</t>
        </is>
      </c>
      <c r="B1301" s="2" t="inlineStr"/>
      <c r="C1301" s="2" t="inlineStr">
        <is>
          <t xml:space="preserve">CORREA DAYCO UNIVERSAL </t>
        </is>
      </c>
      <c r="D1301" s="2" t="inlineStr">
        <is>
          <t>DAYCO</t>
        </is>
      </c>
      <c r="E1301" s="3" t="n">
        <v>4</v>
      </c>
      <c r="F1301" s="4" t="n">
        <v>0.3</v>
      </c>
      <c r="G1301" s="5">
        <f>ROUND(E1301*(1+F1301),2)</f>
        <v>5.20</v>
      </c>
      <c r="H1301" s="5">
        <f>ROUND(G1301*NOTAS!$B$2,2)</f>
        <v>3751.00</v>
      </c>
      <c r="I1301" s="6">
        <f>ROUND(G1301*NOTAS!$B$3,0)</f>
        <v>16894</v>
      </c>
      <c r="J1301" s="2" t="n">
        <v>18</v>
      </c>
    </row>
    <row r="1302">
      <c r="A1302" s="2" t="inlineStr">
        <is>
          <t>17315</t>
        </is>
      </c>
      <c r="B1302" s="2" t="inlineStr"/>
      <c r="C1302" s="2" t="inlineStr">
        <is>
          <t xml:space="preserve">CORREA DAYCO UNIVERSAL </t>
        </is>
      </c>
      <c r="D1302" s="2" t="inlineStr">
        <is>
          <t>DAYCO</t>
        </is>
      </c>
      <c r="E1302" s="3" t="n">
        <v>4</v>
      </c>
      <c r="F1302" s="4" t="n">
        <v>0.3</v>
      </c>
      <c r="G1302" s="5">
        <f>ROUND(E1302*(1+F1302),2)</f>
        <v>5.20</v>
      </c>
      <c r="H1302" s="5">
        <f>ROUND(G1302*NOTAS!$B$2,2)</f>
        <v>3751.00</v>
      </c>
      <c r="I1302" s="6">
        <f>ROUND(G1302*NOTAS!$B$3,0)</f>
        <v>16894</v>
      </c>
      <c r="J1302" s="2" t="n">
        <v>3</v>
      </c>
    </row>
    <row r="1303">
      <c r="A1303" s="2" t="inlineStr">
        <is>
          <t>17320</t>
        </is>
      </c>
      <c r="B1303" s="2" t="inlineStr"/>
      <c r="C1303" s="2" t="inlineStr">
        <is>
          <t xml:space="preserve">CORREA DAYCO UNIVERSAL </t>
        </is>
      </c>
      <c r="D1303" s="2" t="inlineStr">
        <is>
          <t>DAYCO</t>
        </is>
      </c>
      <c r="E1303" s="3" t="n">
        <v>4</v>
      </c>
      <c r="F1303" s="4" t="n">
        <v>0.3</v>
      </c>
      <c r="G1303" s="5">
        <f>ROUND(E1303*(1+F1303),2)</f>
        <v>5.20</v>
      </c>
      <c r="H1303" s="5">
        <f>ROUND(G1303*NOTAS!$B$2,2)</f>
        <v>3751.00</v>
      </c>
      <c r="I1303" s="6">
        <f>ROUND(G1303*NOTAS!$B$3,0)</f>
        <v>16894</v>
      </c>
      <c r="J1303" s="2" t="n">
        <v>3</v>
      </c>
    </row>
    <row r="1304">
      <c r="A1304" s="2" t="inlineStr">
        <is>
          <t>17380</t>
        </is>
      </c>
      <c r="B1304" s="2" t="inlineStr"/>
      <c r="C1304" s="2" t="inlineStr">
        <is>
          <t xml:space="preserve">CORREA DAYCO UNIVERSAL </t>
        </is>
      </c>
      <c r="D1304" s="2" t="inlineStr">
        <is>
          <t>DAYCO</t>
        </is>
      </c>
      <c r="E1304" s="3" t="n">
        <v>4</v>
      </c>
      <c r="F1304" s="4" t="n">
        <v>0.3</v>
      </c>
      <c r="G1304" s="5">
        <f>ROUND(E1304*(1+F1304),2)</f>
        <v>5.20</v>
      </c>
      <c r="H1304" s="5">
        <f>ROUND(G1304*NOTAS!$B$2,2)</f>
        <v>3751.00</v>
      </c>
      <c r="I1304" s="6">
        <f>ROUND(G1304*NOTAS!$B$3,0)</f>
        <v>16894</v>
      </c>
      <c r="J1304" s="2" t="n">
        <v>6</v>
      </c>
    </row>
    <row r="1305">
      <c r="A1305" s="2" t="inlineStr">
        <is>
          <t>17390</t>
        </is>
      </c>
      <c r="B1305" s="2" t="inlineStr"/>
      <c r="C1305" s="2" t="inlineStr">
        <is>
          <t xml:space="preserve">CORREA DAYCO UNIVERSAL </t>
        </is>
      </c>
      <c r="D1305" s="2" t="inlineStr">
        <is>
          <t>DAYCO</t>
        </is>
      </c>
      <c r="E1305" s="3" t="n">
        <v>4</v>
      </c>
      <c r="F1305" s="4" t="n">
        <v>0.3</v>
      </c>
      <c r="G1305" s="5">
        <f>ROUND(E1305*(1+F1305),2)</f>
        <v>5.20</v>
      </c>
      <c r="H1305" s="5">
        <f>ROUND(G1305*NOTAS!$B$2,2)</f>
        <v>3751.00</v>
      </c>
      <c r="I1305" s="6">
        <f>ROUND(G1305*NOTAS!$B$3,0)</f>
        <v>16894</v>
      </c>
      <c r="J1305" s="2" t="n">
        <v>4</v>
      </c>
    </row>
    <row r="1306">
      <c r="A1306" s="2" t="inlineStr">
        <is>
          <t>17400</t>
        </is>
      </c>
      <c r="B1306" s="2" t="inlineStr"/>
      <c r="C1306" s="2" t="inlineStr">
        <is>
          <t xml:space="preserve">CORREA DAYCO UNIVERSAL </t>
        </is>
      </c>
      <c r="D1306" s="2" t="inlineStr">
        <is>
          <t>DAYCO</t>
        </is>
      </c>
      <c r="E1306" s="3" t="n">
        <v>4.5</v>
      </c>
      <c r="F1306" s="4" t="n">
        <v>0.3</v>
      </c>
      <c r="G1306" s="5">
        <f>ROUND(E1306*(1+F1306),2)</f>
        <v>5.85</v>
      </c>
      <c r="H1306" s="5">
        <f>ROUND(G1306*NOTAS!$B$2,2)</f>
        <v>4219.87</v>
      </c>
      <c r="I1306" s="6">
        <f>ROUND(G1306*NOTAS!$B$3,0)</f>
        <v>19006</v>
      </c>
      <c r="J1306" s="2" t="n">
        <v>2</v>
      </c>
    </row>
    <row r="1307">
      <c r="A1307" s="2" t="inlineStr">
        <is>
          <t>17430</t>
        </is>
      </c>
      <c r="B1307" s="2" t="inlineStr"/>
      <c r="C1307" s="2" t="inlineStr">
        <is>
          <t xml:space="preserve">CORREA DAYCO UNIVERSAL </t>
        </is>
      </c>
      <c r="D1307" s="2" t="inlineStr">
        <is>
          <t>DAYCO</t>
        </is>
      </c>
      <c r="E1307" s="3" t="n">
        <v>4.5</v>
      </c>
      <c r="F1307" s="4" t="n">
        <v>0.3</v>
      </c>
      <c r="G1307" s="5">
        <f>ROUND(E1307*(1+F1307),2)</f>
        <v>5.85</v>
      </c>
      <c r="H1307" s="5">
        <f>ROUND(G1307*NOTAS!$B$2,2)</f>
        <v>4219.87</v>
      </c>
      <c r="I1307" s="6">
        <f>ROUND(G1307*NOTAS!$B$3,0)</f>
        <v>19006</v>
      </c>
      <c r="J1307" s="2" t="n">
        <v>1</v>
      </c>
    </row>
    <row r="1308">
      <c r="A1308" s="2" t="inlineStr">
        <is>
          <t>17460</t>
        </is>
      </c>
      <c r="B1308" s="2" t="inlineStr"/>
      <c r="C1308" s="2" t="inlineStr">
        <is>
          <t xml:space="preserve">CORREA DAYCO UNIVERSAL </t>
        </is>
      </c>
      <c r="D1308" s="2" t="inlineStr">
        <is>
          <t>DAYCO</t>
        </is>
      </c>
      <c r="E1308" s="3" t="n">
        <v>4.5</v>
      </c>
      <c r="F1308" s="4" t="n">
        <v>0.3</v>
      </c>
      <c r="G1308" s="5">
        <f>ROUND(E1308*(1+F1308),2)</f>
        <v>5.85</v>
      </c>
      <c r="H1308" s="5">
        <f>ROUND(G1308*NOTAS!$B$2,2)</f>
        <v>4219.87</v>
      </c>
      <c r="I1308" s="6">
        <f>ROUND(G1308*NOTAS!$B$3,0)</f>
        <v>19006</v>
      </c>
      <c r="J1308" s="2" t="n">
        <v>7</v>
      </c>
    </row>
    <row r="1309">
      <c r="A1309" s="2" t="inlineStr">
        <is>
          <t>17560</t>
        </is>
      </c>
      <c r="B1309" s="2" t="inlineStr"/>
      <c r="C1309" s="2" t="inlineStr">
        <is>
          <t xml:space="preserve">CORREA DAYCO UNIVERSAL </t>
        </is>
      </c>
      <c r="D1309" s="2" t="inlineStr">
        <is>
          <t>DAYCO</t>
        </is>
      </c>
      <c r="E1309" s="3" t="n">
        <v>4.5</v>
      </c>
      <c r="F1309" s="4" t="n">
        <v>0.3</v>
      </c>
      <c r="G1309" s="5">
        <f>ROUND(E1309*(1+F1309),2)</f>
        <v>5.85</v>
      </c>
      <c r="H1309" s="5">
        <f>ROUND(G1309*NOTAS!$B$2,2)</f>
        <v>4219.87</v>
      </c>
      <c r="I1309" s="6">
        <f>ROUND(G1309*NOTAS!$B$3,0)</f>
        <v>19006</v>
      </c>
      <c r="J1309" s="2" t="n">
        <v>2</v>
      </c>
    </row>
    <row r="1310">
      <c r="A1310" s="2" t="inlineStr">
        <is>
          <t>T1660</t>
        </is>
      </c>
      <c r="B1310" s="2" t="inlineStr"/>
      <c r="C1310" s="2" t="inlineStr">
        <is>
          <t>CORREA DE TIEMPO ARAUCA/X1 167DT</t>
        </is>
      </c>
      <c r="D1310" s="2" t="inlineStr">
        <is>
          <t>GATES</t>
        </is>
      </c>
      <c r="E1310" s="3" t="n">
        <v>15.3846</v>
      </c>
      <c r="F1310" s="4" t="n">
        <v>0.3</v>
      </c>
      <c r="G1310" s="5">
        <f>ROUND(E1310*(1+F1310),2)</f>
        <v>20.00</v>
      </c>
      <c r="H1310" s="5">
        <f>ROUND(G1310*NOTAS!$B$2,2)</f>
        <v>14426.91</v>
      </c>
      <c r="I1310" s="6">
        <f>ROUND(G1310*NOTAS!$B$3,0)</f>
        <v>64977</v>
      </c>
      <c r="J1310" s="2" t="n">
        <v>1</v>
      </c>
    </row>
    <row r="1311">
      <c r="A1311" s="2" t="inlineStr">
        <is>
          <t>96417177</t>
        </is>
      </c>
      <c r="B1311" s="2" t="inlineStr"/>
      <c r="C1311" s="2" t="inlineStr">
        <is>
          <t>CORREA DE TIEMPO AVEO 1.6 127DT</t>
        </is>
      </c>
      <c r="D1311" s="2" t="inlineStr">
        <is>
          <t>GM</t>
        </is>
      </c>
      <c r="E1311" s="3" t="n">
        <v>20.7692</v>
      </c>
      <c r="F1311" s="4" t="n">
        <v>0.3</v>
      </c>
      <c r="G1311" s="5">
        <f>ROUND(E1311*(1+F1311),2)</f>
        <v>27.00</v>
      </c>
      <c r="H1311" s="5">
        <f>ROUND(G1311*NOTAS!$B$2,2)</f>
        <v>19476.33</v>
      </c>
      <c r="I1311" s="6">
        <f>ROUND(G1311*NOTAS!$B$3,0)</f>
        <v>87719</v>
      </c>
      <c r="J1311" s="2" t="n">
        <v>1</v>
      </c>
    </row>
    <row r="1312">
      <c r="A1312" s="2" t="inlineStr">
        <is>
          <t>127RU25</t>
        </is>
      </c>
      <c r="B1312" s="2" t="inlineStr"/>
      <c r="C1312" s="2" t="inlineStr">
        <is>
          <t>CORREA DE TIEMPO AVEO 1.6 127DT</t>
        </is>
      </c>
      <c r="D1312" s="2" t="inlineStr">
        <is>
          <t>GATES</t>
        </is>
      </c>
      <c r="E1312" s="3" t="n">
        <v>20.7692</v>
      </c>
      <c r="F1312" s="4" t="n">
        <v>0.3</v>
      </c>
      <c r="G1312" s="5">
        <f>ROUND(E1312*(1+F1312),2)</f>
        <v>27.00</v>
      </c>
      <c r="H1312" s="5">
        <f>ROUND(G1312*NOTAS!$B$2,2)</f>
        <v>19476.33</v>
      </c>
      <c r="I1312" s="6">
        <f>ROUND(G1312*NOTAS!$B$3,0)</f>
        <v>87719</v>
      </c>
      <c r="J1312" s="2" t="n">
        <v>1</v>
      </c>
    </row>
    <row r="1313">
      <c r="A1313" s="2" t="inlineStr">
        <is>
          <t>127RU25</t>
        </is>
      </c>
      <c r="B1313" s="2" t="inlineStr"/>
      <c r="C1313" s="2" t="inlineStr">
        <is>
          <t>CORREA DE TIEMPO AVEO 1.6 127DT</t>
        </is>
      </c>
      <c r="D1313" s="2" t="inlineStr">
        <is>
          <t>MITSUBA</t>
        </is>
      </c>
      <c r="E1313" s="3" t="n">
        <v>20.7692</v>
      </c>
      <c r="F1313" s="4" t="n">
        <v>0.3</v>
      </c>
      <c r="G1313" s="5">
        <f>ROUND(E1313*(1+F1313),2)</f>
        <v>27.00</v>
      </c>
      <c r="H1313" s="5">
        <f>ROUND(G1313*NOTAS!$B$2,2)</f>
        <v>19476.33</v>
      </c>
      <c r="I1313" s="6">
        <f>ROUND(G1313*NOTAS!$B$3,0)</f>
        <v>87719</v>
      </c>
      <c r="J1313" s="2" t="n">
        <v>1</v>
      </c>
    </row>
    <row r="1314">
      <c r="A1314" s="2" t="inlineStr">
        <is>
          <t>ACD000021</t>
        </is>
      </c>
      <c r="B1314" s="2" t="inlineStr"/>
      <c r="C1314" s="2" t="inlineStr">
        <is>
          <t>CORREA DE TIEMPO AVEO 1.6 127DT</t>
        </is>
      </c>
      <c r="D1314" s="2" t="inlineStr">
        <is>
          <t>ACDELCO</t>
        </is>
      </c>
      <c r="E1314" s="3" t="n">
        <v>20.7692</v>
      </c>
      <c r="F1314" s="4" t="n">
        <v>0.3</v>
      </c>
      <c r="G1314" s="5">
        <f>ROUND(E1314*(1+F1314),2)</f>
        <v>27.00</v>
      </c>
      <c r="H1314" s="5">
        <f>ROUND(G1314*NOTAS!$B$2,2)</f>
        <v>19476.33</v>
      </c>
      <c r="I1314" s="6">
        <f>ROUND(G1314*NOTAS!$B$3,0)</f>
        <v>87719</v>
      </c>
      <c r="J1314" s="2" t="n">
        <v>2</v>
      </c>
    </row>
    <row r="1315">
      <c r="A1315" s="2" t="inlineStr">
        <is>
          <t>T338RB</t>
        </is>
      </c>
      <c r="B1315" s="2" t="inlineStr"/>
      <c r="C1315" s="2" t="inlineStr">
        <is>
          <t>CORREA DE TIEMPO AVEO 1.6 127DT</t>
        </is>
      </c>
      <c r="D1315" s="2" t="inlineStr">
        <is>
          <t>GATES RACING</t>
        </is>
      </c>
      <c r="E1315" s="3" t="n">
        <v>20.7692</v>
      </c>
      <c r="F1315" s="4" t="n">
        <v>0.3</v>
      </c>
      <c r="G1315" s="5">
        <f>ROUND(E1315*(1+F1315),2)</f>
        <v>27.00</v>
      </c>
      <c r="H1315" s="5">
        <f>ROUND(G1315*NOTAS!$B$2,2)</f>
        <v>19476.33</v>
      </c>
      <c r="I1315" s="6">
        <f>ROUND(G1315*NOTAS!$B$3,0)</f>
        <v>87719</v>
      </c>
      <c r="J1315" s="2" t="n">
        <v>1</v>
      </c>
    </row>
    <row r="1316">
      <c r="A1316" s="2" t="inlineStr">
        <is>
          <t>94127</t>
        </is>
      </c>
      <c r="B1316" s="2" t="inlineStr"/>
      <c r="C1316" s="2" t="inlineStr">
        <is>
          <t>CORREA DE TIEMPO CARIBE LUV 2.3 115DT</t>
        </is>
      </c>
      <c r="D1316" s="2" t="inlineStr">
        <is>
          <t>DAYCO</t>
        </is>
      </c>
      <c r="E1316" s="3" t="n">
        <v>15.3846</v>
      </c>
      <c r="F1316" s="4" t="n">
        <v>0.3</v>
      </c>
      <c r="G1316" s="5">
        <f>ROUND(E1316*(1+F1316),2)</f>
        <v>20.00</v>
      </c>
      <c r="H1316" s="5">
        <f>ROUND(G1316*NOTAS!$B$2,2)</f>
        <v>14426.91</v>
      </c>
      <c r="I1316" s="6">
        <f>ROUND(G1316*NOTAS!$B$3,0)</f>
        <v>64977</v>
      </c>
      <c r="J1316" s="2" t="n">
        <v>1</v>
      </c>
    </row>
    <row r="1317">
      <c r="A1317" s="2" t="inlineStr">
        <is>
          <t>94066</t>
        </is>
      </c>
      <c r="B1317" s="2" t="inlineStr"/>
      <c r="C1317" s="2" t="inlineStr">
        <is>
          <t>CORREA DE TIEMPO CHEVETTE 1.8 100DT</t>
        </is>
      </c>
      <c r="D1317" s="2" t="inlineStr">
        <is>
          <t>DAYCO</t>
        </is>
      </c>
      <c r="E1317" s="3" t="n">
        <v>13.8462</v>
      </c>
      <c r="F1317" s="4" t="n">
        <v>0.3</v>
      </c>
      <c r="G1317" s="5">
        <f>ROUND(E1317*(1+F1317),2)</f>
        <v>18.00</v>
      </c>
      <c r="H1317" s="5">
        <f>ROUND(G1317*NOTAS!$B$2,2)</f>
        <v>12984.22</v>
      </c>
      <c r="I1317" s="6">
        <f>ROUND(G1317*NOTAS!$B$3,0)</f>
        <v>58480</v>
      </c>
      <c r="J1317" s="2" t="n">
        <v>3</v>
      </c>
    </row>
    <row r="1318">
      <c r="A1318" s="2" t="inlineStr">
        <is>
          <t>94512</t>
        </is>
      </c>
      <c r="B1318" s="2" t="inlineStr"/>
      <c r="C1318" s="2" t="inlineStr">
        <is>
          <t>CORREA DE TIEMPO CHEVETTE 99DT</t>
        </is>
      </c>
      <c r="D1318" s="2" t="inlineStr">
        <is>
          <t>DAYCO</t>
        </is>
      </c>
      <c r="E1318" s="3" t="n">
        <v>8</v>
      </c>
      <c r="F1318" s="4" t="n">
        <v>0.3</v>
      </c>
      <c r="G1318" s="5">
        <f>ROUND(E1318*(1+F1318),2)</f>
        <v>10.40</v>
      </c>
      <c r="H1318" s="5">
        <f>ROUND(G1318*NOTAS!$B$2,2)</f>
        <v>7501.99</v>
      </c>
      <c r="I1318" s="6">
        <f>ROUND(G1318*NOTAS!$B$3,0)</f>
        <v>33788</v>
      </c>
      <c r="J1318" s="2" t="n">
        <v>1</v>
      </c>
    </row>
    <row r="1319">
      <c r="A1319" s="2" t="inlineStr">
        <is>
          <t>CT1002</t>
        </is>
      </c>
      <c r="B1319" s="2" t="inlineStr"/>
      <c r="C1319" s="2" t="inlineStr">
        <is>
          <t>CORREA DE TIEMPO CHEVETTE 99DT</t>
        </is>
      </c>
      <c r="D1319" s="2" t="inlineStr">
        <is>
          <t>CONTINENTAL</t>
        </is>
      </c>
      <c r="E1319" s="3" t="n">
        <v>9.44</v>
      </c>
      <c r="F1319" s="4" t="n">
        <v>0.3</v>
      </c>
      <c r="G1319" s="5">
        <f>ROUND(E1319*(1+F1319),2)</f>
        <v>12.27</v>
      </c>
      <c r="H1319" s="5">
        <f>ROUND(G1319*NOTAS!$B$2,2)</f>
        <v>8850.91</v>
      </c>
      <c r="I1319" s="6">
        <f>ROUND(G1319*NOTAS!$B$3,0)</f>
        <v>39864</v>
      </c>
      <c r="J1319" s="2" t="n">
        <v>2</v>
      </c>
    </row>
    <row r="1320">
      <c r="A1320" s="2" t="inlineStr">
        <is>
          <t>94059</t>
        </is>
      </c>
      <c r="B1320" s="2" t="inlineStr"/>
      <c r="C1320" s="2" t="inlineStr">
        <is>
          <t>CORREA DE TIEMPO COROLLA …/89 SKY ARALLA 94DT</t>
        </is>
      </c>
      <c r="D1320" s="2" t="inlineStr">
        <is>
          <t>DAYCO</t>
        </is>
      </c>
      <c r="E1320" s="3" t="n">
        <v>10</v>
      </c>
      <c r="F1320" s="4" t="n">
        <v>0.3</v>
      </c>
      <c r="G1320" s="5">
        <f>ROUND(E1320*(1+F1320),2)</f>
        <v>13.00</v>
      </c>
      <c r="H1320" s="5">
        <f>ROUND(G1320*NOTAS!$B$2,2)</f>
        <v>9377.49</v>
      </c>
      <c r="I1320" s="6">
        <f>ROUND(G1320*NOTAS!$B$3,0)</f>
        <v>42235</v>
      </c>
      <c r="J1320" s="2" t="n">
        <v>3</v>
      </c>
    </row>
    <row r="1321">
      <c r="A1321" s="2" t="inlineStr">
        <is>
          <t>9194</t>
        </is>
      </c>
      <c r="B1321" s="2" t="inlineStr"/>
      <c r="C1321" s="2" t="inlineStr">
        <is>
          <t>CORREA DE TIEMPO CORSA/CIELO/LANOS 111DT</t>
        </is>
      </c>
      <c r="D1321" s="2" t="inlineStr">
        <is>
          <t>BOSCH</t>
        </is>
      </c>
      <c r="E1321" s="3" t="n">
        <v>5</v>
      </c>
      <c r="F1321" s="4" t="n">
        <v>0.3</v>
      </c>
      <c r="G1321" s="5">
        <f>ROUND(E1321*(1+F1321),2)</f>
        <v>6.50</v>
      </c>
      <c r="H1321" s="5">
        <f>ROUND(G1321*NOTAS!$B$2,2)</f>
        <v>4688.75</v>
      </c>
      <c r="I1321" s="6">
        <f>ROUND(G1321*NOTAS!$B$3,0)</f>
        <v>21118</v>
      </c>
      <c r="J1321" s="2" t="n">
        <v>1</v>
      </c>
    </row>
    <row r="1322">
      <c r="A1322" s="2" t="inlineStr">
        <is>
          <t>94078</t>
        </is>
      </c>
      <c r="B1322" s="2" t="inlineStr"/>
      <c r="C1322" s="2" t="inlineStr">
        <is>
          <t>CORREA DE TIEMPO CORSA/CIELO/LANOS 111DT</t>
        </is>
      </c>
      <c r="D1322" s="2" t="inlineStr">
        <is>
          <t>DAYCO</t>
        </is>
      </c>
      <c r="E1322" s="3" t="n">
        <v>8</v>
      </c>
      <c r="F1322" s="4" t="n">
        <v>0.3</v>
      </c>
      <c r="G1322" s="5">
        <f>ROUND(E1322*(1+F1322),2)</f>
        <v>10.40</v>
      </c>
      <c r="H1322" s="5">
        <f>ROUND(G1322*NOTAS!$B$2,2)</f>
        <v>7501.99</v>
      </c>
      <c r="I1322" s="6">
        <f>ROUND(G1322*NOTAS!$B$3,0)</f>
        <v>33788</v>
      </c>
      <c r="J1322" s="2" t="n">
        <v>35</v>
      </c>
    </row>
    <row r="1323">
      <c r="A1323" s="2" t="inlineStr">
        <is>
          <t>39M00347</t>
        </is>
      </c>
      <c r="B1323" s="2" t="inlineStr">
        <is>
          <t>88904447</t>
        </is>
      </c>
      <c r="C1323" s="2" t="inlineStr">
        <is>
          <t>CORREA DE TIEMPO CORSA/CIELO/LANOS 111DT</t>
        </is>
      </c>
      <c r="D1323" s="2" t="inlineStr">
        <is>
          <t>ACDELCO</t>
        </is>
      </c>
      <c r="E1323" s="3" t="n">
        <v>8</v>
      </c>
      <c r="F1323" s="4" t="n">
        <v>0.3</v>
      </c>
      <c r="G1323" s="5">
        <f>ROUND(E1323*(1+F1323),2)</f>
        <v>10.40</v>
      </c>
      <c r="H1323" s="5">
        <f>ROUND(G1323*NOTAS!$B$2,2)</f>
        <v>7501.99</v>
      </c>
      <c r="I1323" s="6">
        <f>ROUND(G1323*NOTAS!$B$3,0)</f>
        <v>33788</v>
      </c>
      <c r="J1323" s="2" t="n">
        <v>141</v>
      </c>
    </row>
    <row r="1324">
      <c r="A1324" s="2" t="inlineStr">
        <is>
          <t>416HTD067</t>
        </is>
      </c>
      <c r="B1324" s="2" t="inlineStr"/>
      <c r="C1324" s="2" t="inlineStr">
        <is>
          <t>CORREA DE TIEMPO CORSA/CIELO/LANOS 111DT</t>
        </is>
      </c>
      <c r="D1324" s="2" t="inlineStr">
        <is>
          <t>GOODYEAR</t>
        </is>
      </c>
      <c r="E1324" s="3" t="n">
        <v>5</v>
      </c>
      <c r="F1324" s="4" t="n">
        <v>0.3</v>
      </c>
      <c r="G1324" s="5">
        <f>ROUND(E1324*(1+F1324),2)</f>
        <v>6.50</v>
      </c>
      <c r="H1324" s="5">
        <f>ROUND(G1324*NOTAS!$B$2,2)</f>
        <v>4688.75</v>
      </c>
      <c r="I1324" s="6">
        <f>ROUND(G1324*NOTAS!$B$3,0)</f>
        <v>21118</v>
      </c>
      <c r="J1324" s="2" t="n">
        <v>1</v>
      </c>
    </row>
    <row r="1325">
      <c r="A1325" s="2" t="inlineStr">
        <is>
          <t>TB336</t>
        </is>
      </c>
      <c r="B1325" s="2" t="inlineStr"/>
      <c r="C1325" s="2" t="inlineStr">
        <is>
          <t>CORREA DE TIEMPO CORSA/CIELO/LANOS 111DT</t>
        </is>
      </c>
      <c r="D1325" s="2" t="inlineStr">
        <is>
          <t>FEDERAL MOGUL</t>
        </is>
      </c>
      <c r="E1325" s="3" t="n">
        <v>5</v>
      </c>
      <c r="F1325" s="4" t="n">
        <v>0.3</v>
      </c>
      <c r="G1325" s="5">
        <f>ROUND(E1325*(1+F1325),2)</f>
        <v>6.50</v>
      </c>
      <c r="H1325" s="5">
        <f>ROUND(G1325*NOTAS!$B$2,2)</f>
        <v>4688.75</v>
      </c>
      <c r="I1325" s="6">
        <f>ROUND(G1325*NOTAS!$B$3,0)</f>
        <v>21118</v>
      </c>
      <c r="J1325" s="2" t="n">
        <v>3</v>
      </c>
    </row>
    <row r="1326">
      <c r="A1326" s="2" t="inlineStr">
        <is>
          <t>94169</t>
        </is>
      </c>
      <c r="B1326" s="2" t="inlineStr"/>
      <c r="C1326" s="2" t="inlineStr">
        <is>
          <t>CORREA DE TIEMPO DAEWOO RACER 104DT</t>
        </is>
      </c>
      <c r="D1326" s="2" t="inlineStr">
        <is>
          <t>DAYCO</t>
        </is>
      </c>
      <c r="E1326" s="3" t="n">
        <v>8</v>
      </c>
      <c r="F1326" s="4" t="n">
        <v>0.3</v>
      </c>
      <c r="G1326" s="5">
        <f>ROUND(E1326*(1+F1326),2)</f>
        <v>10.40</v>
      </c>
      <c r="H1326" s="5">
        <f>ROUND(G1326*NOTAS!$B$2,2)</f>
        <v>7501.99</v>
      </c>
      <c r="I1326" s="6">
        <f>ROUND(G1326*NOTAS!$B$3,0)</f>
        <v>33788</v>
      </c>
      <c r="J1326" s="2" t="n">
        <v>40</v>
      </c>
    </row>
    <row r="1327">
      <c r="A1327" s="2" t="inlineStr">
        <is>
          <t>94176</t>
        </is>
      </c>
      <c r="B1327" s="2" t="inlineStr"/>
      <c r="C1327" s="2" t="inlineStr">
        <is>
          <t>CORREA DE TIEMPO F- 131 1.6 54DT</t>
        </is>
      </c>
      <c r="D1327" s="2" t="inlineStr">
        <is>
          <t>DAYCO</t>
        </is>
      </c>
      <c r="E1327" s="3" t="n">
        <v>11.5385</v>
      </c>
      <c r="F1327" s="4" t="n">
        <v>0.3</v>
      </c>
      <c r="G1327" s="5">
        <f>ROUND(E1327*(1+F1327),2)</f>
        <v>15.00</v>
      </c>
      <c r="H1327" s="5">
        <f>ROUND(G1327*NOTAS!$B$2,2)</f>
        <v>10820.18</v>
      </c>
      <c r="I1327" s="6">
        <f>ROUND(G1327*NOTAS!$B$3,0)</f>
        <v>48733</v>
      </c>
      <c r="J1327" s="2" t="n">
        <v>6</v>
      </c>
    </row>
    <row r="1328">
      <c r="A1328" s="2" t="inlineStr">
        <is>
          <t>94057</t>
        </is>
      </c>
      <c r="B1328" s="2" t="inlineStr"/>
      <c r="C1328" s="2" t="inlineStr">
        <is>
          <t>CORREA DE TIEMPO F- 131/BRAVA 123DT</t>
        </is>
      </c>
      <c r="D1328" s="2" t="inlineStr">
        <is>
          <t>DAYCO</t>
        </is>
      </c>
      <c r="E1328" s="3" t="n">
        <v>10</v>
      </c>
      <c r="F1328" s="4" t="n">
        <v>0.3</v>
      </c>
      <c r="G1328" s="5">
        <f>ROUND(E1328*(1+F1328),2)</f>
        <v>13.00</v>
      </c>
      <c r="H1328" s="5">
        <f>ROUND(G1328*NOTAS!$B$2,2)</f>
        <v>9377.49</v>
      </c>
      <c r="I1328" s="6">
        <f>ROUND(G1328*NOTAS!$B$3,0)</f>
        <v>42235</v>
      </c>
      <c r="J1328" s="2" t="n">
        <v>3</v>
      </c>
    </row>
    <row r="1329">
      <c r="A1329" s="2" t="inlineStr">
        <is>
          <t>94054</t>
        </is>
      </c>
      <c r="B1329" s="2" t="inlineStr"/>
      <c r="C1329" s="2" t="inlineStr">
        <is>
          <t>CORREA DE TIEMPO F- 132/REGATA/RITMO 146DT</t>
        </is>
      </c>
      <c r="D1329" s="2" t="inlineStr">
        <is>
          <t>DAYCO</t>
        </is>
      </c>
      <c r="E1329" s="3" t="n">
        <v>6</v>
      </c>
      <c r="F1329" s="4" t="n">
        <v>0.3</v>
      </c>
      <c r="G1329" s="5">
        <f>ROUND(E1329*(1+F1329),2)</f>
        <v>7.80</v>
      </c>
      <c r="H1329" s="5">
        <f>ROUND(G1329*NOTAS!$B$2,2)</f>
        <v>5626.50</v>
      </c>
      <c r="I1329" s="6">
        <f>ROUND(G1329*NOTAS!$B$3,0)</f>
        <v>25341</v>
      </c>
      <c r="J1329" s="2" t="n">
        <v>8</v>
      </c>
    </row>
    <row r="1330">
      <c r="A1330" s="2" t="inlineStr">
        <is>
          <t>94176</t>
        </is>
      </c>
      <c r="B1330" s="2" t="inlineStr"/>
      <c r="C1330" s="2" t="inlineStr">
        <is>
          <t>CORREA DE TIEMPO F- REGATA/RITMO 143DT</t>
        </is>
      </c>
      <c r="D1330" s="2" t="inlineStr">
        <is>
          <t>DAYCO</t>
        </is>
      </c>
      <c r="E1330" s="3" t="n">
        <v>14.5385</v>
      </c>
      <c r="F1330" s="4" t="n">
        <v>0.3</v>
      </c>
      <c r="G1330" s="5">
        <f>ROUND(E1330*(1+F1330),2)</f>
        <v>18.90</v>
      </c>
      <c r="H1330" s="5">
        <f>ROUND(G1330*NOTAS!$B$2,2)</f>
        <v>13633.43</v>
      </c>
      <c r="I1330" s="6">
        <f>ROUND(G1330*NOTAS!$B$3,0)</f>
        <v>61404</v>
      </c>
      <c r="J1330" s="2" t="n">
        <v>2</v>
      </c>
    </row>
    <row r="1331">
      <c r="A1331" s="2" t="inlineStr">
        <is>
          <t>94200</t>
        </is>
      </c>
      <c r="B1331" s="2" t="inlineStr"/>
      <c r="C1331" s="2" t="inlineStr">
        <is>
          <t>CORREA DE TIEMPO F- REGATA/RITMO 144DT</t>
        </is>
      </c>
      <c r="D1331" s="2" t="inlineStr">
        <is>
          <t>DAYCO</t>
        </is>
      </c>
      <c r="E1331" s="3" t="n">
        <v>14.6154</v>
      </c>
      <c r="F1331" s="4" t="n">
        <v>0.3</v>
      </c>
      <c r="G1331" s="5">
        <f>ROUND(E1331*(1+F1331),2)</f>
        <v>19.00</v>
      </c>
      <c r="H1331" s="5">
        <f>ROUND(G1331*NOTAS!$B$2,2)</f>
        <v>13705.57</v>
      </c>
      <c r="I1331" s="6">
        <f>ROUND(G1331*NOTAS!$B$3,0)</f>
        <v>61729</v>
      </c>
      <c r="J1331" s="2" t="n">
        <v>6</v>
      </c>
    </row>
    <row r="1332">
      <c r="A1332" s="2" t="inlineStr">
        <is>
          <t>94086</t>
        </is>
      </c>
      <c r="B1332" s="2" t="inlineStr"/>
      <c r="C1332" s="2" t="inlineStr">
        <is>
          <t>CORREA DE TIEMPO F-147/UNO/PREMIO 121DT</t>
        </is>
      </c>
      <c r="D1332" s="2" t="inlineStr">
        <is>
          <t>DAYCO</t>
        </is>
      </c>
      <c r="E1332" s="3" t="n">
        <v>10</v>
      </c>
      <c r="F1332" s="4" t="n">
        <v>0.3</v>
      </c>
      <c r="G1332" s="5">
        <f>ROUND(E1332*(1+F1332),2)</f>
        <v>13.00</v>
      </c>
      <c r="H1332" s="5">
        <f>ROUND(G1332*NOTAS!$B$2,2)</f>
        <v>9377.49</v>
      </c>
      <c r="I1332" s="6">
        <f>ROUND(G1332*NOTAS!$B$3,0)</f>
        <v>42235</v>
      </c>
      <c r="J1332" s="2" t="n">
        <v>72</v>
      </c>
    </row>
    <row r="1333">
      <c r="A1333" s="2" t="inlineStr">
        <is>
          <t>41121X17</t>
        </is>
      </c>
      <c r="B1333" s="2" t="inlineStr"/>
      <c r="C1333" s="2" t="inlineStr">
        <is>
          <t>CORREA DE TIEMPO F-147/UNO/PREMIO 121DT</t>
        </is>
      </c>
      <c r="D1333" s="2" t="inlineStr">
        <is>
          <t>GATES</t>
        </is>
      </c>
      <c r="E1333" s="3" t="n">
        <v>10</v>
      </c>
      <c r="F1333" s="4" t="n">
        <v>0.3</v>
      </c>
      <c r="G1333" s="5">
        <f>ROUND(E1333*(1+F1333),2)</f>
        <v>13.00</v>
      </c>
      <c r="H1333" s="5">
        <f>ROUND(G1333*NOTAS!$B$2,2)</f>
        <v>9377.49</v>
      </c>
      <c r="I1333" s="6">
        <f>ROUND(G1333*NOTAS!$B$3,0)</f>
        <v>42235</v>
      </c>
      <c r="J1333" s="2" t="n">
        <v>5</v>
      </c>
    </row>
    <row r="1334">
      <c r="A1334" s="2" t="inlineStr">
        <is>
          <t>454LH059</t>
        </is>
      </c>
      <c r="B1334" s="2" t="inlineStr"/>
      <c r="C1334" s="2" t="inlineStr">
        <is>
          <t>CORREA DE TIEMPO F-147/UNO/PREMIO 121DT</t>
        </is>
      </c>
      <c r="D1334" s="2" t="inlineStr">
        <is>
          <t>GOODYEAR</t>
        </is>
      </c>
      <c r="E1334" s="3" t="n">
        <v>5</v>
      </c>
      <c r="F1334" s="4" t="n">
        <v>0.3</v>
      </c>
      <c r="G1334" s="5">
        <f>ROUND(E1334*(1+F1334),2)</f>
        <v>6.50</v>
      </c>
      <c r="H1334" s="5">
        <f>ROUND(G1334*NOTAS!$B$2,2)</f>
        <v>4688.75</v>
      </c>
      <c r="I1334" s="6">
        <f>ROUND(G1334*NOTAS!$B$3,0)</f>
        <v>21118</v>
      </c>
      <c r="J1334" s="2" t="n">
        <v>1</v>
      </c>
    </row>
    <row r="1335">
      <c r="A1335" s="2" t="inlineStr">
        <is>
          <t>94210</t>
        </is>
      </c>
      <c r="B1335" s="2" t="inlineStr"/>
      <c r="C1335" s="2" t="inlineStr">
        <is>
          <t>CORREA DE TIEMPO FESTIVA 107DT</t>
        </is>
      </c>
      <c r="D1335" s="2" t="inlineStr">
        <is>
          <t>DAYCO</t>
        </is>
      </c>
      <c r="E1335" s="3" t="n">
        <v>14</v>
      </c>
      <c r="F1335" s="4" t="n">
        <v>0.3</v>
      </c>
      <c r="G1335" s="5">
        <f>ROUND(E1335*(1+F1335),2)</f>
        <v>18.20</v>
      </c>
      <c r="H1335" s="5">
        <f>ROUND(G1335*NOTAS!$B$2,2)</f>
        <v>13128.49</v>
      </c>
      <c r="I1335" s="6">
        <f>ROUND(G1335*NOTAS!$B$3,0)</f>
        <v>59129</v>
      </c>
      <c r="J1335" s="2" t="n">
        <v>20</v>
      </c>
    </row>
    <row r="1336">
      <c r="A1336" s="2" t="inlineStr">
        <is>
          <t>94711</t>
        </is>
      </c>
      <c r="B1336" s="2" t="inlineStr"/>
      <c r="C1336" s="2" t="inlineStr">
        <is>
          <t>CORREA DE TIEMPO F-PAL/SIE 1.3  8V 134DT</t>
        </is>
      </c>
      <c r="D1336" s="2" t="inlineStr">
        <is>
          <t>DAYCO</t>
        </is>
      </c>
      <c r="E1336" s="3" t="n">
        <v>20</v>
      </c>
      <c r="F1336" s="4" t="n">
        <v>0.3</v>
      </c>
      <c r="G1336" s="5">
        <f>ROUND(E1336*(1+F1336),2)</f>
        <v>26.00</v>
      </c>
      <c r="H1336" s="5">
        <f>ROUND(G1336*NOTAS!$B$2,2)</f>
        <v>18754.99</v>
      </c>
      <c r="I1336" s="6">
        <f>ROUND(G1336*NOTAS!$B$3,0)</f>
        <v>84471</v>
      </c>
      <c r="J1336" s="2" t="n">
        <v>32</v>
      </c>
    </row>
    <row r="1337">
      <c r="A1337" s="2" t="inlineStr">
        <is>
          <t>94709</t>
        </is>
      </c>
      <c r="B1337" s="2" t="inlineStr"/>
      <c r="C1337" s="2" t="inlineStr">
        <is>
          <t>CORREA DE TIEMPO F-PAL/SIE 1.3 16V FIRE 124DT</t>
        </is>
      </c>
      <c r="D1337" s="2" t="inlineStr">
        <is>
          <t>DAYCO</t>
        </is>
      </c>
      <c r="E1337" s="3" t="n">
        <v>12</v>
      </c>
      <c r="F1337" s="4" t="n">
        <v>0.3</v>
      </c>
      <c r="G1337" s="5">
        <f>ROUND(E1337*(1+F1337),2)</f>
        <v>15.60</v>
      </c>
      <c r="H1337" s="5">
        <f>ROUND(G1337*NOTAS!$B$2,2)</f>
        <v>11252.99</v>
      </c>
      <c r="I1337" s="6">
        <f>ROUND(G1337*NOTAS!$B$3,0)</f>
        <v>50682</v>
      </c>
      <c r="J1337" s="2" t="n">
        <v>16</v>
      </c>
    </row>
    <row r="1338">
      <c r="A1338" s="2" t="inlineStr">
        <is>
          <t>CT1049HNBR</t>
        </is>
      </c>
      <c r="B1338" s="2" t="inlineStr"/>
      <c r="C1338" s="2" t="inlineStr">
        <is>
          <t>CORREA DE TIEMPO F-PAL/SIE 1.3 16V FIRE 124DT</t>
        </is>
      </c>
      <c r="D1338" s="2" t="inlineStr">
        <is>
          <t>CONTINENTAL</t>
        </is>
      </c>
      <c r="E1338" s="3" t="n">
        <v>13</v>
      </c>
      <c r="F1338" s="4" t="n">
        <v>0.3</v>
      </c>
      <c r="G1338" s="5">
        <f>ROUND(E1338*(1+F1338),2)</f>
        <v>16.90</v>
      </c>
      <c r="H1338" s="5">
        <f>ROUND(G1338*NOTAS!$B$2,2)</f>
        <v>12190.74</v>
      </c>
      <c r="I1338" s="6">
        <f>ROUND(G1338*NOTAS!$B$3,0)</f>
        <v>54906</v>
      </c>
      <c r="J1338" s="2" t="n">
        <v>2</v>
      </c>
    </row>
    <row r="1339">
      <c r="A1339" s="2" t="inlineStr">
        <is>
          <t>94950</t>
        </is>
      </c>
      <c r="B1339" s="2" t="inlineStr"/>
      <c r="C1339" s="2" t="inlineStr">
        <is>
          <t>CORREA DE TIEMPO F-PAL/SIE 1.4 UNO FIRE 8V 129DT</t>
        </is>
      </c>
      <c r="D1339" s="2" t="inlineStr">
        <is>
          <t>DAYCO</t>
        </is>
      </c>
      <c r="E1339" s="3" t="n">
        <v>13.8462</v>
      </c>
      <c r="F1339" s="4" t="n">
        <v>0.3</v>
      </c>
      <c r="G1339" s="5">
        <f>ROUND(E1339*(1+F1339),2)</f>
        <v>18.00</v>
      </c>
      <c r="H1339" s="5">
        <f>ROUND(G1339*NOTAS!$B$2,2)</f>
        <v>12984.22</v>
      </c>
      <c r="I1339" s="6">
        <f>ROUND(G1339*NOTAS!$B$3,0)</f>
        <v>58480</v>
      </c>
      <c r="J1339" s="2" t="n">
        <v>1</v>
      </c>
    </row>
    <row r="1340">
      <c r="A1340" s="2" t="inlineStr">
        <is>
          <t>94588</t>
        </is>
      </c>
      <c r="B1340" s="2" t="inlineStr"/>
      <c r="C1340" s="2" t="inlineStr">
        <is>
          <t>CORREA DE TIEMPO F-PAL/SIE 1.6 16V 158DT</t>
        </is>
      </c>
      <c r="D1340" s="2" t="inlineStr">
        <is>
          <t>DAYCO</t>
        </is>
      </c>
      <c r="E1340" s="3" t="n">
        <v>16.9231</v>
      </c>
      <c r="F1340" s="4" t="n">
        <v>0.3</v>
      </c>
      <c r="G1340" s="5">
        <f>ROUND(E1340*(1+F1340),2)</f>
        <v>22.00</v>
      </c>
      <c r="H1340" s="5">
        <f>ROUND(G1340*NOTAS!$B$2,2)</f>
        <v>15869.60</v>
      </c>
      <c r="I1340" s="6">
        <f>ROUND(G1340*NOTAS!$B$3,0)</f>
        <v>71475</v>
      </c>
      <c r="J1340" s="2" t="n">
        <v>3</v>
      </c>
    </row>
    <row r="1341">
      <c r="A1341" s="2" t="inlineStr">
        <is>
          <t>158H8P254</t>
        </is>
      </c>
      <c r="B1341" s="2" t="inlineStr"/>
      <c r="C1341" s="2" t="inlineStr">
        <is>
          <t>CORREA DE TIEMPO F-PAL/SIE 1.6 16V 158DT</t>
        </is>
      </c>
      <c r="D1341" s="2" t="inlineStr">
        <is>
          <t>GOODYEAR</t>
        </is>
      </c>
      <c r="E1341" s="3" t="n">
        <v>16.9231</v>
      </c>
      <c r="F1341" s="4" t="n">
        <v>0.3</v>
      </c>
      <c r="G1341" s="5">
        <f>ROUND(E1341*(1+F1341),2)</f>
        <v>22.00</v>
      </c>
      <c r="H1341" s="5">
        <f>ROUND(G1341*NOTAS!$B$2,2)</f>
        <v>15869.60</v>
      </c>
      <c r="I1341" s="6">
        <f>ROUND(G1341*NOTAS!$B$3,0)</f>
        <v>71475</v>
      </c>
      <c r="J1341" s="2" t="n">
        <v>1</v>
      </c>
    </row>
    <row r="1342">
      <c r="A1342" s="2" t="inlineStr">
        <is>
          <t>94249</t>
        </is>
      </c>
      <c r="B1342" s="2" t="inlineStr"/>
      <c r="C1342" s="2" t="inlineStr">
        <is>
          <t>CORREA DE TIEMPO F-PAL/SIE 1.6 8V TEMPRA 1.6 PREMIO 1.6 138DT</t>
        </is>
      </c>
      <c r="D1342" s="2" t="inlineStr">
        <is>
          <t>DAYCO</t>
        </is>
      </c>
      <c r="E1342" s="3" t="n">
        <v>15.3846</v>
      </c>
      <c r="F1342" s="4" t="n">
        <v>0.3</v>
      </c>
      <c r="G1342" s="5">
        <f>ROUND(E1342*(1+F1342),2)</f>
        <v>20.00</v>
      </c>
      <c r="H1342" s="5">
        <f>ROUND(G1342*NOTAS!$B$2,2)</f>
        <v>14426.91</v>
      </c>
      <c r="I1342" s="6">
        <f>ROUND(G1342*NOTAS!$B$3,0)</f>
        <v>64977</v>
      </c>
      <c r="J1342" s="2" t="n">
        <v>23</v>
      </c>
    </row>
    <row r="1343">
      <c r="A1343" s="2" t="inlineStr">
        <is>
          <t>46408751</t>
        </is>
      </c>
      <c r="B1343" s="2" t="inlineStr"/>
      <c r="C1343" s="2" t="inlineStr">
        <is>
          <t>CORREA DE TIEMPO F-PAL/SIE 1.6 8V TEMPRA 1.6 PREMIO 1.6 138DT</t>
        </is>
      </c>
      <c r="D1343" s="2" t="inlineStr">
        <is>
          <t>FIAT</t>
        </is>
      </c>
      <c r="E1343" s="3" t="n">
        <v>15.3846</v>
      </c>
      <c r="F1343" s="4" t="n">
        <v>0.3</v>
      </c>
      <c r="G1343" s="5">
        <f>ROUND(E1343*(1+F1343),2)</f>
        <v>20.00</v>
      </c>
      <c r="H1343" s="5">
        <f>ROUND(G1343*NOTAS!$B$2,2)</f>
        <v>14426.91</v>
      </c>
      <c r="I1343" s="6">
        <f>ROUND(G1343*NOTAS!$B$3,0)</f>
        <v>64977</v>
      </c>
      <c r="J1343" s="2" t="n">
        <v>3</v>
      </c>
    </row>
    <row r="1344">
      <c r="A1344" s="2" t="inlineStr">
        <is>
          <t>46408751</t>
        </is>
      </c>
      <c r="B1344" s="2" t="inlineStr"/>
      <c r="C1344" s="2" t="inlineStr">
        <is>
          <t>CORREA DE TIEMPO F-PAL/SIE 1.6 8V TEMPRA 1.6 PREMIO 1.6 138DT</t>
        </is>
      </c>
      <c r="D1344" s="2" t="inlineStr">
        <is>
          <t>FIAT</t>
        </is>
      </c>
      <c r="E1344" s="3" t="n">
        <v>15.3846</v>
      </c>
      <c r="F1344" s="4" t="n">
        <v>0.3</v>
      </c>
      <c r="G1344" s="5">
        <f>ROUND(E1344*(1+F1344),2)</f>
        <v>20.00</v>
      </c>
      <c r="H1344" s="5">
        <f>ROUND(G1344*NOTAS!$B$2,2)</f>
        <v>14426.91</v>
      </c>
      <c r="I1344" s="6">
        <f>ROUND(G1344*NOTAS!$B$3,0)</f>
        <v>64977</v>
      </c>
      <c r="J1344" s="2" t="n">
        <v>3</v>
      </c>
    </row>
    <row r="1345">
      <c r="A1345" s="2" t="inlineStr">
        <is>
          <t>94650</t>
        </is>
      </c>
      <c r="B1345" s="2" t="inlineStr"/>
      <c r="C1345" s="2" t="inlineStr">
        <is>
          <t>CORREA DE TIEMPO F-PAL/SIE 1.8 111DT</t>
        </is>
      </c>
      <c r="D1345" s="2" t="inlineStr">
        <is>
          <t>DAYCO</t>
        </is>
      </c>
      <c r="E1345" s="3" t="n">
        <v>14.6154</v>
      </c>
      <c r="F1345" s="4" t="n">
        <v>0.3</v>
      </c>
      <c r="G1345" s="5">
        <f>ROUND(E1345*(1+F1345),2)</f>
        <v>19.00</v>
      </c>
      <c r="H1345" s="5">
        <f>ROUND(G1345*NOTAS!$B$2,2)</f>
        <v>13705.57</v>
      </c>
      <c r="I1345" s="6">
        <f>ROUND(G1345*NOTAS!$B$3,0)</f>
        <v>61729</v>
      </c>
      <c r="J1345" s="2" t="n">
        <v>13</v>
      </c>
    </row>
    <row r="1346">
      <c r="A1346" s="2" t="inlineStr">
        <is>
          <t>94074</t>
        </is>
      </c>
      <c r="B1346" s="2" t="inlineStr"/>
      <c r="C1346" s="2" t="inlineStr">
        <is>
          <t>CORREA DE TIEMPO F-PREMIO 118DT</t>
        </is>
      </c>
      <c r="D1346" s="2" t="inlineStr">
        <is>
          <t>DAYCO</t>
        </is>
      </c>
      <c r="E1346" s="3" t="n">
        <v>14.6154</v>
      </c>
      <c r="F1346" s="4" t="n">
        <v>0.3</v>
      </c>
      <c r="G1346" s="5">
        <f>ROUND(E1346*(1+F1346),2)</f>
        <v>19.00</v>
      </c>
      <c r="H1346" s="5">
        <f>ROUND(G1346*NOTAS!$B$2,2)</f>
        <v>13705.57</v>
      </c>
      <c r="I1346" s="6">
        <f>ROUND(G1346*NOTAS!$B$3,0)</f>
        <v>61729</v>
      </c>
      <c r="J1346" s="2" t="n">
        <v>2</v>
      </c>
    </row>
    <row r="1347">
      <c r="A1347" s="2" t="inlineStr">
        <is>
          <t>T069</t>
        </is>
      </c>
      <c r="B1347" s="2" t="inlineStr"/>
      <c r="C1347" s="2" t="inlineStr">
        <is>
          <t>CORREA DE TIEMPO F-PREMIO 118DT</t>
        </is>
      </c>
      <c r="D1347" s="2" t="inlineStr">
        <is>
          <t>GATES</t>
        </is>
      </c>
      <c r="E1347" s="3" t="n">
        <v>14.6154</v>
      </c>
      <c r="F1347" s="4" t="n">
        <v>0.3</v>
      </c>
      <c r="G1347" s="5">
        <f>ROUND(E1347*(1+F1347),2)</f>
        <v>19.00</v>
      </c>
      <c r="H1347" s="5">
        <f>ROUND(G1347*NOTAS!$B$2,2)</f>
        <v>13705.57</v>
      </c>
      <c r="I1347" s="6">
        <f>ROUND(G1347*NOTAS!$B$3,0)</f>
        <v>61729</v>
      </c>
      <c r="J1347" s="2" t="n">
        <v>2</v>
      </c>
    </row>
    <row r="1348">
      <c r="A1348" s="2" t="inlineStr">
        <is>
          <t>46417967</t>
        </is>
      </c>
      <c r="B1348" s="2" t="inlineStr"/>
      <c r="C1348" s="2" t="inlineStr">
        <is>
          <t>CORREA DE TIEMPO F-TEMPRA 1.6 138DT</t>
        </is>
      </c>
      <c r="D1348" s="2" t="inlineStr">
        <is>
          <t>FIAT</t>
        </is>
      </c>
      <c r="E1348" s="3" t="n">
        <v>15.3846</v>
      </c>
      <c r="F1348" s="4" t="n">
        <v>0.3</v>
      </c>
      <c r="G1348" s="5">
        <f>ROUND(E1348*(1+F1348),2)</f>
        <v>20.00</v>
      </c>
      <c r="H1348" s="5">
        <f>ROUND(G1348*NOTAS!$B$2,2)</f>
        <v>14426.91</v>
      </c>
      <c r="I1348" s="6">
        <f>ROUND(G1348*NOTAS!$B$3,0)</f>
        <v>64977</v>
      </c>
      <c r="J1348" s="2" t="n">
        <v>1</v>
      </c>
    </row>
    <row r="1349">
      <c r="A1349" s="2" t="inlineStr">
        <is>
          <t>94245</t>
        </is>
      </c>
      <c r="B1349" s="2" t="inlineStr"/>
      <c r="C1349" s="2" t="inlineStr">
        <is>
          <t>CORREA DE TIEMPO F-UNO MILLE  117DT</t>
        </is>
      </c>
      <c r="D1349" s="2" t="inlineStr">
        <is>
          <t>DAYCO</t>
        </is>
      </c>
      <c r="E1349" s="3" t="n">
        <v>13.8462</v>
      </c>
      <c r="F1349" s="4" t="n">
        <v>0.3</v>
      </c>
      <c r="G1349" s="5">
        <f>ROUND(E1349*(1+F1349),2)</f>
        <v>18.00</v>
      </c>
      <c r="H1349" s="5">
        <f>ROUND(G1349*NOTAS!$B$2,2)</f>
        <v>12984.22</v>
      </c>
      <c r="I1349" s="6">
        <f>ROUND(G1349*NOTAS!$B$3,0)</f>
        <v>58480</v>
      </c>
      <c r="J1349" s="2" t="n">
        <v>12</v>
      </c>
    </row>
    <row r="1350">
      <c r="A1350" s="2" t="inlineStr">
        <is>
          <t>94052</t>
        </is>
      </c>
      <c r="B1350" s="2" t="inlineStr"/>
      <c r="C1350" s="2" t="inlineStr">
        <is>
          <t>CORREA DE TIEMPO F-UNO/PREMIO 120DT</t>
        </is>
      </c>
      <c r="D1350" s="2" t="inlineStr">
        <is>
          <t>DAYCO</t>
        </is>
      </c>
      <c r="E1350" s="3" t="n">
        <v>14.6154</v>
      </c>
      <c r="F1350" s="4" t="n">
        <v>0.3</v>
      </c>
      <c r="G1350" s="5">
        <f>ROUND(E1350*(1+F1350),2)</f>
        <v>19.00</v>
      </c>
      <c r="H1350" s="5">
        <f>ROUND(G1350*NOTAS!$B$2,2)</f>
        <v>13705.57</v>
      </c>
      <c r="I1350" s="6">
        <f>ROUND(G1350*NOTAS!$B$3,0)</f>
        <v>61729</v>
      </c>
      <c r="J1350" s="2" t="n">
        <v>25</v>
      </c>
    </row>
    <row r="1351">
      <c r="A1351" s="2" t="inlineStr">
        <is>
          <t>94919</t>
        </is>
      </c>
      <c r="B1351" s="2" t="inlineStr"/>
      <c r="C1351" s="2" t="inlineStr">
        <is>
          <t>CORREA DE TIEMPO HYUNDAI ACCENT 110DT</t>
        </is>
      </c>
      <c r="D1351" s="2" t="inlineStr">
        <is>
          <t>DAYCO</t>
        </is>
      </c>
      <c r="E1351" s="3" t="n">
        <v>13.0769</v>
      </c>
      <c r="F1351" s="4" t="n">
        <v>0.3</v>
      </c>
      <c r="G1351" s="5">
        <f>ROUND(E1351*(1+F1351),2)</f>
        <v>17.00</v>
      </c>
      <c r="H1351" s="5">
        <f>ROUND(G1351*NOTAS!$B$2,2)</f>
        <v>12262.88</v>
      </c>
      <c r="I1351" s="6">
        <f>ROUND(G1351*NOTAS!$B$3,0)</f>
        <v>55231</v>
      </c>
      <c r="J1351" s="2" t="n">
        <v>12</v>
      </c>
    </row>
    <row r="1352">
      <c r="A1352" s="2" t="inlineStr">
        <is>
          <t>90110X22</t>
        </is>
      </c>
      <c r="B1352" s="2" t="inlineStr"/>
      <c r="C1352" s="2" t="inlineStr">
        <is>
          <t>CORREA DE TIEMPO HYUNDAI ACCENT 110DT</t>
        </is>
      </c>
      <c r="D1352" s="2" t="inlineStr">
        <is>
          <t>OPTIBELT</t>
        </is>
      </c>
      <c r="E1352" s="3" t="n">
        <v>13.0769</v>
      </c>
      <c r="F1352" s="4" t="n">
        <v>0.3</v>
      </c>
      <c r="G1352" s="5">
        <f>ROUND(E1352*(1+F1352),2)</f>
        <v>17.00</v>
      </c>
      <c r="H1352" s="5">
        <f>ROUND(G1352*NOTAS!$B$2,2)</f>
        <v>12262.88</v>
      </c>
      <c r="I1352" s="6">
        <f>ROUND(G1352*NOTAS!$B$3,0)</f>
        <v>55231</v>
      </c>
      <c r="J1352" s="2" t="n">
        <v>1</v>
      </c>
    </row>
    <row r="1353">
      <c r="A1353" s="2" t="inlineStr">
        <is>
          <t>94938</t>
        </is>
      </c>
      <c r="B1353" s="2" t="inlineStr"/>
      <c r="C1353" s="2" t="inlineStr">
        <is>
          <t>CORREA DE TIEMPO KIA RIO 137DT</t>
        </is>
      </c>
      <c r="D1353" s="2" t="inlineStr">
        <is>
          <t>DAYCO</t>
        </is>
      </c>
      <c r="E1353" s="3" t="n">
        <v>19.2308</v>
      </c>
      <c r="F1353" s="4" t="n">
        <v>0.3</v>
      </c>
      <c r="G1353" s="5">
        <f>ROUND(E1353*(1+F1353),2)</f>
        <v>25.00</v>
      </c>
      <c r="H1353" s="5">
        <f>ROUND(G1353*NOTAS!$B$2,2)</f>
        <v>18033.64</v>
      </c>
      <c r="I1353" s="6">
        <f>ROUND(G1353*NOTAS!$B$3,0)</f>
        <v>81222</v>
      </c>
      <c r="J1353" s="2" t="n">
        <v>1</v>
      </c>
    </row>
    <row r="1354">
      <c r="A1354" s="2" t="inlineStr">
        <is>
          <t>94809</t>
        </is>
      </c>
      <c r="B1354" s="2" t="inlineStr"/>
      <c r="C1354" s="2" t="inlineStr">
        <is>
          <t>CORREA DE TIEMPO MATIZ/TICO 107DT</t>
        </is>
      </c>
      <c r="D1354" s="2" t="inlineStr">
        <is>
          <t>DAYCO</t>
        </is>
      </c>
      <c r="E1354" s="3" t="n">
        <v>11.5385</v>
      </c>
      <c r="F1354" s="4" t="n">
        <v>0.3</v>
      </c>
      <c r="G1354" s="5">
        <f>ROUND(E1354*(1+F1354),2)</f>
        <v>15.00</v>
      </c>
      <c r="H1354" s="5">
        <f>ROUND(G1354*NOTAS!$B$2,2)</f>
        <v>10820.18</v>
      </c>
      <c r="I1354" s="6">
        <f>ROUND(G1354*NOTAS!$B$3,0)</f>
        <v>48733</v>
      </c>
      <c r="J1354" s="2" t="n">
        <v>5</v>
      </c>
    </row>
    <row r="1355">
      <c r="A1355" s="2" t="inlineStr">
        <is>
          <t>96352965</t>
        </is>
      </c>
      <c r="B1355" s="2" t="inlineStr"/>
      <c r="C1355" s="2" t="inlineStr">
        <is>
          <t>CORREA DE TIEMPO MATIZ/TICO 107DT</t>
        </is>
      </c>
      <c r="D1355" s="2" t="inlineStr">
        <is>
          <t>ONNURI</t>
        </is>
      </c>
      <c r="E1355" s="3" t="n">
        <v>11.5385</v>
      </c>
      <c r="F1355" s="4" t="n">
        <v>0.3</v>
      </c>
      <c r="G1355" s="5">
        <f>ROUND(E1355*(1+F1355),2)</f>
        <v>15.00</v>
      </c>
      <c r="H1355" s="5">
        <f>ROUND(G1355*NOTAS!$B$2,2)</f>
        <v>10820.18</v>
      </c>
      <c r="I1355" s="6">
        <f>ROUND(G1355*NOTAS!$B$3,0)</f>
        <v>48733</v>
      </c>
      <c r="J1355" s="2" t="n">
        <v>1</v>
      </c>
    </row>
    <row r="1356">
      <c r="A1356" s="2" t="inlineStr">
        <is>
          <t>94089</t>
        </is>
      </c>
      <c r="B1356" s="2" t="inlineStr"/>
      <c r="C1356" s="2" t="inlineStr">
        <is>
          <t>CORREA DE TIEMPO MONZA 1.8 111DT</t>
        </is>
      </c>
      <c r="D1356" s="2" t="inlineStr">
        <is>
          <t>DAYCO</t>
        </is>
      </c>
      <c r="E1356" s="3" t="n">
        <v>13.8462</v>
      </c>
      <c r="F1356" s="4" t="n">
        <v>0.3</v>
      </c>
      <c r="G1356" s="5">
        <f>ROUND(E1356*(1+F1356),2)</f>
        <v>18.00</v>
      </c>
      <c r="H1356" s="5">
        <f>ROUND(G1356*NOTAS!$B$2,2)</f>
        <v>12984.22</v>
      </c>
      <c r="I1356" s="6">
        <f>ROUND(G1356*NOTAS!$B$3,0)</f>
        <v>58480</v>
      </c>
      <c r="J1356" s="2" t="n">
        <v>5</v>
      </c>
    </row>
    <row r="1357">
      <c r="A1357" s="2" t="inlineStr">
        <is>
          <t>468HTD079</t>
        </is>
      </c>
      <c r="B1357" s="2" t="inlineStr"/>
      <c r="C1357" s="2" t="inlineStr">
        <is>
          <t>CORREA DE TIEMPO MONZA 2.0/ESPERO  125DT</t>
        </is>
      </c>
      <c r="D1357" s="2" t="inlineStr">
        <is>
          <t>GOODYEAR</t>
        </is>
      </c>
      <c r="E1357" s="3" t="n">
        <v>5</v>
      </c>
      <c r="F1357" s="4" t="n">
        <v>0.3</v>
      </c>
      <c r="G1357" s="5">
        <f>ROUND(E1357*(1+F1357),2)</f>
        <v>6.50</v>
      </c>
      <c r="H1357" s="5">
        <f>ROUND(G1357*NOTAS!$B$2,2)</f>
        <v>4688.75</v>
      </c>
      <c r="I1357" s="6">
        <f>ROUND(G1357*NOTAS!$B$3,0)</f>
        <v>21118</v>
      </c>
      <c r="J1357" s="2" t="n">
        <v>1</v>
      </c>
    </row>
    <row r="1358">
      <c r="A1358" s="2" t="inlineStr">
        <is>
          <t>94659</t>
        </is>
      </c>
      <c r="B1358" s="2" t="inlineStr"/>
      <c r="C1358" s="2" t="inlineStr">
        <is>
          <t>CORREA DE TIEMPO OPTRA  LIMITED 169DT</t>
        </is>
      </c>
      <c r="D1358" s="2" t="inlineStr">
        <is>
          <t>DAYCO</t>
        </is>
      </c>
      <c r="E1358" s="3" t="n">
        <v>16.1538</v>
      </c>
      <c r="F1358" s="4" t="n">
        <v>0.3</v>
      </c>
      <c r="G1358" s="5">
        <f>ROUND(E1358*(1+F1358),2)</f>
        <v>21.00</v>
      </c>
      <c r="H1358" s="5">
        <f>ROUND(G1358*NOTAS!$B$2,2)</f>
        <v>15148.26</v>
      </c>
      <c r="I1358" s="6">
        <f>ROUND(G1358*NOTAS!$B$3,0)</f>
        <v>68226</v>
      </c>
      <c r="J1358" s="2" t="n">
        <v>3</v>
      </c>
    </row>
    <row r="1359">
      <c r="A1359" s="2" t="inlineStr">
        <is>
          <t>94787</t>
        </is>
      </c>
      <c r="B1359" s="2" t="inlineStr"/>
      <c r="C1359" s="2" t="inlineStr">
        <is>
          <t>CORREA DE TIEMPO OPTRA DESIGN 162DT</t>
        </is>
      </c>
      <c r="D1359" s="2" t="inlineStr">
        <is>
          <t>DAYCO</t>
        </is>
      </c>
      <c r="E1359" s="3" t="n">
        <v>16.1538</v>
      </c>
      <c r="F1359" s="4" t="n">
        <v>0.3</v>
      </c>
      <c r="G1359" s="5">
        <f>ROUND(E1359*(1+F1359),2)</f>
        <v>21.00</v>
      </c>
      <c r="H1359" s="5">
        <f>ROUND(G1359*NOTAS!$B$2,2)</f>
        <v>15148.26</v>
      </c>
      <c r="I1359" s="6">
        <f>ROUND(G1359*NOTAS!$B$3,0)</f>
        <v>68226</v>
      </c>
      <c r="J1359" s="2" t="n">
        <v>1</v>
      </c>
    </row>
    <row r="1360">
      <c r="A1360" s="2" t="inlineStr">
        <is>
          <t>T1639</t>
        </is>
      </c>
      <c r="B1360" s="2" t="inlineStr"/>
      <c r="C1360" s="2" t="inlineStr">
        <is>
          <t>CORREA DE TIEMPO ORINOCO TIGGO 2.0 173DT</t>
        </is>
      </c>
      <c r="D1360" s="2" t="inlineStr">
        <is>
          <t>GATES</t>
        </is>
      </c>
      <c r="E1360" s="3" t="n">
        <v>16.9231</v>
      </c>
      <c r="F1360" s="4" t="n">
        <v>0.3</v>
      </c>
      <c r="G1360" s="5">
        <f>ROUND(E1360*(1+F1360),2)</f>
        <v>22.00</v>
      </c>
      <c r="H1360" s="5">
        <f>ROUND(G1360*NOTAS!$B$2,2)</f>
        <v>15869.60</v>
      </c>
      <c r="I1360" s="6">
        <f>ROUND(G1360*NOTAS!$B$3,0)</f>
        <v>71475</v>
      </c>
      <c r="J1360" s="2" t="n">
        <v>1</v>
      </c>
    </row>
    <row r="1361">
      <c r="A1361" s="2" t="inlineStr">
        <is>
          <t>T018</t>
        </is>
      </c>
      <c r="B1361" s="2" t="inlineStr"/>
      <c r="C1361" s="2" t="inlineStr">
        <is>
          <t xml:space="preserve">CORREA DE TIEMPO R-18/FUEGO DIENTE CUADRADO </t>
        </is>
      </c>
      <c r="D1361" s="2" t="inlineStr">
        <is>
          <t>GATES</t>
        </is>
      </c>
      <c r="E1361" s="3" t="n">
        <v>14.6154</v>
      </c>
      <c r="F1361" s="4" t="n">
        <v>0.3</v>
      </c>
      <c r="G1361" s="5">
        <f>ROUND(E1361*(1+F1361),2)</f>
        <v>19.00</v>
      </c>
      <c r="H1361" s="5">
        <f>ROUND(G1361*NOTAS!$B$2,2)</f>
        <v>13705.57</v>
      </c>
      <c r="I1361" s="6">
        <f>ROUND(G1361*NOTAS!$B$3,0)</f>
        <v>61729</v>
      </c>
      <c r="J1361" s="2" t="n">
        <v>1</v>
      </c>
    </row>
    <row r="1362">
      <c r="A1362" s="2" t="inlineStr">
        <is>
          <t>94279</t>
        </is>
      </c>
      <c r="B1362" s="2" t="inlineStr"/>
      <c r="C1362" s="2" t="inlineStr">
        <is>
          <t>CORREA DE TIEMPO R-19 1.4 ENERGY 95DT</t>
        </is>
      </c>
      <c r="D1362" s="2" t="inlineStr">
        <is>
          <t>DAYCO</t>
        </is>
      </c>
      <c r="E1362" s="3" t="n">
        <v>8</v>
      </c>
      <c r="F1362" s="4" t="n">
        <v>0.3</v>
      </c>
      <c r="G1362" s="5">
        <f>ROUND(E1362*(1+F1362),2)</f>
        <v>10.40</v>
      </c>
      <c r="H1362" s="5">
        <f>ROUND(G1362*NOTAS!$B$2,2)</f>
        <v>7501.99</v>
      </c>
      <c r="I1362" s="6">
        <f>ROUND(G1362*NOTAS!$B$3,0)</f>
        <v>33788</v>
      </c>
      <c r="J1362" s="2" t="n">
        <v>9</v>
      </c>
    </row>
    <row r="1363">
      <c r="A1363" s="2" t="inlineStr">
        <is>
          <t>CT709</t>
        </is>
      </c>
      <c r="B1363" s="2" t="inlineStr"/>
      <c r="C1363" s="2" t="inlineStr">
        <is>
          <t>CORREA DE TIEMPO R-19 1.4 ENERGY 95DT</t>
        </is>
      </c>
      <c r="D1363" s="2" t="inlineStr">
        <is>
          <t>CONTINENTAL</t>
        </is>
      </c>
      <c r="E1363" s="3" t="n">
        <v>10</v>
      </c>
      <c r="F1363" s="4" t="n">
        <v>0.3</v>
      </c>
      <c r="G1363" s="5">
        <f>ROUND(E1363*(1+F1363),2)</f>
        <v>13.00</v>
      </c>
      <c r="H1363" s="5">
        <f>ROUND(G1363*NOTAS!$B$2,2)</f>
        <v>9377.49</v>
      </c>
      <c r="I1363" s="6">
        <f>ROUND(G1363*NOTAS!$B$3,0)</f>
        <v>42235</v>
      </c>
      <c r="J1363" s="2" t="n">
        <v>11</v>
      </c>
    </row>
    <row r="1364">
      <c r="A1364" s="2" t="inlineStr">
        <is>
          <t>94279</t>
        </is>
      </c>
      <c r="B1364" s="2" t="inlineStr"/>
      <c r="C1364" s="2" t="inlineStr">
        <is>
          <t>CORREA DE TIEMPO R-19 1.4 ENERGY CLIO 95DT</t>
        </is>
      </c>
      <c r="D1364" s="2" t="inlineStr">
        <is>
          <t>DAYCO</t>
        </is>
      </c>
      <c r="E1364" s="3" t="n">
        <v>8</v>
      </c>
      <c r="F1364" s="4" t="n">
        <v>0.3</v>
      </c>
      <c r="G1364" s="5">
        <f>ROUND(E1364*(1+F1364),2)</f>
        <v>10.40</v>
      </c>
      <c r="H1364" s="5">
        <f>ROUND(G1364*NOTAS!$B$2,2)</f>
        <v>7501.99</v>
      </c>
      <c r="I1364" s="6">
        <f>ROUND(G1364*NOTAS!$B$3,0)</f>
        <v>33788</v>
      </c>
      <c r="J1364" s="2" t="n">
        <v>1</v>
      </c>
    </row>
    <row r="1365">
      <c r="A1365" s="2" t="inlineStr">
        <is>
          <t>94214</t>
        </is>
      </c>
      <c r="B1365" s="2" t="inlineStr"/>
      <c r="C1365" s="2" t="inlineStr">
        <is>
          <t>CORREA DE TIEMPO R-19 1.7/1.8 125DT</t>
        </is>
      </c>
      <c r="D1365" s="2" t="inlineStr">
        <is>
          <t>DAYCO</t>
        </is>
      </c>
      <c r="E1365" s="3" t="n">
        <v>7</v>
      </c>
      <c r="F1365" s="4" t="n">
        <v>0.3</v>
      </c>
      <c r="G1365" s="5">
        <f>ROUND(E1365*(1+F1365),2)</f>
        <v>9.10</v>
      </c>
      <c r="H1365" s="5">
        <f>ROUND(G1365*NOTAS!$B$2,2)</f>
        <v>6564.24</v>
      </c>
      <c r="I1365" s="6">
        <f>ROUND(G1365*NOTAS!$B$3,0)</f>
        <v>29565</v>
      </c>
      <c r="J1365" s="2" t="n">
        <v>1</v>
      </c>
    </row>
    <row r="1366">
      <c r="A1366" s="2" t="inlineStr">
        <is>
          <t>94258</t>
        </is>
      </c>
      <c r="B1366" s="2" t="inlineStr"/>
      <c r="C1366" s="2" t="inlineStr">
        <is>
          <t>CORREA DE TIEMPO R-21 118DT</t>
        </is>
      </c>
      <c r="D1366" s="2" t="inlineStr">
        <is>
          <t>DAYCO</t>
        </is>
      </c>
      <c r="E1366" s="3" t="n">
        <v>13.8462</v>
      </c>
      <c r="F1366" s="4" t="n">
        <v>0.3</v>
      </c>
      <c r="G1366" s="5">
        <f>ROUND(E1366*(1+F1366),2)</f>
        <v>18.00</v>
      </c>
      <c r="H1366" s="5">
        <f>ROUND(G1366*NOTAS!$B$2,2)</f>
        <v>12984.22</v>
      </c>
      <c r="I1366" s="6">
        <f>ROUND(G1366*NOTAS!$B$3,0)</f>
        <v>58480</v>
      </c>
      <c r="J1366" s="2" t="n">
        <v>33</v>
      </c>
    </row>
    <row r="1367">
      <c r="A1367" s="2" t="inlineStr">
        <is>
          <t>RN244</t>
        </is>
      </c>
      <c r="B1367" s="2" t="inlineStr"/>
      <c r="C1367" s="2" t="inlineStr">
        <is>
          <t>CORREA DE TIEMPO R-21 118DT</t>
        </is>
      </c>
      <c r="D1367" s="2" t="inlineStr">
        <is>
          <t>FORKOM-BAOLA</t>
        </is>
      </c>
      <c r="E1367" s="3" t="n">
        <v>13.8462</v>
      </c>
      <c r="F1367" s="4" t="n">
        <v>0.3</v>
      </c>
      <c r="G1367" s="5">
        <f>ROUND(E1367*(1+F1367),2)</f>
        <v>18.00</v>
      </c>
      <c r="H1367" s="5">
        <f>ROUND(G1367*NOTAS!$B$2,2)</f>
        <v>12984.22</v>
      </c>
      <c r="I1367" s="6">
        <f>ROUND(G1367*NOTAS!$B$3,0)</f>
        <v>58480</v>
      </c>
      <c r="J1367" s="2" t="n">
        <v>4</v>
      </c>
    </row>
    <row r="1368">
      <c r="A1368" s="2" t="inlineStr">
        <is>
          <t>T140</t>
        </is>
      </c>
      <c r="B1368" s="2" t="inlineStr"/>
      <c r="C1368" s="2" t="inlineStr">
        <is>
          <t>CORREA DE TIEMPO R-21 118DT</t>
        </is>
      </c>
      <c r="D1368" s="2" t="inlineStr">
        <is>
          <t>GATES</t>
        </is>
      </c>
      <c r="E1368" s="3" t="n">
        <v>13.8462</v>
      </c>
      <c r="F1368" s="4" t="n">
        <v>0.3</v>
      </c>
      <c r="G1368" s="5">
        <f>ROUND(E1368*(1+F1368),2)</f>
        <v>18.00</v>
      </c>
      <c r="H1368" s="5">
        <f>ROUND(G1368*NOTAS!$B$2,2)</f>
        <v>12984.22</v>
      </c>
      <c r="I1368" s="6">
        <f>ROUND(G1368*NOTAS!$B$3,0)</f>
        <v>58480</v>
      </c>
      <c r="J1368" s="2" t="n">
        <v>2</v>
      </c>
    </row>
    <row r="1369">
      <c r="A1369" s="2" t="inlineStr">
        <is>
          <t>CT840</t>
        </is>
      </c>
      <c r="B1369" s="2" t="inlineStr"/>
      <c r="C1369" s="2" t="inlineStr">
        <is>
          <t>CORREA DE TIEMPO R-SCENIC 127DT</t>
        </is>
      </c>
      <c r="D1369" s="2" t="inlineStr">
        <is>
          <t>CONTINENTAL</t>
        </is>
      </c>
      <c r="E1369" s="3" t="n">
        <v>15</v>
      </c>
      <c r="F1369" s="4" t="n">
        <v>0.3</v>
      </c>
      <c r="G1369" s="5">
        <f>ROUND(E1369*(1+F1369),2)</f>
        <v>19.50</v>
      </c>
      <c r="H1369" s="5">
        <f>ROUND(G1369*NOTAS!$B$2,2)</f>
        <v>14066.24</v>
      </c>
      <c r="I1369" s="6">
        <f>ROUND(G1369*NOTAS!$B$3,0)</f>
        <v>63353</v>
      </c>
      <c r="J1369" s="2" t="n">
        <v>2</v>
      </c>
    </row>
    <row r="1370">
      <c r="A1370" s="2" t="inlineStr">
        <is>
          <t>94847</t>
        </is>
      </c>
      <c r="B1370" s="2" t="inlineStr"/>
      <c r="C1370" s="2" t="inlineStr">
        <is>
          <t>CORREA DE TIEMPO R-SYMBOL/CLIO/MEGANE 1.6 16V 132DT</t>
        </is>
      </c>
      <c r="D1370" s="2" t="inlineStr">
        <is>
          <t>DAYCO</t>
        </is>
      </c>
      <c r="E1370" s="3" t="n">
        <v>15.3846</v>
      </c>
      <c r="F1370" s="4" t="n">
        <v>0.3</v>
      </c>
      <c r="G1370" s="5">
        <f>ROUND(E1370*(1+F1370),2)</f>
        <v>20.00</v>
      </c>
      <c r="H1370" s="5">
        <f>ROUND(G1370*NOTAS!$B$2,2)</f>
        <v>14426.91</v>
      </c>
      <c r="I1370" s="6">
        <f>ROUND(G1370*NOTAS!$B$3,0)</f>
        <v>64977</v>
      </c>
      <c r="J1370" s="2" t="n">
        <v>4</v>
      </c>
    </row>
    <row r="1371">
      <c r="A1371" s="2" t="inlineStr">
        <is>
          <t>8200897100</t>
        </is>
      </c>
      <c r="B1371" s="2" t="inlineStr"/>
      <c r="C1371" s="2" t="inlineStr">
        <is>
          <t>CORREA DE TIEMPO R-SYMBOL/CLIO/MEGANE 1.6 16V 132DT</t>
        </is>
      </c>
      <c r="D1371" s="2" t="inlineStr">
        <is>
          <t>RENAULT</t>
        </is>
      </c>
      <c r="E1371" s="3" t="n">
        <v>15.3846</v>
      </c>
      <c r="F1371" s="4" t="n">
        <v>0.3</v>
      </c>
      <c r="G1371" s="5">
        <f>ROUND(E1371*(1+F1371),2)</f>
        <v>20.00</v>
      </c>
      <c r="H1371" s="5">
        <f>ROUND(G1371*NOTAS!$B$2,2)</f>
        <v>14426.91</v>
      </c>
      <c r="I1371" s="6">
        <f>ROUND(G1371*NOTAS!$B$3,0)</f>
        <v>64977</v>
      </c>
      <c r="J1371" s="2" t="n">
        <v>2</v>
      </c>
    </row>
    <row r="1372">
      <c r="A1372" s="2" t="inlineStr">
        <is>
          <t>94785</t>
        </is>
      </c>
      <c r="B1372" s="2" t="inlineStr"/>
      <c r="C1372" s="2" t="inlineStr">
        <is>
          <t>CORREA DE TIEMPO R-SYMBOL/LOGAN 8V 96DT</t>
        </is>
      </c>
      <c r="D1372" s="2" t="inlineStr">
        <is>
          <t>DAYCO</t>
        </is>
      </c>
      <c r="E1372" s="3" t="n">
        <v>12</v>
      </c>
      <c r="F1372" s="4" t="n">
        <v>0.3</v>
      </c>
      <c r="G1372" s="5">
        <f>ROUND(E1372*(1+F1372),2)</f>
        <v>15.60</v>
      </c>
      <c r="H1372" s="5">
        <f>ROUND(G1372*NOTAS!$B$2,2)</f>
        <v>11252.99</v>
      </c>
      <c r="I1372" s="6">
        <f>ROUND(G1372*NOTAS!$B$3,0)</f>
        <v>50682</v>
      </c>
      <c r="J1372" s="2" t="n">
        <v>46</v>
      </c>
    </row>
    <row r="1373">
      <c r="A1373" s="2" t="inlineStr">
        <is>
          <t>CT988</t>
        </is>
      </c>
      <c r="B1373" s="2" t="inlineStr"/>
      <c r="C1373" s="2" t="inlineStr">
        <is>
          <t>CORREA DE TIEMPO R-SYMBOL/LOGAN 8V 96DT</t>
        </is>
      </c>
      <c r="D1373" s="2" t="inlineStr">
        <is>
          <t>CONTINENTAL</t>
        </is>
      </c>
      <c r="E1373" s="3" t="n">
        <v>10</v>
      </c>
      <c r="F1373" s="4" t="n">
        <v>0.3</v>
      </c>
      <c r="G1373" s="5">
        <f>ROUND(E1373*(1+F1373),2)</f>
        <v>13.00</v>
      </c>
      <c r="H1373" s="5">
        <f>ROUND(G1373*NOTAS!$B$2,2)</f>
        <v>9377.49</v>
      </c>
      <c r="I1373" s="6">
        <f>ROUND(G1373*NOTAS!$B$3,0)</f>
        <v>42235</v>
      </c>
      <c r="J1373" s="2" t="n">
        <v>14</v>
      </c>
    </row>
    <row r="1374">
      <c r="A1374" s="2" t="inlineStr">
        <is>
          <t>T1089</t>
        </is>
      </c>
      <c r="B1374" s="2" t="inlineStr"/>
      <c r="C1374" s="2" t="inlineStr">
        <is>
          <t>CORREA DE TIEMPO R-SYMBOL/LOGAN 8V 96DT</t>
        </is>
      </c>
      <c r="D1374" s="2" t="inlineStr">
        <is>
          <t>GATES</t>
        </is>
      </c>
      <c r="E1374" s="3" t="n">
        <v>13.8462</v>
      </c>
      <c r="F1374" s="4" t="n">
        <v>0.3</v>
      </c>
      <c r="G1374" s="5">
        <f>ROUND(E1374*(1+F1374),2)</f>
        <v>18.00</v>
      </c>
      <c r="H1374" s="5">
        <f>ROUND(G1374*NOTAS!$B$2,2)</f>
        <v>12984.22</v>
      </c>
      <c r="I1374" s="6">
        <f>ROUND(G1374*NOTAS!$B$3,0)</f>
        <v>58480</v>
      </c>
      <c r="J1374" s="2" t="n">
        <v>16</v>
      </c>
    </row>
    <row r="1375">
      <c r="A1375" s="2" t="inlineStr">
        <is>
          <t>131486164</t>
        </is>
      </c>
      <c r="B1375" s="2" t="inlineStr"/>
      <c r="C1375" s="2" t="inlineStr">
        <is>
          <t>CORREA DE TIEMPO R-TWINGO 16V 95DT</t>
        </is>
      </c>
      <c r="D1375" s="2" t="inlineStr">
        <is>
          <t>CONTINENTAL</t>
        </is>
      </c>
      <c r="E1375" s="3" t="n">
        <v>13.0769</v>
      </c>
      <c r="F1375" s="4" t="n">
        <v>0.3</v>
      </c>
      <c r="G1375" s="5">
        <f>ROUND(E1375*(1+F1375),2)</f>
        <v>17.00</v>
      </c>
      <c r="H1375" s="5">
        <f>ROUND(G1375*NOTAS!$B$2,2)</f>
        <v>12262.88</v>
      </c>
      <c r="I1375" s="6">
        <f>ROUND(G1375*NOTAS!$B$3,0)</f>
        <v>55231</v>
      </c>
      <c r="J1375" s="2" t="n">
        <v>1</v>
      </c>
    </row>
    <row r="1376">
      <c r="A1376" s="2" t="inlineStr">
        <is>
          <t>94782</t>
        </is>
      </c>
      <c r="B1376" s="2" t="inlineStr"/>
      <c r="C1376" s="2" t="inlineStr">
        <is>
          <t>CORREA DE TIEMPO R-TWINGO 8V 87DT</t>
        </is>
      </c>
      <c r="D1376" s="2" t="inlineStr">
        <is>
          <t>DAYCO</t>
        </is>
      </c>
      <c r="E1376" s="3" t="n">
        <v>10</v>
      </c>
      <c r="F1376" s="4" t="n">
        <v>0.3</v>
      </c>
      <c r="G1376" s="5">
        <f>ROUND(E1376*(1+F1376),2)</f>
        <v>13.00</v>
      </c>
      <c r="H1376" s="5">
        <f>ROUND(G1376*NOTAS!$B$2,2)</f>
        <v>9377.49</v>
      </c>
      <c r="I1376" s="6">
        <f>ROUND(G1376*NOTAS!$B$3,0)</f>
        <v>42235</v>
      </c>
      <c r="J1376" s="2" t="n">
        <v>17</v>
      </c>
    </row>
    <row r="1377">
      <c r="A1377" s="2" t="inlineStr">
        <is>
          <t>QTB510</t>
        </is>
      </c>
      <c r="B1377" s="2" t="inlineStr"/>
      <c r="C1377" s="2" t="inlineStr">
        <is>
          <t>CORREA DE TIEMPO R-TWINGO 8V 87DT</t>
        </is>
      </c>
      <c r="D1377" s="2" t="inlineStr">
        <is>
          <t>QH</t>
        </is>
      </c>
      <c r="E1377" s="3" t="n">
        <v>13.0769</v>
      </c>
      <c r="F1377" s="4" t="n">
        <v>0.3</v>
      </c>
      <c r="G1377" s="5">
        <f>ROUND(E1377*(1+F1377),2)</f>
        <v>17.00</v>
      </c>
      <c r="H1377" s="5">
        <f>ROUND(G1377*NOTAS!$B$2,2)</f>
        <v>12262.88</v>
      </c>
      <c r="I1377" s="6">
        <f>ROUND(G1377*NOTAS!$B$3,0)</f>
        <v>55231</v>
      </c>
      <c r="J1377" s="2" t="n">
        <v>1</v>
      </c>
    </row>
    <row r="1378">
      <c r="A1378" s="2" t="inlineStr">
        <is>
          <t>94904</t>
        </is>
      </c>
      <c r="B1378" s="2" t="inlineStr"/>
      <c r="C1378" s="2" t="inlineStr">
        <is>
          <t>CORREA DE TIEMPO SPARK 109DT</t>
        </is>
      </c>
      <c r="D1378" s="2" t="inlineStr">
        <is>
          <t>DAYCO</t>
        </is>
      </c>
      <c r="E1378" s="3" t="n">
        <v>11.5385</v>
      </c>
      <c r="F1378" s="4" t="n">
        <v>0.3</v>
      </c>
      <c r="G1378" s="5">
        <f>ROUND(E1378*(1+F1378),2)</f>
        <v>15.00</v>
      </c>
      <c r="H1378" s="5">
        <f>ROUND(G1378*NOTAS!$B$2,2)</f>
        <v>10820.18</v>
      </c>
      <c r="I1378" s="6">
        <f>ROUND(G1378*NOTAS!$B$3,0)</f>
        <v>48733</v>
      </c>
      <c r="J1378" s="2" t="n">
        <v>7</v>
      </c>
    </row>
    <row r="1379">
      <c r="A1379" s="2" t="inlineStr">
        <is>
          <t>94103</t>
        </is>
      </c>
      <c r="B1379" s="2" t="inlineStr"/>
      <c r="C1379" s="2" t="inlineStr">
        <is>
          <t>CORREA DE TIEMPO SWIFT 1.3 89DT</t>
        </is>
      </c>
      <c r="D1379" s="2" t="inlineStr">
        <is>
          <t>DAYCO</t>
        </is>
      </c>
      <c r="E1379" s="3" t="n">
        <v>11.5385</v>
      </c>
      <c r="F1379" s="4" t="n">
        <v>0.3</v>
      </c>
      <c r="G1379" s="5">
        <f>ROUND(E1379*(1+F1379),2)</f>
        <v>15.00</v>
      </c>
      <c r="H1379" s="5">
        <f>ROUND(G1379*NOTAS!$B$2,2)</f>
        <v>10820.18</v>
      </c>
      <c r="I1379" s="6">
        <f>ROUND(G1379*NOTAS!$B$3,0)</f>
        <v>48733</v>
      </c>
      <c r="J1379" s="2" t="n">
        <v>4</v>
      </c>
    </row>
    <row r="1380">
      <c r="A1380" s="2" t="inlineStr">
        <is>
          <t>94451</t>
        </is>
      </c>
      <c r="B1380" s="2" t="inlineStr"/>
      <c r="C1380" s="2" t="inlineStr">
        <is>
          <t>CORREA DE TIEMPO SWIFT/ESTEEM 1.6 103DT</t>
        </is>
      </c>
      <c r="D1380" s="2" t="inlineStr">
        <is>
          <t>DAYCO</t>
        </is>
      </c>
      <c r="E1380" s="3" t="n">
        <v>12.3077</v>
      </c>
      <c r="F1380" s="4" t="n">
        <v>0.3</v>
      </c>
      <c r="G1380" s="5">
        <f>ROUND(E1380*(1+F1380),2)</f>
        <v>16.00</v>
      </c>
      <c r="H1380" s="5">
        <f>ROUND(G1380*NOTAS!$B$2,2)</f>
        <v>11541.53</v>
      </c>
      <c r="I1380" s="6">
        <f>ROUND(G1380*NOTAS!$B$3,0)</f>
        <v>51982</v>
      </c>
      <c r="J1380" s="2" t="n">
        <v>22</v>
      </c>
    </row>
    <row r="1381">
      <c r="A1381" s="2" t="inlineStr">
        <is>
          <t>255LA059/68</t>
        </is>
      </c>
      <c r="B1381" s="2" t="inlineStr"/>
      <c r="C1381" s="2" t="inlineStr">
        <is>
          <t>CORREA DIRECCION F-BRAVA 68DT</t>
        </is>
      </c>
      <c r="D1381" s="2" t="inlineStr">
        <is>
          <t>SAIAG</t>
        </is>
      </c>
      <c r="E1381" s="3" t="n">
        <v>11.5385</v>
      </c>
      <c r="F1381" s="4" t="n">
        <v>0.3</v>
      </c>
      <c r="G1381" s="5">
        <f>ROUND(E1381*(1+F1381),2)</f>
        <v>15.00</v>
      </c>
      <c r="H1381" s="5">
        <f>ROUND(G1381*NOTAS!$B$2,2)</f>
        <v>10820.18</v>
      </c>
      <c r="I1381" s="6">
        <f>ROUND(G1381*NOTAS!$B$3,0)</f>
        <v>48733</v>
      </c>
      <c r="J1381" s="2" t="n">
        <v>1</v>
      </c>
    </row>
    <row r="1382">
      <c r="A1382" s="2" t="inlineStr">
        <is>
          <t>4PK0607</t>
        </is>
      </c>
      <c r="B1382" s="2" t="inlineStr"/>
      <c r="C1382" s="2" t="inlineStr">
        <is>
          <t>CORREA DIRECCION HID ACCENT</t>
        </is>
      </c>
      <c r="D1382" s="2" t="inlineStr">
        <is>
          <t>GATES</t>
        </is>
      </c>
      <c r="E1382" s="3" t="n">
        <v>4</v>
      </c>
      <c r="F1382" s="4" t="n">
        <v>0.3</v>
      </c>
      <c r="G1382" s="5">
        <f>ROUND(E1382*(1+F1382),2)</f>
        <v>5.20</v>
      </c>
      <c r="H1382" s="5">
        <f>ROUND(G1382*NOTAS!$B$2,2)</f>
        <v>3751.00</v>
      </c>
      <c r="I1382" s="6">
        <f>ROUND(G1382*NOTAS!$B$3,0)</f>
        <v>16894</v>
      </c>
      <c r="J1382" s="2" t="n">
        <v>2</v>
      </c>
    </row>
    <row r="1383">
      <c r="A1383" s="2" t="inlineStr">
        <is>
          <t>3PK0905</t>
        </is>
      </c>
      <c r="B1383" s="2" t="inlineStr"/>
      <c r="C1383" s="2" t="inlineStr">
        <is>
          <t>CORREA DIRECCION HID F-PAL/SIE 1.3 16V FIRE</t>
        </is>
      </c>
      <c r="D1383" s="2" t="inlineStr">
        <is>
          <t>CONTINENTAL</t>
        </is>
      </c>
      <c r="E1383" s="3" t="n">
        <v>3</v>
      </c>
      <c r="F1383" s="4" t="n">
        <v>0.3</v>
      </c>
      <c r="G1383" s="5">
        <f>ROUND(E1383*(1+F1383),2)</f>
        <v>3.90</v>
      </c>
      <c r="H1383" s="5">
        <f>ROUND(G1383*NOTAS!$B$2,2)</f>
        <v>2813.25</v>
      </c>
      <c r="I1383" s="6">
        <f>ROUND(G1383*NOTAS!$B$3,0)</f>
        <v>12671</v>
      </c>
      <c r="J1383" s="2" t="n">
        <v>7</v>
      </c>
    </row>
    <row r="1384">
      <c r="A1384" s="2" t="inlineStr">
        <is>
          <t>3PK0910</t>
        </is>
      </c>
      <c r="B1384" s="2" t="inlineStr">
        <is>
          <t>K030358</t>
        </is>
      </c>
      <c r="C1384" s="2" t="inlineStr">
        <is>
          <t>CORREA DIRECCION HID F-PAL/SIE 1.3 16V FIRE</t>
        </is>
      </c>
      <c r="D1384" s="2" t="inlineStr">
        <is>
          <t>GATES</t>
        </is>
      </c>
      <c r="E1384" s="3" t="n">
        <v>3</v>
      </c>
      <c r="F1384" s="4" t="n">
        <v>0.3</v>
      </c>
      <c r="G1384" s="5">
        <f>ROUND(E1384*(1+F1384),2)</f>
        <v>3.90</v>
      </c>
      <c r="H1384" s="5">
        <f>ROUND(G1384*NOTAS!$B$2,2)</f>
        <v>2813.25</v>
      </c>
      <c r="I1384" s="6">
        <f>ROUND(G1384*NOTAS!$B$3,0)</f>
        <v>12671</v>
      </c>
      <c r="J1384" s="2" t="n">
        <v>3</v>
      </c>
    </row>
    <row r="1385">
      <c r="A1385" s="2" t="inlineStr">
        <is>
          <t>3PK0965</t>
        </is>
      </c>
      <c r="B1385" s="2" t="inlineStr"/>
      <c r="C1385" s="2" t="inlineStr">
        <is>
          <t>CORREA DIRECCION HID F-PAL/SIE 1.3 16V FIRE</t>
        </is>
      </c>
      <c r="D1385" s="2" t="inlineStr">
        <is>
          <t>WOLF</t>
        </is>
      </c>
      <c r="E1385" s="3" t="n">
        <v>3.5</v>
      </c>
      <c r="F1385" s="4" t="n">
        <v>0.3</v>
      </c>
      <c r="G1385" s="5">
        <f>ROUND(E1385*(1+F1385),2)</f>
        <v>4.55</v>
      </c>
      <c r="H1385" s="5">
        <f>ROUND(G1385*NOTAS!$B$2,2)</f>
        <v>3282.12</v>
      </c>
      <c r="I1385" s="6">
        <f>ROUND(G1385*NOTAS!$B$3,0)</f>
        <v>14782</v>
      </c>
      <c r="J1385" s="2" t="n">
        <v>2</v>
      </c>
    </row>
    <row r="1386">
      <c r="A1386" s="2" t="inlineStr">
        <is>
          <t>49-040775</t>
        </is>
      </c>
      <c r="B1386" s="2" t="inlineStr"/>
      <c r="C1386" s="2" t="inlineStr">
        <is>
          <t>CORREA DIRECCION HIDRAUDICA F-PAL/SIE 1.3</t>
        </is>
      </c>
      <c r="D1386" s="2" t="inlineStr">
        <is>
          <t>FEDERAL MOGUL</t>
        </is>
      </c>
      <c r="E1386" s="3" t="n">
        <v>4</v>
      </c>
      <c r="F1386" s="4" t="n">
        <v>0.3</v>
      </c>
      <c r="G1386" s="5">
        <f>ROUND(E1386*(1+F1386),2)</f>
        <v>5.20</v>
      </c>
      <c r="H1386" s="5">
        <f>ROUND(G1386*NOTAS!$B$2,2)</f>
        <v>3751.00</v>
      </c>
      <c r="I1386" s="6">
        <f>ROUND(G1386*NOTAS!$B$3,0)</f>
        <v>16894</v>
      </c>
      <c r="J1386" s="2" t="n">
        <v>4</v>
      </c>
    </row>
    <row r="1387">
      <c r="A1387" s="2" t="inlineStr">
        <is>
          <t>7215</t>
        </is>
      </c>
      <c r="B1387" s="2" t="inlineStr"/>
      <c r="C1387" s="2" t="inlineStr">
        <is>
          <t>CORREA GATES UNIVERSAL</t>
        </is>
      </c>
      <c r="D1387" s="2" t="inlineStr">
        <is>
          <t>GATES</t>
        </is>
      </c>
      <c r="E1387" s="3" t="n">
        <v>3</v>
      </c>
      <c r="F1387" s="4" t="n">
        <v>0.3</v>
      </c>
      <c r="G1387" s="5">
        <f>ROUND(E1387*(1+F1387),2)</f>
        <v>3.90</v>
      </c>
      <c r="H1387" s="5">
        <f>ROUND(G1387*NOTAS!$B$2,2)</f>
        <v>2813.25</v>
      </c>
      <c r="I1387" s="6">
        <f>ROUND(G1387*NOTAS!$B$3,0)</f>
        <v>12671</v>
      </c>
      <c r="J1387" s="2" t="n">
        <v>3</v>
      </c>
    </row>
    <row r="1388">
      <c r="A1388" s="2" t="inlineStr">
        <is>
          <t>9335</t>
        </is>
      </c>
      <c r="B1388" s="2" t="inlineStr"/>
      <c r="C1388" s="2" t="inlineStr">
        <is>
          <t>CORREA GATES UNIVERSAL</t>
        </is>
      </c>
      <c r="D1388" s="2" t="inlineStr">
        <is>
          <t>GATES</t>
        </is>
      </c>
      <c r="E1388" s="3" t="n">
        <v>3</v>
      </c>
      <c r="F1388" s="4" t="n">
        <v>0.3</v>
      </c>
      <c r="G1388" s="5">
        <f>ROUND(E1388*(1+F1388),2)</f>
        <v>3.90</v>
      </c>
      <c r="H1388" s="5">
        <f>ROUND(G1388*NOTAS!$B$2,2)</f>
        <v>2813.25</v>
      </c>
      <c r="I1388" s="6">
        <f>ROUND(G1388*NOTAS!$B$3,0)</f>
        <v>12671</v>
      </c>
      <c r="J1388" s="2" t="n">
        <v>1</v>
      </c>
    </row>
    <row r="1389">
      <c r="A1389" s="2" t="inlineStr">
        <is>
          <t>U7445</t>
        </is>
      </c>
      <c r="B1389" s="2" t="inlineStr"/>
      <c r="C1389" s="2" t="inlineStr">
        <is>
          <t>CORREA GATES UNIVERSAL</t>
        </is>
      </c>
      <c r="D1389" s="2" t="inlineStr">
        <is>
          <t>GATES</t>
        </is>
      </c>
      <c r="E1389" s="3" t="n">
        <v>3</v>
      </c>
      <c r="F1389" s="4" t="n">
        <v>0.3</v>
      </c>
      <c r="G1389" s="5">
        <f>ROUND(E1389*(1+F1389),2)</f>
        <v>3.90</v>
      </c>
      <c r="H1389" s="5">
        <f>ROUND(G1389*NOTAS!$B$2,2)</f>
        <v>2813.25</v>
      </c>
      <c r="I1389" s="6">
        <f>ROUND(G1389*NOTAS!$B$3,0)</f>
        <v>12671</v>
      </c>
      <c r="J1389" s="2" t="n">
        <v>2</v>
      </c>
    </row>
    <row r="1390">
      <c r="A1390" s="2" t="inlineStr">
        <is>
          <t>13261</t>
        </is>
      </c>
      <c r="B1390" s="2" t="inlineStr"/>
      <c r="C1390" s="2" t="inlineStr">
        <is>
          <t>CORREA GOODYEAR UNIVERSAL</t>
        </is>
      </c>
      <c r="D1390" s="2" t="inlineStr">
        <is>
          <t>GOODYEAR</t>
        </is>
      </c>
      <c r="E1390" s="3" t="n">
        <v>2</v>
      </c>
      <c r="F1390" s="4" t="n">
        <v>0.3</v>
      </c>
      <c r="G1390" s="5">
        <f>ROUND(E1390*(1+F1390),2)</f>
        <v>2.60</v>
      </c>
      <c r="H1390" s="5">
        <f>ROUND(G1390*NOTAS!$B$2,2)</f>
        <v>1875.50</v>
      </c>
      <c r="I1390" s="6">
        <f>ROUND(G1390*NOTAS!$B$3,0)</f>
        <v>8447</v>
      </c>
      <c r="J1390" s="2" t="n">
        <v>1</v>
      </c>
    </row>
    <row r="1391">
      <c r="A1391" s="2" t="inlineStr">
        <is>
          <t>13291</t>
        </is>
      </c>
      <c r="B1391" s="2" t="inlineStr"/>
      <c r="C1391" s="2" t="inlineStr">
        <is>
          <t>CORREA GOODYEAR UNIVERSAL</t>
        </is>
      </c>
      <c r="D1391" s="2" t="inlineStr">
        <is>
          <t>GOODYEAR</t>
        </is>
      </c>
      <c r="E1391" s="3" t="n">
        <v>2</v>
      </c>
      <c r="F1391" s="4" t="n">
        <v>0.3</v>
      </c>
      <c r="G1391" s="5">
        <f>ROUND(E1391*(1+F1391),2)</f>
        <v>2.60</v>
      </c>
      <c r="H1391" s="5">
        <f>ROUND(G1391*NOTAS!$B$2,2)</f>
        <v>1875.50</v>
      </c>
      <c r="I1391" s="6">
        <f>ROUND(G1391*NOTAS!$B$3,0)</f>
        <v>8447</v>
      </c>
      <c r="J1391" s="2" t="n">
        <v>4</v>
      </c>
    </row>
    <row r="1392">
      <c r="A1392" s="2" t="inlineStr">
        <is>
          <t>13371</t>
        </is>
      </c>
      <c r="B1392" s="2" t="inlineStr"/>
      <c r="C1392" s="2" t="inlineStr">
        <is>
          <t>CORREA GOODYEAR UNIVERSAL</t>
        </is>
      </c>
      <c r="D1392" s="2" t="inlineStr">
        <is>
          <t>GOODYEAR</t>
        </is>
      </c>
      <c r="E1392" s="3" t="n">
        <v>2</v>
      </c>
      <c r="F1392" s="4" t="n">
        <v>0.3</v>
      </c>
      <c r="G1392" s="5">
        <f>ROUND(E1392*(1+F1392),2)</f>
        <v>2.60</v>
      </c>
      <c r="H1392" s="5">
        <f>ROUND(G1392*NOTAS!$B$2,2)</f>
        <v>1875.50</v>
      </c>
      <c r="I1392" s="6">
        <f>ROUND(G1392*NOTAS!$B$3,0)</f>
        <v>8447</v>
      </c>
      <c r="J1392" s="2" t="n">
        <v>1</v>
      </c>
    </row>
    <row r="1393">
      <c r="A1393" s="2" t="inlineStr">
        <is>
          <t>13381</t>
        </is>
      </c>
      <c r="B1393" s="2" t="inlineStr"/>
      <c r="C1393" s="2" t="inlineStr">
        <is>
          <t>CORREA GOODYEAR UNIVERSAL</t>
        </is>
      </c>
      <c r="D1393" s="2" t="inlineStr">
        <is>
          <t>GOODYEAR</t>
        </is>
      </c>
      <c r="E1393" s="3" t="n">
        <v>2</v>
      </c>
      <c r="F1393" s="4" t="n">
        <v>0.3</v>
      </c>
      <c r="G1393" s="5">
        <f>ROUND(E1393*(1+F1393),2)</f>
        <v>2.60</v>
      </c>
      <c r="H1393" s="5">
        <f>ROUND(G1393*NOTAS!$B$2,2)</f>
        <v>1875.50</v>
      </c>
      <c r="I1393" s="6">
        <f>ROUND(G1393*NOTAS!$B$3,0)</f>
        <v>8447</v>
      </c>
      <c r="J1393" s="2" t="n">
        <v>1</v>
      </c>
    </row>
    <row r="1394">
      <c r="A1394" s="2" t="inlineStr">
        <is>
          <t>13391</t>
        </is>
      </c>
      <c r="B1394" s="2" t="inlineStr"/>
      <c r="C1394" s="2" t="inlineStr">
        <is>
          <t>CORREA GOODYEAR UNIVERSAL</t>
        </is>
      </c>
      <c r="D1394" s="2" t="inlineStr">
        <is>
          <t>GOODYEAR</t>
        </is>
      </c>
      <c r="E1394" s="3" t="n">
        <v>2</v>
      </c>
      <c r="F1394" s="4" t="n">
        <v>0.3</v>
      </c>
      <c r="G1394" s="5">
        <f>ROUND(E1394*(1+F1394),2)</f>
        <v>2.60</v>
      </c>
      <c r="H1394" s="5">
        <f>ROUND(G1394*NOTAS!$B$2,2)</f>
        <v>1875.50</v>
      </c>
      <c r="I1394" s="6">
        <f>ROUND(G1394*NOTAS!$B$3,0)</f>
        <v>8447</v>
      </c>
      <c r="J1394" s="2" t="n">
        <v>3</v>
      </c>
    </row>
    <row r="1395">
      <c r="A1395" s="2" t="inlineStr">
        <is>
          <t>13451</t>
        </is>
      </c>
      <c r="B1395" s="2" t="inlineStr"/>
      <c r="C1395" s="2" t="inlineStr">
        <is>
          <t>CORREA GOODYEAR UNIVERSAL</t>
        </is>
      </c>
      <c r="D1395" s="2" t="inlineStr">
        <is>
          <t>GOODYEAR</t>
        </is>
      </c>
      <c r="E1395" s="3" t="n">
        <v>2</v>
      </c>
      <c r="F1395" s="4" t="n">
        <v>0.3</v>
      </c>
      <c r="G1395" s="5">
        <f>ROUND(E1395*(1+F1395),2)</f>
        <v>2.60</v>
      </c>
      <c r="H1395" s="5">
        <f>ROUND(G1395*NOTAS!$B$2,2)</f>
        <v>1875.50</v>
      </c>
      <c r="I1395" s="6">
        <f>ROUND(G1395*NOTAS!$B$3,0)</f>
        <v>8447</v>
      </c>
      <c r="J1395" s="2" t="n">
        <v>5</v>
      </c>
    </row>
    <row r="1396">
      <c r="A1396" s="2" t="inlineStr">
        <is>
          <t>15215</t>
        </is>
      </c>
      <c r="B1396" s="2" t="inlineStr"/>
      <c r="C1396" s="2" t="inlineStr">
        <is>
          <t>CORREA GOODYEAR UNIVERSAL</t>
        </is>
      </c>
      <c r="D1396" s="2" t="inlineStr">
        <is>
          <t>GOODYEAR</t>
        </is>
      </c>
      <c r="E1396" s="3" t="n">
        <v>2</v>
      </c>
      <c r="F1396" s="4" t="n">
        <v>0.3</v>
      </c>
      <c r="G1396" s="5">
        <f>ROUND(E1396*(1+F1396),2)</f>
        <v>2.60</v>
      </c>
      <c r="H1396" s="5">
        <f>ROUND(G1396*NOTAS!$B$2,2)</f>
        <v>1875.50</v>
      </c>
      <c r="I1396" s="6">
        <f>ROUND(G1396*NOTAS!$B$3,0)</f>
        <v>8447</v>
      </c>
      <c r="J1396" s="2" t="n">
        <v>3</v>
      </c>
    </row>
    <row r="1397">
      <c r="A1397" s="2" t="inlineStr">
        <is>
          <t>15281</t>
        </is>
      </c>
      <c r="B1397" s="2" t="inlineStr"/>
      <c r="C1397" s="2" t="inlineStr">
        <is>
          <t>CORREA GOODYEAR UNIVERSAL</t>
        </is>
      </c>
      <c r="D1397" s="2" t="inlineStr">
        <is>
          <t>GOODYEAR</t>
        </is>
      </c>
      <c r="E1397" s="3" t="n">
        <v>2</v>
      </c>
      <c r="F1397" s="4" t="n">
        <v>0.3</v>
      </c>
      <c r="G1397" s="5">
        <f>ROUND(E1397*(1+F1397),2)</f>
        <v>2.60</v>
      </c>
      <c r="H1397" s="5">
        <f>ROUND(G1397*NOTAS!$B$2,2)</f>
        <v>1875.50</v>
      </c>
      <c r="I1397" s="6">
        <f>ROUND(G1397*NOTAS!$B$3,0)</f>
        <v>8447</v>
      </c>
      <c r="J1397" s="2" t="n">
        <v>1</v>
      </c>
    </row>
    <row r="1398">
      <c r="A1398" s="2" t="inlineStr">
        <is>
          <t>15310</t>
        </is>
      </c>
      <c r="B1398" s="2" t="inlineStr"/>
      <c r="C1398" s="2" t="inlineStr">
        <is>
          <t>CORREA GOODYEAR UNIVERSAL</t>
        </is>
      </c>
      <c r="D1398" s="2" t="inlineStr">
        <is>
          <t>GOODYEAR</t>
        </is>
      </c>
      <c r="E1398" s="3" t="n">
        <v>2</v>
      </c>
      <c r="F1398" s="4" t="n">
        <v>0.3</v>
      </c>
      <c r="G1398" s="5">
        <f>ROUND(E1398*(1+F1398),2)</f>
        <v>2.60</v>
      </c>
      <c r="H1398" s="5">
        <f>ROUND(G1398*NOTAS!$B$2,2)</f>
        <v>1875.50</v>
      </c>
      <c r="I1398" s="6">
        <f>ROUND(G1398*NOTAS!$B$3,0)</f>
        <v>8447</v>
      </c>
      <c r="J1398" s="2" t="n">
        <v>1</v>
      </c>
    </row>
    <row r="1399">
      <c r="A1399" s="2" t="inlineStr">
        <is>
          <t>15431</t>
        </is>
      </c>
      <c r="B1399" s="2" t="inlineStr"/>
      <c r="C1399" s="2" t="inlineStr">
        <is>
          <t>CORREA GOODYEAR UNIVERSAL</t>
        </is>
      </c>
      <c r="D1399" s="2" t="inlineStr">
        <is>
          <t>GOODYEAR</t>
        </is>
      </c>
      <c r="E1399" s="3" t="n">
        <v>2</v>
      </c>
      <c r="F1399" s="4" t="n">
        <v>0.3</v>
      </c>
      <c r="G1399" s="5">
        <f>ROUND(E1399*(1+F1399),2)</f>
        <v>2.60</v>
      </c>
      <c r="H1399" s="5">
        <f>ROUND(G1399*NOTAS!$B$2,2)</f>
        <v>1875.50</v>
      </c>
      <c r="I1399" s="6">
        <f>ROUND(G1399*NOTAS!$B$3,0)</f>
        <v>8447</v>
      </c>
      <c r="J1399" s="2" t="n">
        <v>2</v>
      </c>
    </row>
    <row r="1400">
      <c r="A1400" s="2" t="inlineStr">
        <is>
          <t>17351</t>
        </is>
      </c>
      <c r="B1400" s="2" t="inlineStr"/>
      <c r="C1400" s="2" t="inlineStr">
        <is>
          <t>CORREA GOODYEAR UNIVERSAL</t>
        </is>
      </c>
      <c r="D1400" s="2" t="inlineStr">
        <is>
          <t>GOODYEAR</t>
        </is>
      </c>
      <c r="E1400" s="3" t="n">
        <v>2</v>
      </c>
      <c r="F1400" s="4" t="n">
        <v>0.3</v>
      </c>
      <c r="G1400" s="5">
        <f>ROUND(E1400*(1+F1400),2)</f>
        <v>2.60</v>
      </c>
      <c r="H1400" s="5">
        <f>ROUND(G1400*NOTAS!$B$2,2)</f>
        <v>1875.50</v>
      </c>
      <c r="I1400" s="6">
        <f>ROUND(G1400*NOTAS!$B$3,0)</f>
        <v>8447</v>
      </c>
      <c r="J1400" s="2" t="n">
        <v>2</v>
      </c>
    </row>
    <row r="1401">
      <c r="A1401" s="2" t="inlineStr">
        <is>
          <t>17395</t>
        </is>
      </c>
      <c r="B1401" s="2" t="inlineStr"/>
      <c r="C1401" s="2" t="inlineStr">
        <is>
          <t>CORREA GOODYEAR UNIVERSAL</t>
        </is>
      </c>
      <c r="D1401" s="2" t="inlineStr">
        <is>
          <t>GOODYEAR</t>
        </is>
      </c>
      <c r="E1401" s="3" t="n">
        <v>3</v>
      </c>
      <c r="F1401" s="4" t="n">
        <v>0.3</v>
      </c>
      <c r="G1401" s="5">
        <f>ROUND(E1401*(1+F1401),2)</f>
        <v>3.90</v>
      </c>
      <c r="H1401" s="5">
        <f>ROUND(G1401*NOTAS!$B$2,2)</f>
        <v>2813.25</v>
      </c>
      <c r="I1401" s="6">
        <f>ROUND(G1401*NOTAS!$B$3,0)</f>
        <v>12671</v>
      </c>
      <c r="J1401" s="2" t="n">
        <v>6</v>
      </c>
    </row>
    <row r="1402">
      <c r="A1402" s="2" t="inlineStr">
        <is>
          <t>17395</t>
        </is>
      </c>
      <c r="B1402" s="2" t="inlineStr"/>
      <c r="C1402" s="2" t="inlineStr">
        <is>
          <t>CORREA GOODYEAR UNIVERSAL</t>
        </is>
      </c>
      <c r="D1402" s="2" t="inlineStr">
        <is>
          <t>GOODYEAR</t>
        </is>
      </c>
      <c r="E1402" s="3" t="n">
        <v>3</v>
      </c>
      <c r="F1402" s="4" t="n">
        <v>0.3</v>
      </c>
      <c r="G1402" s="5">
        <f>ROUND(E1402*(1+F1402),2)</f>
        <v>3.90</v>
      </c>
      <c r="H1402" s="5">
        <f>ROUND(G1402*NOTAS!$B$2,2)</f>
        <v>2813.25</v>
      </c>
      <c r="I1402" s="6">
        <f>ROUND(G1402*NOTAS!$B$3,0)</f>
        <v>12671</v>
      </c>
      <c r="J1402" s="2" t="n">
        <v>6</v>
      </c>
    </row>
    <row r="1403">
      <c r="A1403" s="2" t="inlineStr">
        <is>
          <t>17465</t>
        </is>
      </c>
      <c r="B1403" s="2" t="inlineStr"/>
      <c r="C1403" s="2" t="inlineStr">
        <is>
          <t>CORREA GOODYEAR UNIVERSAL</t>
        </is>
      </c>
      <c r="D1403" s="2" t="inlineStr">
        <is>
          <t>GOODYEAR</t>
        </is>
      </c>
      <c r="E1403" s="3" t="n">
        <v>3</v>
      </c>
      <c r="F1403" s="4" t="n">
        <v>0.3</v>
      </c>
      <c r="G1403" s="5">
        <f>ROUND(E1403*(1+F1403),2)</f>
        <v>3.90</v>
      </c>
      <c r="H1403" s="5">
        <f>ROUND(G1403*NOTAS!$B$2,2)</f>
        <v>2813.25</v>
      </c>
      <c r="I1403" s="6">
        <f>ROUND(G1403*NOTAS!$B$3,0)</f>
        <v>12671</v>
      </c>
      <c r="J1403" s="2" t="n">
        <v>1</v>
      </c>
    </row>
    <row r="1404">
      <c r="A1404" s="2" t="inlineStr">
        <is>
          <t>17471</t>
        </is>
      </c>
      <c r="B1404" s="2" t="inlineStr"/>
      <c r="C1404" s="2" t="inlineStr">
        <is>
          <t>CORREA GOODYEAR UNIVERSAL</t>
        </is>
      </c>
      <c r="D1404" s="2" t="inlineStr">
        <is>
          <t>GOODYEAR</t>
        </is>
      </c>
      <c r="E1404" s="3" t="n">
        <v>3</v>
      </c>
      <c r="F1404" s="4" t="n">
        <v>0.3</v>
      </c>
      <c r="G1404" s="5">
        <f>ROUND(E1404*(1+F1404),2)</f>
        <v>3.90</v>
      </c>
      <c r="H1404" s="5">
        <f>ROUND(G1404*NOTAS!$B$2,2)</f>
        <v>2813.25</v>
      </c>
      <c r="I1404" s="6">
        <f>ROUND(G1404*NOTAS!$B$3,0)</f>
        <v>12671</v>
      </c>
      <c r="J1404" s="2" t="n">
        <v>3</v>
      </c>
    </row>
    <row r="1405">
      <c r="A1405" s="2" t="inlineStr">
        <is>
          <t>17491</t>
        </is>
      </c>
      <c r="B1405" s="2" t="inlineStr"/>
      <c r="C1405" s="2" t="inlineStr">
        <is>
          <t>CORREA GOODYEAR UNIVERSAL</t>
        </is>
      </c>
      <c r="D1405" s="2" t="inlineStr">
        <is>
          <t>GOODYEAR</t>
        </is>
      </c>
      <c r="E1405" s="3" t="n">
        <v>3</v>
      </c>
      <c r="F1405" s="4" t="n">
        <v>0.3</v>
      </c>
      <c r="G1405" s="5">
        <f>ROUND(E1405*(1+F1405),2)</f>
        <v>3.90</v>
      </c>
      <c r="H1405" s="5">
        <f>ROUND(G1405*NOTAS!$B$2,2)</f>
        <v>2813.25</v>
      </c>
      <c r="I1405" s="6">
        <f>ROUND(G1405*NOTAS!$B$3,0)</f>
        <v>12671</v>
      </c>
      <c r="J1405" s="2" t="n">
        <v>2</v>
      </c>
    </row>
    <row r="1406">
      <c r="A1406" s="2" t="inlineStr">
        <is>
          <t>22415</t>
        </is>
      </c>
      <c r="B1406" s="2" t="inlineStr"/>
      <c r="C1406" s="2" t="inlineStr">
        <is>
          <t>CORREA GOODYEAR UNIVERSAL</t>
        </is>
      </c>
      <c r="D1406" s="2" t="inlineStr">
        <is>
          <t>GOODYEAR</t>
        </is>
      </c>
      <c r="E1406" s="3" t="n">
        <v>3</v>
      </c>
      <c r="F1406" s="4" t="n">
        <v>0.3</v>
      </c>
      <c r="G1406" s="5">
        <f>ROUND(E1406*(1+F1406),2)</f>
        <v>3.90</v>
      </c>
      <c r="H1406" s="5">
        <f>ROUND(G1406*NOTAS!$B$2,2)</f>
        <v>2813.25</v>
      </c>
      <c r="I1406" s="6">
        <f>ROUND(G1406*NOTAS!$B$3,0)</f>
        <v>12671</v>
      </c>
      <c r="J1406" s="2" t="n">
        <v>1</v>
      </c>
    </row>
    <row r="1407">
      <c r="A1407" s="2" t="inlineStr">
        <is>
          <t>4PK1180</t>
        </is>
      </c>
      <c r="B1407" s="2" t="inlineStr"/>
      <c r="C1407" s="2" t="inlineStr">
        <is>
          <t>CORREA MULTIFUNCIONAL ALTERNADOR YARIS 1.3</t>
        </is>
      </c>
      <c r="D1407" s="2" t="inlineStr">
        <is>
          <t>DAYCO</t>
        </is>
      </c>
      <c r="E1407" s="3" t="n">
        <v>5</v>
      </c>
      <c r="F1407" s="4" t="n">
        <v>0.3</v>
      </c>
      <c r="G1407" s="5">
        <f>ROUND(E1407*(1+F1407),2)</f>
        <v>6.50</v>
      </c>
      <c r="H1407" s="5">
        <f>ROUND(G1407*NOTAS!$B$2,2)</f>
        <v>4688.75</v>
      </c>
      <c r="I1407" s="6">
        <f>ROUND(G1407*NOTAS!$B$3,0)</f>
        <v>21118</v>
      </c>
      <c r="J1407" s="2" t="n">
        <v>5</v>
      </c>
    </row>
    <row r="1408">
      <c r="A1408" s="2" t="inlineStr">
        <is>
          <t>6PK1875</t>
        </is>
      </c>
      <c r="B1408" s="2" t="inlineStr">
        <is>
          <t>96990678</t>
        </is>
      </c>
      <c r="C1408" s="2" t="inlineStr">
        <is>
          <t>CORREA MULTIFUNCIONAL AVEO/NUBIRA 1.6</t>
        </is>
      </c>
      <c r="D1408" s="2" t="inlineStr">
        <is>
          <t>GATES</t>
        </is>
      </c>
      <c r="E1408" s="3" t="n">
        <v>13</v>
      </c>
      <c r="F1408" s="4" t="n">
        <v>0.3</v>
      </c>
      <c r="G1408" s="5">
        <f>ROUND(E1408*(1+F1408),2)</f>
        <v>16.90</v>
      </c>
      <c r="H1408" s="5">
        <f>ROUND(G1408*NOTAS!$B$2,2)</f>
        <v>12190.74</v>
      </c>
      <c r="I1408" s="6">
        <f>ROUND(G1408*NOTAS!$B$3,0)</f>
        <v>54906</v>
      </c>
      <c r="J1408" s="2" t="n">
        <v>1</v>
      </c>
    </row>
    <row r="1409">
      <c r="A1409" s="2" t="inlineStr">
        <is>
          <t>6PK1875</t>
        </is>
      </c>
      <c r="B1409" s="2" t="inlineStr"/>
      <c r="C1409" s="2" t="inlineStr">
        <is>
          <t>CORREA MULTIFUNCIONAL AVEO/NUBIRA 1.6</t>
        </is>
      </c>
      <c r="D1409" s="2" t="inlineStr">
        <is>
          <t>CONTINENTAL</t>
        </is>
      </c>
      <c r="E1409" s="3" t="n">
        <v>13</v>
      </c>
      <c r="F1409" s="4" t="n">
        <v>0.3</v>
      </c>
      <c r="G1409" s="5">
        <f>ROUND(E1409*(1+F1409),2)</f>
        <v>16.90</v>
      </c>
      <c r="H1409" s="5">
        <f>ROUND(G1409*NOTAS!$B$2,2)</f>
        <v>12190.74</v>
      </c>
      <c r="I1409" s="6">
        <f>ROUND(G1409*NOTAS!$B$3,0)</f>
        <v>54906</v>
      </c>
      <c r="J1409" s="2" t="n">
        <v>3</v>
      </c>
    </row>
    <row r="1410">
      <c r="A1410" s="2" t="inlineStr">
        <is>
          <t>6PK1875</t>
        </is>
      </c>
      <c r="B1410" s="2" t="inlineStr"/>
      <c r="C1410" s="2" t="inlineStr">
        <is>
          <t>CORREA MULTIFUNCIONAL AVEO/NUBIRA 1.6</t>
        </is>
      </c>
      <c r="D1410" s="2" t="inlineStr">
        <is>
          <t>DAYCO</t>
        </is>
      </c>
      <c r="E1410" s="3" t="n">
        <v>15</v>
      </c>
      <c r="F1410" s="4" t="n">
        <v>0.3</v>
      </c>
      <c r="G1410" s="5">
        <f>ROUND(E1410*(1+F1410),2)</f>
        <v>19.50</v>
      </c>
      <c r="H1410" s="5">
        <f>ROUND(G1410*NOTAS!$B$2,2)</f>
        <v>14066.24</v>
      </c>
      <c r="I1410" s="6">
        <f>ROUND(G1410*NOTAS!$B$3,0)</f>
        <v>63353</v>
      </c>
      <c r="J1410" s="2" t="n">
        <v>13</v>
      </c>
    </row>
    <row r="1411">
      <c r="A1411" s="2" t="inlineStr">
        <is>
          <t>6PK1875P</t>
        </is>
      </c>
      <c r="B1411" s="2" t="inlineStr"/>
      <c r="C1411" s="2" t="inlineStr">
        <is>
          <t>CORREA MULTIFUNCIONAL AVEO/NUBIRA 1.6</t>
        </is>
      </c>
      <c r="D1411" s="2" t="inlineStr">
        <is>
          <t>PRECISE</t>
        </is>
      </c>
      <c r="E1411" s="3" t="n">
        <v>10</v>
      </c>
      <c r="F1411" s="4" t="n">
        <v>0.3</v>
      </c>
      <c r="G1411" s="5">
        <f>ROUND(E1411*(1+F1411),2)</f>
        <v>13.00</v>
      </c>
      <c r="H1411" s="5">
        <f>ROUND(G1411*NOTAS!$B$2,2)</f>
        <v>9377.49</v>
      </c>
      <c r="I1411" s="6">
        <f>ROUND(G1411*NOTAS!$B$3,0)</f>
        <v>42235</v>
      </c>
      <c r="J1411" s="2" t="n">
        <v>2</v>
      </c>
    </row>
    <row r="1412">
      <c r="A1412" s="2" t="inlineStr">
        <is>
          <t>6PK1877A</t>
        </is>
      </c>
      <c r="B1412" s="2" t="inlineStr">
        <is>
          <t>89063468</t>
        </is>
      </c>
      <c r="C1412" s="2" t="inlineStr">
        <is>
          <t>CORREA MULTIFUNCIONAL AVEO/NUBIRA 1.6</t>
        </is>
      </c>
      <c r="D1412" s="2" t="inlineStr">
        <is>
          <t>ACDELCO</t>
        </is>
      </c>
      <c r="E1412" s="3" t="n">
        <v>10</v>
      </c>
      <c r="F1412" s="4" t="n">
        <v>0.3</v>
      </c>
      <c r="G1412" s="5">
        <f>ROUND(E1412*(1+F1412),2)</f>
        <v>13.00</v>
      </c>
      <c r="H1412" s="5">
        <f>ROUND(G1412*NOTAS!$B$2,2)</f>
        <v>9377.49</v>
      </c>
      <c r="I1412" s="6">
        <f>ROUND(G1412*NOTAS!$B$3,0)</f>
        <v>42235</v>
      </c>
      <c r="J1412" s="2" t="n">
        <v>3</v>
      </c>
    </row>
    <row r="1413">
      <c r="A1413" s="2" t="inlineStr">
        <is>
          <t>6PK1750</t>
        </is>
      </c>
      <c r="B1413" s="2" t="inlineStr"/>
      <c r="C1413" s="2" t="inlineStr">
        <is>
          <t>CORREA MULTIFUNCIONAL CENTURY</t>
        </is>
      </c>
      <c r="D1413" s="2" t="inlineStr">
        <is>
          <t>GOODYEAR</t>
        </is>
      </c>
      <c r="E1413" s="3" t="n">
        <v>14</v>
      </c>
      <c r="F1413" s="4" t="n">
        <v>0.3</v>
      </c>
      <c r="G1413" s="5">
        <f>ROUND(E1413*(1+F1413),2)</f>
        <v>18.20</v>
      </c>
      <c r="H1413" s="5">
        <f>ROUND(G1413*NOTAS!$B$2,2)</f>
        <v>13128.49</v>
      </c>
      <c r="I1413" s="6">
        <f>ROUND(G1413*NOTAS!$B$3,0)</f>
        <v>59129</v>
      </c>
      <c r="J1413" s="2" t="n">
        <v>2</v>
      </c>
    </row>
    <row r="1414">
      <c r="A1414" s="2" t="inlineStr">
        <is>
          <t>6PK1755</t>
        </is>
      </c>
      <c r="B1414" s="2" t="inlineStr"/>
      <c r="C1414" s="2" t="inlineStr">
        <is>
          <t>CORREA MULTIFUNCIONAL CENTURY</t>
        </is>
      </c>
      <c r="D1414" s="2" t="inlineStr">
        <is>
          <t>DAYCO</t>
        </is>
      </c>
      <c r="E1414" s="3" t="n">
        <v>14</v>
      </c>
      <c r="F1414" s="4" t="n">
        <v>0.3</v>
      </c>
      <c r="G1414" s="5">
        <f>ROUND(E1414*(1+F1414),2)</f>
        <v>18.20</v>
      </c>
      <c r="H1414" s="5">
        <f>ROUND(G1414*NOTAS!$B$2,2)</f>
        <v>13128.49</v>
      </c>
      <c r="I1414" s="6">
        <f>ROUND(G1414*NOTAS!$B$3,0)</f>
        <v>59129</v>
      </c>
      <c r="J1414" s="2" t="n">
        <v>3</v>
      </c>
    </row>
    <row r="1415">
      <c r="A1415" s="2" t="inlineStr">
        <is>
          <t>3PK0815</t>
        </is>
      </c>
      <c r="B1415" s="2" t="inlineStr"/>
      <c r="C1415" s="2" t="inlineStr">
        <is>
          <t>CORREA MULTIFUNCIONAL COFBEL</t>
        </is>
      </c>
      <c r="D1415" s="2" t="inlineStr">
        <is>
          <t>COFBEL</t>
        </is>
      </c>
      <c r="E1415" s="3" t="n">
        <v>2</v>
      </c>
      <c r="F1415" s="4" t="n">
        <v>0.3</v>
      </c>
      <c r="G1415" s="5">
        <f>ROUND(E1415*(1+F1415),2)</f>
        <v>2.60</v>
      </c>
      <c r="H1415" s="5">
        <f>ROUND(G1415*NOTAS!$B$2,2)</f>
        <v>1875.50</v>
      </c>
      <c r="I1415" s="6">
        <f>ROUND(G1415*NOTAS!$B$3,0)</f>
        <v>8447</v>
      </c>
      <c r="J1415" s="2" t="n">
        <v>1</v>
      </c>
    </row>
    <row r="1416">
      <c r="A1416" s="2" t="inlineStr">
        <is>
          <t>4PK0800</t>
        </is>
      </c>
      <c r="B1416" s="2" t="inlineStr">
        <is>
          <t>K040315</t>
        </is>
      </c>
      <c r="C1416" s="2" t="inlineStr">
        <is>
          <t>CORREA MULTIFUNCIONAL COFBEL</t>
        </is>
      </c>
      <c r="D1416" s="2" t="inlineStr">
        <is>
          <t>COFBEL</t>
        </is>
      </c>
      <c r="E1416" s="3" t="n">
        <v>3</v>
      </c>
      <c r="F1416" s="4" t="n">
        <v>0.3</v>
      </c>
      <c r="G1416" s="5">
        <f>ROUND(E1416*(1+F1416),2)</f>
        <v>3.90</v>
      </c>
      <c r="H1416" s="5">
        <f>ROUND(G1416*NOTAS!$B$2,2)</f>
        <v>2813.25</v>
      </c>
      <c r="I1416" s="6">
        <f>ROUND(G1416*NOTAS!$B$3,0)</f>
        <v>12671</v>
      </c>
      <c r="J1416" s="2" t="n">
        <v>2</v>
      </c>
    </row>
    <row r="1417">
      <c r="A1417" s="2" t="inlineStr">
        <is>
          <t>4PK1029</t>
        </is>
      </c>
      <c r="B1417" s="2" t="inlineStr"/>
      <c r="C1417" s="2" t="inlineStr">
        <is>
          <t>CORREA MULTIFUNCIONAL COFBEL</t>
        </is>
      </c>
      <c r="D1417" s="2" t="inlineStr">
        <is>
          <t>COFBEL</t>
        </is>
      </c>
      <c r="E1417" s="3" t="n">
        <v>3</v>
      </c>
      <c r="F1417" s="4" t="n">
        <v>0.3</v>
      </c>
      <c r="G1417" s="5">
        <f>ROUND(E1417*(1+F1417),2)</f>
        <v>3.90</v>
      </c>
      <c r="H1417" s="5">
        <f>ROUND(G1417*NOTAS!$B$2,2)</f>
        <v>2813.25</v>
      </c>
      <c r="I1417" s="6">
        <f>ROUND(G1417*NOTAS!$B$3,0)</f>
        <v>12671</v>
      </c>
      <c r="J1417" s="2" t="n">
        <v>3</v>
      </c>
    </row>
    <row r="1418">
      <c r="A1418" s="2" t="inlineStr">
        <is>
          <t>5PK0813</t>
        </is>
      </c>
      <c r="B1418" s="2" t="inlineStr">
        <is>
          <t>K050320</t>
        </is>
      </c>
      <c r="C1418" s="2" t="inlineStr">
        <is>
          <t>CORREA MULTIFUNCIONAL COFBEL</t>
        </is>
      </c>
      <c r="D1418" s="2" t="inlineStr">
        <is>
          <t>COFBEL</t>
        </is>
      </c>
      <c r="E1418" s="3" t="n">
        <v>3</v>
      </c>
      <c r="F1418" s="4" t="n">
        <v>0.3</v>
      </c>
      <c r="G1418" s="5">
        <f>ROUND(E1418*(1+F1418),2)</f>
        <v>3.90</v>
      </c>
      <c r="H1418" s="5">
        <f>ROUND(G1418*NOTAS!$B$2,2)</f>
        <v>2813.25</v>
      </c>
      <c r="I1418" s="6">
        <f>ROUND(G1418*NOTAS!$B$3,0)</f>
        <v>12671</v>
      </c>
      <c r="J1418" s="2" t="n">
        <v>6</v>
      </c>
    </row>
    <row r="1419">
      <c r="A1419" s="2" t="inlineStr">
        <is>
          <t>5PK0864</t>
        </is>
      </c>
      <c r="B1419" s="2" t="inlineStr"/>
      <c r="C1419" s="2" t="inlineStr">
        <is>
          <t>CORREA MULTIFUNCIONAL COFBEL</t>
        </is>
      </c>
      <c r="D1419" s="2" t="inlineStr">
        <is>
          <t>COFBEL</t>
        </is>
      </c>
      <c r="E1419" s="3" t="n">
        <v>3</v>
      </c>
      <c r="F1419" s="4" t="n">
        <v>0.3</v>
      </c>
      <c r="G1419" s="5">
        <f>ROUND(E1419*(1+F1419),2)</f>
        <v>3.90</v>
      </c>
      <c r="H1419" s="5">
        <f>ROUND(G1419*NOTAS!$B$2,2)</f>
        <v>2813.25</v>
      </c>
      <c r="I1419" s="6">
        <f>ROUND(G1419*NOTAS!$B$3,0)</f>
        <v>12671</v>
      </c>
      <c r="J1419" s="2" t="n">
        <v>1</v>
      </c>
    </row>
    <row r="1420">
      <c r="A1420" s="2" t="inlineStr">
        <is>
          <t>4PK0930</t>
        </is>
      </c>
      <c r="B1420" s="2" t="inlineStr"/>
      <c r="C1420" s="2" t="inlineStr">
        <is>
          <t>CORREA MULTIFUNCIONAL COMPASS</t>
        </is>
      </c>
      <c r="D1420" s="2" t="inlineStr">
        <is>
          <t>COMPASS</t>
        </is>
      </c>
      <c r="E1420" s="3" t="n">
        <v>3</v>
      </c>
      <c r="F1420" s="4" t="n">
        <v>0.3</v>
      </c>
      <c r="G1420" s="5">
        <f>ROUND(E1420*(1+F1420),2)</f>
        <v>3.90</v>
      </c>
      <c r="H1420" s="5">
        <f>ROUND(G1420*NOTAS!$B$2,2)</f>
        <v>2813.25</v>
      </c>
      <c r="I1420" s="6">
        <f>ROUND(G1420*NOTAS!$B$3,0)</f>
        <v>12671</v>
      </c>
      <c r="J1420" s="2" t="n">
        <v>1</v>
      </c>
    </row>
    <row r="1421">
      <c r="A1421" s="2" t="inlineStr">
        <is>
          <t>6PK1790</t>
        </is>
      </c>
      <c r="B1421" s="2" t="inlineStr"/>
      <c r="C1421" s="2" t="inlineStr">
        <is>
          <t>CORREA MULTIFUNCIONAL CORSA</t>
        </is>
      </c>
      <c r="D1421" s="2" t="inlineStr">
        <is>
          <t>DAYCO</t>
        </is>
      </c>
      <c r="E1421" s="3" t="n">
        <v>14</v>
      </c>
      <c r="F1421" s="4" t="n">
        <v>0.3</v>
      </c>
      <c r="G1421" s="5">
        <f>ROUND(E1421*(1+F1421),2)</f>
        <v>18.20</v>
      </c>
      <c r="H1421" s="5">
        <f>ROUND(G1421*NOTAS!$B$2,2)</f>
        <v>13128.49</v>
      </c>
      <c r="I1421" s="6">
        <f>ROUND(G1421*NOTAS!$B$3,0)</f>
        <v>59129</v>
      </c>
      <c r="J1421" s="2" t="n">
        <v>21</v>
      </c>
    </row>
    <row r="1422">
      <c r="A1422" s="2" t="inlineStr">
        <is>
          <t>6PK1790</t>
        </is>
      </c>
      <c r="B1422" s="2" t="inlineStr">
        <is>
          <t>96428394</t>
        </is>
      </c>
      <c r="C1422" s="2" t="inlineStr">
        <is>
          <t>CORREA MULTIFUNCIONAL CORSA</t>
        </is>
      </c>
      <c r="D1422" s="2" t="inlineStr">
        <is>
          <t>GM</t>
        </is>
      </c>
      <c r="E1422" s="3" t="n">
        <v>14</v>
      </c>
      <c r="F1422" s="4" t="n">
        <v>0.3</v>
      </c>
      <c r="G1422" s="5">
        <f>ROUND(E1422*(1+F1422),2)</f>
        <v>18.20</v>
      </c>
      <c r="H1422" s="5">
        <f>ROUND(G1422*NOTAS!$B$2,2)</f>
        <v>13128.49</v>
      </c>
      <c r="I1422" s="6">
        <f>ROUND(G1422*NOTAS!$B$3,0)</f>
        <v>59129</v>
      </c>
      <c r="J1422" s="2" t="n">
        <v>5</v>
      </c>
    </row>
    <row r="1423">
      <c r="A1423" s="2" t="inlineStr">
        <is>
          <t>6PK1790</t>
        </is>
      </c>
      <c r="B1423" s="2" t="inlineStr"/>
      <c r="C1423" s="2" t="inlineStr">
        <is>
          <t>CORREA MULTIFUNCIONAL CORSA</t>
        </is>
      </c>
      <c r="D1423" s="2" t="inlineStr">
        <is>
          <t>CONTINENTAL</t>
        </is>
      </c>
      <c r="E1423" s="3" t="n">
        <v>14</v>
      </c>
      <c r="F1423" s="4" t="n">
        <v>0.3</v>
      </c>
      <c r="G1423" s="5">
        <f>ROUND(E1423*(1+F1423),2)</f>
        <v>18.20</v>
      </c>
      <c r="H1423" s="5">
        <f>ROUND(G1423*NOTAS!$B$2,2)</f>
        <v>13128.49</v>
      </c>
      <c r="I1423" s="6">
        <f>ROUND(G1423*NOTAS!$B$3,0)</f>
        <v>59129</v>
      </c>
      <c r="J1423" s="2" t="n">
        <v>1</v>
      </c>
    </row>
    <row r="1424">
      <c r="A1424" s="2" t="inlineStr">
        <is>
          <t>6PK1793</t>
        </is>
      </c>
      <c r="B1424" s="2" t="inlineStr">
        <is>
          <t>K060705</t>
        </is>
      </c>
      <c r="C1424" s="2" t="inlineStr">
        <is>
          <t>CORREA MULTIFUNCIONAL CORSA</t>
        </is>
      </c>
      <c r="D1424" s="2" t="inlineStr">
        <is>
          <t>GATES</t>
        </is>
      </c>
      <c r="E1424" s="3" t="n">
        <v>14</v>
      </c>
      <c r="F1424" s="4" t="n">
        <v>0.3</v>
      </c>
      <c r="G1424" s="5">
        <f>ROUND(E1424*(1+F1424),2)</f>
        <v>18.20</v>
      </c>
      <c r="H1424" s="5">
        <f>ROUND(G1424*NOTAS!$B$2,2)</f>
        <v>13128.49</v>
      </c>
      <c r="I1424" s="6">
        <f>ROUND(G1424*NOTAS!$B$3,0)</f>
        <v>59129</v>
      </c>
      <c r="J1424" s="2" t="n">
        <v>7</v>
      </c>
    </row>
    <row r="1425">
      <c r="A1425" s="2" t="inlineStr">
        <is>
          <t>6PK1555</t>
        </is>
      </c>
      <c r="B1425" s="2" t="inlineStr"/>
      <c r="C1425" s="2" t="inlineStr">
        <is>
          <t>CORREA MULTIFUNCIONAL CRUZE</t>
        </is>
      </c>
      <c r="D1425" s="2" t="inlineStr">
        <is>
          <t>CONTINENTAL</t>
        </is>
      </c>
      <c r="E1425" s="3" t="n">
        <v>11</v>
      </c>
      <c r="F1425" s="4" t="n">
        <v>0.3</v>
      </c>
      <c r="G1425" s="5">
        <f>ROUND(E1425*(1+F1425),2)</f>
        <v>14.30</v>
      </c>
      <c r="H1425" s="5">
        <f>ROUND(G1425*NOTAS!$B$2,2)</f>
        <v>10315.24</v>
      </c>
      <c r="I1425" s="6">
        <f>ROUND(G1425*NOTAS!$B$3,0)</f>
        <v>46459</v>
      </c>
      <c r="J1425" s="2" t="n">
        <v>2</v>
      </c>
    </row>
    <row r="1426">
      <c r="A1426" s="2" t="inlineStr">
        <is>
          <t>3PK0635</t>
        </is>
      </c>
      <c r="B1426" s="2" t="inlineStr"/>
      <c r="C1426" s="2" t="inlineStr">
        <is>
          <t>CORREA MULTIFUNCIONAL DAYCO</t>
        </is>
      </c>
      <c r="D1426" s="2" t="inlineStr">
        <is>
          <t>DAYCO</t>
        </is>
      </c>
      <c r="E1426" s="3" t="n">
        <v>3</v>
      </c>
      <c r="F1426" s="4" t="n">
        <v>0.3</v>
      </c>
      <c r="G1426" s="5">
        <f>ROUND(E1426*(1+F1426),2)</f>
        <v>3.90</v>
      </c>
      <c r="H1426" s="5">
        <f>ROUND(G1426*NOTAS!$B$2,2)</f>
        <v>2813.25</v>
      </c>
      <c r="I1426" s="6">
        <f>ROUND(G1426*NOTAS!$B$3,0)</f>
        <v>12671</v>
      </c>
      <c r="J1426" s="2" t="n">
        <v>1</v>
      </c>
    </row>
    <row r="1427">
      <c r="A1427" s="2" t="inlineStr">
        <is>
          <t>4PK0800</t>
        </is>
      </c>
      <c r="B1427" s="2" t="inlineStr"/>
      <c r="C1427" s="2" t="inlineStr">
        <is>
          <t>CORREA MULTIFUNCIONAL DAYCO</t>
        </is>
      </c>
      <c r="D1427" s="2" t="inlineStr">
        <is>
          <t>DAYCO</t>
        </is>
      </c>
      <c r="E1427" s="3" t="n">
        <v>6</v>
      </c>
      <c r="F1427" s="4" t="n">
        <v>0.3</v>
      </c>
      <c r="G1427" s="5">
        <f>ROUND(E1427*(1+F1427),2)</f>
        <v>7.80</v>
      </c>
      <c r="H1427" s="5">
        <f>ROUND(G1427*NOTAS!$B$2,2)</f>
        <v>5626.50</v>
      </c>
      <c r="I1427" s="6">
        <f>ROUND(G1427*NOTAS!$B$3,0)</f>
        <v>25341</v>
      </c>
      <c r="J1427" s="2" t="n">
        <v>4</v>
      </c>
    </row>
    <row r="1428">
      <c r="A1428" s="2" t="inlineStr">
        <is>
          <t>4PK0820</t>
        </is>
      </c>
      <c r="B1428" s="2" t="inlineStr"/>
      <c r="C1428" s="2" t="inlineStr">
        <is>
          <t>CORREA MULTIFUNCIONAL DAYCO</t>
        </is>
      </c>
      <c r="D1428" s="2" t="inlineStr">
        <is>
          <t>DAYCO</t>
        </is>
      </c>
      <c r="E1428" s="3" t="n">
        <v>6</v>
      </c>
      <c r="F1428" s="4" t="n">
        <v>0.3</v>
      </c>
      <c r="G1428" s="5">
        <f>ROUND(E1428*(1+F1428),2)</f>
        <v>7.80</v>
      </c>
      <c r="H1428" s="5">
        <f>ROUND(G1428*NOTAS!$B$2,2)</f>
        <v>5626.50</v>
      </c>
      <c r="I1428" s="6">
        <f>ROUND(G1428*NOTAS!$B$3,0)</f>
        <v>25341</v>
      </c>
      <c r="J1428" s="2" t="n">
        <v>1</v>
      </c>
    </row>
    <row r="1429">
      <c r="A1429" s="2" t="inlineStr">
        <is>
          <t>4PK0855</t>
        </is>
      </c>
      <c r="B1429" s="2" t="inlineStr"/>
      <c r="C1429" s="2" t="inlineStr">
        <is>
          <t>CORREA MULTIFUNCIONAL DAYCO</t>
        </is>
      </c>
      <c r="D1429" s="2" t="inlineStr">
        <is>
          <t>DAYCO</t>
        </is>
      </c>
      <c r="E1429" s="3" t="n">
        <v>6</v>
      </c>
      <c r="F1429" s="4" t="n">
        <v>0.3</v>
      </c>
      <c r="G1429" s="5">
        <f>ROUND(E1429*(1+F1429),2)</f>
        <v>7.80</v>
      </c>
      <c r="H1429" s="5">
        <f>ROUND(G1429*NOTAS!$B$2,2)</f>
        <v>5626.50</v>
      </c>
      <c r="I1429" s="6">
        <f>ROUND(G1429*NOTAS!$B$3,0)</f>
        <v>25341</v>
      </c>
      <c r="J1429" s="2" t="n">
        <v>2</v>
      </c>
    </row>
    <row r="1430">
      <c r="A1430" s="2" t="inlineStr">
        <is>
          <t>4PK0860</t>
        </is>
      </c>
      <c r="B1430" s="2" t="inlineStr"/>
      <c r="C1430" s="2" t="inlineStr">
        <is>
          <t>CORREA MULTIFUNCIONAL DAYCO</t>
        </is>
      </c>
      <c r="D1430" s="2" t="inlineStr">
        <is>
          <t>DAYCO</t>
        </is>
      </c>
      <c r="E1430" s="3" t="n">
        <v>6</v>
      </c>
      <c r="F1430" s="4" t="n">
        <v>0.3</v>
      </c>
      <c r="G1430" s="5">
        <f>ROUND(E1430*(1+F1430),2)</f>
        <v>7.80</v>
      </c>
      <c r="H1430" s="5">
        <f>ROUND(G1430*NOTAS!$B$2,2)</f>
        <v>5626.50</v>
      </c>
      <c r="I1430" s="6">
        <f>ROUND(G1430*NOTAS!$B$3,0)</f>
        <v>25341</v>
      </c>
      <c r="J1430" s="2" t="n">
        <v>1</v>
      </c>
    </row>
    <row r="1431">
      <c r="A1431" s="2" t="inlineStr">
        <is>
          <t>4PK0865</t>
        </is>
      </c>
      <c r="B1431" s="2" t="inlineStr"/>
      <c r="C1431" s="2" t="inlineStr">
        <is>
          <t>CORREA MULTIFUNCIONAL DAYCO</t>
        </is>
      </c>
      <c r="D1431" s="2" t="inlineStr">
        <is>
          <t>DAYCO</t>
        </is>
      </c>
      <c r="E1431" s="3" t="n">
        <v>6</v>
      </c>
      <c r="F1431" s="4" t="n">
        <v>0.3</v>
      </c>
      <c r="G1431" s="5">
        <f>ROUND(E1431*(1+F1431),2)</f>
        <v>7.80</v>
      </c>
      <c r="H1431" s="5">
        <f>ROUND(G1431*NOTAS!$B$2,2)</f>
        <v>5626.50</v>
      </c>
      <c r="I1431" s="6">
        <f>ROUND(G1431*NOTAS!$B$3,0)</f>
        <v>25341</v>
      </c>
      <c r="J1431" s="2" t="n">
        <v>3</v>
      </c>
    </row>
    <row r="1432">
      <c r="A1432" s="2" t="inlineStr">
        <is>
          <t>4PK0865</t>
        </is>
      </c>
      <c r="B1432" s="2" t="inlineStr"/>
      <c r="C1432" s="2" t="inlineStr">
        <is>
          <t>CORREA MULTIFUNCIONAL DAYCO</t>
        </is>
      </c>
      <c r="D1432" s="2" t="inlineStr">
        <is>
          <t>DAYCO</t>
        </is>
      </c>
      <c r="E1432" s="3" t="n">
        <v>6</v>
      </c>
      <c r="F1432" s="4" t="n">
        <v>0.3</v>
      </c>
      <c r="G1432" s="5">
        <f>ROUND(E1432*(1+F1432),2)</f>
        <v>7.80</v>
      </c>
      <c r="H1432" s="5">
        <f>ROUND(G1432*NOTAS!$B$2,2)</f>
        <v>5626.50</v>
      </c>
      <c r="I1432" s="6">
        <f>ROUND(G1432*NOTAS!$B$3,0)</f>
        <v>25341</v>
      </c>
      <c r="J1432" s="2" t="n">
        <v>3</v>
      </c>
    </row>
    <row r="1433">
      <c r="A1433" s="2" t="inlineStr">
        <is>
          <t>4PK0884</t>
        </is>
      </c>
      <c r="B1433" s="2" t="inlineStr"/>
      <c r="C1433" s="2" t="inlineStr">
        <is>
          <t>CORREA MULTIFUNCIONAL DAYCO</t>
        </is>
      </c>
      <c r="D1433" s="2" t="inlineStr">
        <is>
          <t>DAYCO</t>
        </is>
      </c>
      <c r="E1433" s="3" t="n">
        <v>6</v>
      </c>
      <c r="F1433" s="4" t="n">
        <v>0.3</v>
      </c>
      <c r="G1433" s="5">
        <f>ROUND(E1433*(1+F1433),2)</f>
        <v>7.80</v>
      </c>
      <c r="H1433" s="5">
        <f>ROUND(G1433*NOTAS!$B$2,2)</f>
        <v>5626.50</v>
      </c>
      <c r="I1433" s="6">
        <f>ROUND(G1433*NOTAS!$B$3,0)</f>
        <v>25341</v>
      </c>
      <c r="J1433" s="2" t="n">
        <v>2</v>
      </c>
    </row>
    <row r="1434">
      <c r="A1434" s="2" t="inlineStr">
        <is>
          <t>4PK0885</t>
        </is>
      </c>
      <c r="B1434" s="2" t="inlineStr"/>
      <c r="C1434" s="2" t="inlineStr">
        <is>
          <t>CORREA MULTIFUNCIONAL DAYCO</t>
        </is>
      </c>
      <c r="D1434" s="2" t="inlineStr">
        <is>
          <t>DAYCO</t>
        </is>
      </c>
      <c r="E1434" s="3" t="n">
        <v>6</v>
      </c>
      <c r="F1434" s="4" t="n">
        <v>0.3</v>
      </c>
      <c r="G1434" s="5">
        <f>ROUND(E1434*(1+F1434),2)</f>
        <v>7.80</v>
      </c>
      <c r="H1434" s="5">
        <f>ROUND(G1434*NOTAS!$B$2,2)</f>
        <v>5626.50</v>
      </c>
      <c r="I1434" s="6">
        <f>ROUND(G1434*NOTAS!$B$3,0)</f>
        <v>25341</v>
      </c>
      <c r="J1434" s="2" t="n">
        <v>1</v>
      </c>
    </row>
    <row r="1435">
      <c r="A1435" s="2" t="inlineStr">
        <is>
          <t>4PK0900</t>
        </is>
      </c>
      <c r="B1435" s="2" t="inlineStr"/>
      <c r="C1435" s="2" t="inlineStr">
        <is>
          <t>CORREA MULTIFUNCIONAL DAYCO</t>
        </is>
      </c>
      <c r="D1435" s="2" t="inlineStr">
        <is>
          <t>DAYCO</t>
        </is>
      </c>
      <c r="E1435" s="3" t="n">
        <v>6</v>
      </c>
      <c r="F1435" s="4" t="n">
        <v>0.3</v>
      </c>
      <c r="G1435" s="5">
        <f>ROUND(E1435*(1+F1435),2)</f>
        <v>7.80</v>
      </c>
      <c r="H1435" s="5">
        <f>ROUND(G1435*NOTAS!$B$2,2)</f>
        <v>5626.50</v>
      </c>
      <c r="I1435" s="6">
        <f>ROUND(G1435*NOTAS!$B$3,0)</f>
        <v>25341</v>
      </c>
      <c r="J1435" s="2" t="n">
        <v>2</v>
      </c>
    </row>
    <row r="1436">
      <c r="A1436" s="2" t="inlineStr">
        <is>
          <t>4PK0915</t>
        </is>
      </c>
      <c r="B1436" s="2" t="inlineStr"/>
      <c r="C1436" s="2" t="inlineStr">
        <is>
          <t>CORREA MULTIFUNCIONAL DAYCO</t>
        </is>
      </c>
      <c r="D1436" s="2" t="inlineStr">
        <is>
          <t>DAYCO</t>
        </is>
      </c>
      <c r="E1436" s="3" t="n">
        <v>6</v>
      </c>
      <c r="F1436" s="4" t="n">
        <v>0.3</v>
      </c>
      <c r="G1436" s="5">
        <f>ROUND(E1436*(1+F1436),2)</f>
        <v>7.80</v>
      </c>
      <c r="H1436" s="5">
        <f>ROUND(G1436*NOTAS!$B$2,2)</f>
        <v>5626.50</v>
      </c>
      <c r="I1436" s="6">
        <f>ROUND(G1436*NOTAS!$B$3,0)</f>
        <v>25341</v>
      </c>
      <c r="J1436" s="2" t="n">
        <v>2</v>
      </c>
    </row>
    <row r="1437">
      <c r="A1437" s="2" t="inlineStr">
        <is>
          <t>4PK0925</t>
        </is>
      </c>
      <c r="B1437" s="2" t="inlineStr"/>
      <c r="C1437" s="2" t="inlineStr">
        <is>
          <t>CORREA MULTIFUNCIONAL DAYCO</t>
        </is>
      </c>
      <c r="D1437" s="2" t="inlineStr">
        <is>
          <t>DAYCO</t>
        </is>
      </c>
      <c r="E1437" s="3" t="n">
        <v>6</v>
      </c>
      <c r="F1437" s="4" t="n">
        <v>0.3</v>
      </c>
      <c r="G1437" s="5">
        <f>ROUND(E1437*(1+F1437),2)</f>
        <v>7.80</v>
      </c>
      <c r="H1437" s="5">
        <f>ROUND(G1437*NOTAS!$B$2,2)</f>
        <v>5626.50</v>
      </c>
      <c r="I1437" s="6">
        <f>ROUND(G1437*NOTAS!$B$3,0)</f>
        <v>25341</v>
      </c>
      <c r="J1437" s="2" t="n">
        <v>1</v>
      </c>
    </row>
    <row r="1438">
      <c r="A1438" s="2" t="inlineStr">
        <is>
          <t>5PK0915</t>
        </is>
      </c>
      <c r="B1438" s="2" t="inlineStr"/>
      <c r="C1438" s="2" t="inlineStr">
        <is>
          <t>CORREA MULTIFUNCIONAL DAYCO</t>
        </is>
      </c>
      <c r="D1438" s="2" t="inlineStr">
        <is>
          <t>DAYCO</t>
        </is>
      </c>
      <c r="E1438" s="3" t="n">
        <v>7</v>
      </c>
      <c r="F1438" s="4" t="n">
        <v>0.3</v>
      </c>
      <c r="G1438" s="5">
        <f>ROUND(E1438*(1+F1438),2)</f>
        <v>9.10</v>
      </c>
      <c r="H1438" s="5">
        <f>ROUND(G1438*NOTAS!$B$2,2)</f>
        <v>6564.24</v>
      </c>
      <c r="I1438" s="6">
        <f>ROUND(G1438*NOTAS!$B$3,0)</f>
        <v>29565</v>
      </c>
      <c r="J1438" s="2" t="n">
        <v>5</v>
      </c>
    </row>
    <row r="1439">
      <c r="A1439" s="2" t="inlineStr">
        <is>
          <t>5PK0965</t>
        </is>
      </c>
      <c r="B1439" s="2" t="inlineStr"/>
      <c r="C1439" s="2" t="inlineStr">
        <is>
          <t>CORREA MULTIFUNCIONAL DAYCO</t>
        </is>
      </c>
      <c r="D1439" s="2" t="inlineStr">
        <is>
          <t>DAYCO</t>
        </is>
      </c>
      <c r="E1439" s="3" t="n">
        <v>7</v>
      </c>
      <c r="F1439" s="4" t="n">
        <v>0.3</v>
      </c>
      <c r="G1439" s="5">
        <f>ROUND(E1439*(1+F1439),2)</f>
        <v>9.10</v>
      </c>
      <c r="H1439" s="5">
        <f>ROUND(G1439*NOTAS!$B$2,2)</f>
        <v>6564.24</v>
      </c>
      <c r="I1439" s="6">
        <f>ROUND(G1439*NOTAS!$B$3,0)</f>
        <v>29565</v>
      </c>
      <c r="J1439" s="2" t="n">
        <v>2</v>
      </c>
    </row>
    <row r="1440">
      <c r="A1440" s="2" t="inlineStr">
        <is>
          <t>900813</t>
        </is>
      </c>
      <c r="B1440" s="2" t="inlineStr">
        <is>
          <t>2N1Q6C301CA</t>
        </is>
      </c>
      <c r="C1440" s="2" t="inlineStr">
        <is>
          <t>CORREA MULTIFUNCIONAL ECOSPORT 6PK2231</t>
        </is>
      </c>
      <c r="D1440" s="2" t="inlineStr">
        <is>
          <t>FORD</t>
        </is>
      </c>
      <c r="E1440" s="3" t="n">
        <v>12.3077</v>
      </c>
      <c r="F1440" s="4" t="n">
        <v>0.3</v>
      </c>
      <c r="G1440" s="5">
        <f>ROUND(E1440*(1+F1440),2)</f>
        <v>16.00</v>
      </c>
      <c r="H1440" s="5">
        <f>ROUND(G1440*NOTAS!$B$2,2)</f>
        <v>11541.53</v>
      </c>
      <c r="I1440" s="6">
        <f>ROUND(G1440*NOTAS!$B$3,0)</f>
        <v>51982</v>
      </c>
      <c r="J1440" s="2" t="n">
        <v>1</v>
      </c>
    </row>
    <row r="1441">
      <c r="A1441" s="2" t="inlineStr">
        <is>
          <t>4PK0950</t>
        </is>
      </c>
      <c r="B1441" s="2" t="inlineStr"/>
      <c r="C1441" s="2" t="inlineStr">
        <is>
          <t xml:space="preserve">CORREA MULTIFUNCIONAL ELANTRA/GRAN VITARA </t>
        </is>
      </c>
      <c r="D1441" s="2" t="inlineStr">
        <is>
          <t>DAYCO</t>
        </is>
      </c>
      <c r="E1441" s="3" t="n">
        <v>6</v>
      </c>
      <c r="F1441" s="4" t="n">
        <v>0.3</v>
      </c>
      <c r="G1441" s="5">
        <f>ROUND(E1441*(1+F1441),2)</f>
        <v>7.80</v>
      </c>
      <c r="H1441" s="5">
        <f>ROUND(G1441*NOTAS!$B$2,2)</f>
        <v>5626.50</v>
      </c>
      <c r="I1441" s="6">
        <f>ROUND(G1441*NOTAS!$B$3,0)</f>
        <v>25341</v>
      </c>
      <c r="J1441" s="2" t="n">
        <v>4</v>
      </c>
    </row>
    <row r="1442">
      <c r="A1442" s="2" t="inlineStr">
        <is>
          <t>6PK2605</t>
        </is>
      </c>
      <c r="B1442" s="2" t="inlineStr"/>
      <c r="C1442" s="2" t="inlineStr">
        <is>
          <t>CORREA MULTIFUNCIONAL EXPLORER 06/10</t>
        </is>
      </c>
      <c r="D1442" s="2" t="inlineStr">
        <is>
          <t>GOODYEAR</t>
        </is>
      </c>
      <c r="E1442" s="3" t="n">
        <v>15</v>
      </c>
      <c r="F1442" s="4" t="n">
        <v>0.3</v>
      </c>
      <c r="G1442" s="5">
        <f>ROUND(E1442*(1+F1442),2)</f>
        <v>19.50</v>
      </c>
      <c r="H1442" s="5">
        <f>ROUND(G1442*NOTAS!$B$2,2)</f>
        <v>14066.24</v>
      </c>
      <c r="I1442" s="6">
        <f>ROUND(G1442*NOTAS!$B$3,0)</f>
        <v>63353</v>
      </c>
      <c r="J1442" s="2" t="n">
        <v>2</v>
      </c>
    </row>
    <row r="1443">
      <c r="A1443" s="2" t="inlineStr">
        <is>
          <t>6PK2070</t>
        </is>
      </c>
      <c r="B1443" s="2" t="inlineStr"/>
      <c r="C1443" s="2" t="inlineStr">
        <is>
          <t>CORREA MULTIFUNCIONAL F-350</t>
        </is>
      </c>
      <c r="D1443" s="2" t="inlineStr">
        <is>
          <t>DAYCO</t>
        </is>
      </c>
      <c r="E1443" s="3" t="n">
        <v>15</v>
      </c>
      <c r="F1443" s="4" t="n">
        <v>0.3</v>
      </c>
      <c r="G1443" s="5">
        <f>ROUND(E1443*(1+F1443),2)</f>
        <v>19.50</v>
      </c>
      <c r="H1443" s="5">
        <f>ROUND(G1443*NOTAS!$B$2,2)</f>
        <v>14066.24</v>
      </c>
      <c r="I1443" s="6">
        <f>ROUND(G1443*NOTAS!$B$3,0)</f>
        <v>63353</v>
      </c>
      <c r="J1443" s="2" t="n">
        <v>2</v>
      </c>
    </row>
    <row r="1444">
      <c r="A1444" s="2" t="inlineStr">
        <is>
          <t>6PK1930</t>
        </is>
      </c>
      <c r="B1444" s="2" t="inlineStr"/>
      <c r="C1444" s="2" t="inlineStr">
        <is>
          <t>CORREA MULTIFUNCIONAL FIESTA 1.3/COROLLA 03/08</t>
        </is>
      </c>
      <c r="D1444" s="2" t="inlineStr">
        <is>
          <t>DAYCO</t>
        </is>
      </c>
      <c r="E1444" s="3" t="n">
        <v>15</v>
      </c>
      <c r="F1444" s="4" t="n">
        <v>0.3</v>
      </c>
      <c r="G1444" s="5">
        <f>ROUND(E1444*(1+F1444),2)</f>
        <v>19.50</v>
      </c>
      <c r="H1444" s="5">
        <f>ROUND(G1444*NOTAS!$B$2,2)</f>
        <v>14066.24</v>
      </c>
      <c r="I1444" s="6">
        <f>ROUND(G1444*NOTAS!$B$3,0)</f>
        <v>63353</v>
      </c>
      <c r="J1444" s="2" t="n">
        <v>2</v>
      </c>
    </row>
    <row r="1445">
      <c r="A1445" s="2" t="inlineStr">
        <is>
          <t>906324</t>
        </is>
      </c>
      <c r="B1445" s="2" t="inlineStr">
        <is>
          <t>9S456C301AA</t>
        </is>
      </c>
      <c r="C1445" s="2" t="inlineStr">
        <is>
          <t>CORREA MULTIFUNCIONAL FIESTA 1.6 04/…</t>
        </is>
      </c>
      <c r="D1445" s="2" t="inlineStr">
        <is>
          <t>FORD</t>
        </is>
      </c>
      <c r="E1445" s="3" t="n">
        <v>20</v>
      </c>
      <c r="F1445" s="4" t="n">
        <v>0.3</v>
      </c>
      <c r="G1445" s="5">
        <f>ROUND(E1445*(1+F1445),2)</f>
        <v>26.00</v>
      </c>
      <c r="H1445" s="5">
        <f>ROUND(G1445*NOTAS!$B$2,2)</f>
        <v>18754.99</v>
      </c>
      <c r="I1445" s="6">
        <f>ROUND(G1445*NOTAS!$B$3,0)</f>
        <v>84471</v>
      </c>
      <c r="J1445" s="2" t="n">
        <v>1</v>
      </c>
    </row>
    <row r="1446">
      <c r="A1446" s="2" t="inlineStr">
        <is>
          <t>6PK2241</t>
        </is>
      </c>
      <c r="B1446" s="2" t="inlineStr"/>
      <c r="C1446" s="2" t="inlineStr">
        <is>
          <t>CORREA MULTIFUNCIONAL FIESTA 1.6 04/…</t>
        </is>
      </c>
      <c r="D1446" s="2" t="inlineStr">
        <is>
          <t>CONTINENTAL</t>
        </is>
      </c>
      <c r="E1446" s="3" t="n">
        <v>14</v>
      </c>
      <c r="F1446" s="4" t="n">
        <v>0.3</v>
      </c>
      <c r="G1446" s="5">
        <f>ROUND(E1446*(1+F1446),2)</f>
        <v>18.20</v>
      </c>
      <c r="H1446" s="5">
        <f>ROUND(G1446*NOTAS!$B$2,2)</f>
        <v>13128.49</v>
      </c>
      <c r="I1446" s="6">
        <f>ROUND(G1446*NOTAS!$B$3,0)</f>
        <v>59129</v>
      </c>
      <c r="J1446" s="2" t="n">
        <v>3</v>
      </c>
    </row>
    <row r="1447">
      <c r="A1447" s="2" t="inlineStr">
        <is>
          <t>6PK2250</t>
        </is>
      </c>
      <c r="B1447" s="2" t="inlineStr"/>
      <c r="C1447" s="2" t="inlineStr">
        <is>
          <t>CORREA MULTIFUNCIONAL FIESTA 1.6 04/…</t>
        </is>
      </c>
      <c r="D1447" s="2" t="inlineStr">
        <is>
          <t>DAYCO</t>
        </is>
      </c>
      <c r="E1447" s="3" t="n">
        <v>14</v>
      </c>
      <c r="F1447" s="4" t="n">
        <v>0.3</v>
      </c>
      <c r="G1447" s="5">
        <f>ROUND(E1447*(1+F1447),2)</f>
        <v>18.20</v>
      </c>
      <c r="H1447" s="5">
        <f>ROUND(G1447*NOTAS!$B$2,2)</f>
        <v>13128.49</v>
      </c>
      <c r="I1447" s="6">
        <f>ROUND(G1447*NOTAS!$B$3,0)</f>
        <v>59129</v>
      </c>
      <c r="J1447" s="2" t="n">
        <v>7</v>
      </c>
    </row>
    <row r="1448">
      <c r="A1448" s="2" t="inlineStr">
        <is>
          <t>6PK2175</t>
        </is>
      </c>
      <c r="B1448" s="2" t="inlineStr"/>
      <c r="C1448" s="2" t="inlineStr">
        <is>
          <t xml:space="preserve">CORREA MULTIFUNCIONAL FIESTA BALITA 00/03 DIRECCION MECANICA </t>
        </is>
      </c>
      <c r="D1448" s="2" t="inlineStr">
        <is>
          <t>DAYCO</t>
        </is>
      </c>
      <c r="E1448" s="3" t="n">
        <v>15</v>
      </c>
      <c r="F1448" s="4" t="n">
        <v>0.3</v>
      </c>
      <c r="G1448" s="5">
        <f>ROUND(E1448*(1+F1448),2)</f>
        <v>19.50</v>
      </c>
      <c r="H1448" s="5">
        <f>ROUND(G1448*NOTAS!$B$2,2)</f>
        <v>14066.24</v>
      </c>
      <c r="I1448" s="6">
        <f>ROUND(G1448*NOTAS!$B$3,0)</f>
        <v>63353</v>
      </c>
      <c r="J1448" s="2" t="n">
        <v>11</v>
      </c>
    </row>
    <row r="1449">
      <c r="A1449" s="2" t="inlineStr">
        <is>
          <t>900136</t>
        </is>
      </c>
      <c r="B1449" s="2" t="inlineStr">
        <is>
          <t>2S6G6C301BA</t>
        </is>
      </c>
      <c r="C1449" s="2" t="inlineStr">
        <is>
          <t>CORREA MULTIFUNCIONAL FIESTA BALITA 00/03 DIRECCION MECANICA 6PK2172</t>
        </is>
      </c>
      <c r="D1449" s="2" t="inlineStr">
        <is>
          <t>FORD</t>
        </is>
      </c>
      <c r="E1449" s="3" t="n">
        <v>20</v>
      </c>
      <c r="F1449" s="4" t="n">
        <v>0.3</v>
      </c>
      <c r="G1449" s="5">
        <f>ROUND(E1449*(1+F1449),2)</f>
        <v>26.00</v>
      </c>
      <c r="H1449" s="5">
        <f>ROUND(G1449*NOTAS!$B$2,2)</f>
        <v>18754.99</v>
      </c>
      <c r="I1449" s="6">
        <f>ROUND(G1449*NOTAS!$B$3,0)</f>
        <v>84471</v>
      </c>
      <c r="J1449" s="2" t="n">
        <v>1</v>
      </c>
    </row>
    <row r="1450">
      <c r="A1450" s="2" t="inlineStr">
        <is>
          <t>904430</t>
        </is>
      </c>
      <c r="B1450" s="2" t="inlineStr">
        <is>
          <t>2S6G6C301GA</t>
        </is>
      </c>
      <c r="C1450" s="2" t="inlineStr">
        <is>
          <t>CORREA MULTIFUNCIONAL FIESTA BALITA 00/03 DIRECCION MECANICA 6PK2172</t>
        </is>
      </c>
      <c r="D1450" s="2" t="inlineStr">
        <is>
          <t>FORD</t>
        </is>
      </c>
      <c r="E1450" s="3" t="n">
        <v>20</v>
      </c>
      <c r="F1450" s="4" t="n">
        <v>0.3</v>
      </c>
      <c r="G1450" s="5">
        <f>ROUND(E1450*(1+F1450),2)</f>
        <v>26.00</v>
      </c>
      <c r="H1450" s="5">
        <f>ROUND(G1450*NOTAS!$B$2,2)</f>
        <v>18754.99</v>
      </c>
      <c r="I1450" s="6">
        <f>ROUND(G1450*NOTAS!$B$3,0)</f>
        <v>84471</v>
      </c>
      <c r="J1450" s="2" t="n">
        <v>1</v>
      </c>
    </row>
    <row r="1451">
      <c r="A1451" s="2" t="inlineStr">
        <is>
          <t>46549624</t>
        </is>
      </c>
      <c r="B1451" s="2" t="inlineStr"/>
      <c r="C1451" s="2" t="inlineStr">
        <is>
          <t>CORREA MULTIFUNCIONAL F-PAL/SIE 1.3 16V FIRE</t>
        </is>
      </c>
      <c r="D1451" s="2" t="inlineStr">
        <is>
          <t>FIAT</t>
        </is>
      </c>
      <c r="E1451" s="3" t="n">
        <v>9</v>
      </c>
      <c r="F1451" s="4" t="n">
        <v>0.3</v>
      </c>
      <c r="G1451" s="5">
        <f>ROUND(E1451*(1+F1451),2)</f>
        <v>11.70</v>
      </c>
      <c r="H1451" s="5">
        <f>ROUND(G1451*NOTAS!$B$2,2)</f>
        <v>8439.74</v>
      </c>
      <c r="I1451" s="6">
        <f>ROUND(G1451*NOTAS!$B$3,0)</f>
        <v>38012</v>
      </c>
      <c r="J1451" s="2" t="n">
        <v>2</v>
      </c>
    </row>
    <row r="1452">
      <c r="A1452" s="2" t="inlineStr">
        <is>
          <t>5PK1190</t>
        </is>
      </c>
      <c r="B1452" s="2" t="inlineStr"/>
      <c r="C1452" s="2" t="inlineStr">
        <is>
          <t>CORREA MULTIFUNCIONAL F-PAL/SIE 1.3 16V FIRE</t>
        </is>
      </c>
      <c r="D1452" s="2" t="inlineStr">
        <is>
          <t>DAYCO</t>
        </is>
      </c>
      <c r="E1452" s="3" t="n">
        <v>9</v>
      </c>
      <c r="F1452" s="4" t="n">
        <v>0.3</v>
      </c>
      <c r="G1452" s="5">
        <f>ROUND(E1452*(1+F1452),2)</f>
        <v>11.70</v>
      </c>
      <c r="H1452" s="5">
        <f>ROUND(G1452*NOTAS!$B$2,2)</f>
        <v>8439.74</v>
      </c>
      <c r="I1452" s="6">
        <f>ROUND(G1452*NOTAS!$B$3,0)</f>
        <v>38012</v>
      </c>
      <c r="J1452" s="2" t="n">
        <v>6</v>
      </c>
    </row>
    <row r="1453">
      <c r="A1453" s="2" t="inlineStr">
        <is>
          <t>5PK1193</t>
        </is>
      </c>
      <c r="B1453" s="2" t="inlineStr"/>
      <c r="C1453" s="2" t="inlineStr">
        <is>
          <t>CORREA MULTIFUNCIONAL F-PAL/SIE 1.3 16V FIRE</t>
        </is>
      </c>
      <c r="D1453" s="2" t="inlineStr">
        <is>
          <t>GATES</t>
        </is>
      </c>
      <c r="E1453" s="3" t="n">
        <v>9</v>
      </c>
      <c r="F1453" s="4" t="n">
        <v>0.3</v>
      </c>
      <c r="G1453" s="5">
        <f>ROUND(E1453*(1+F1453),2)</f>
        <v>11.70</v>
      </c>
      <c r="H1453" s="5">
        <f>ROUND(G1453*NOTAS!$B$2,2)</f>
        <v>8439.74</v>
      </c>
      <c r="I1453" s="6">
        <f>ROUND(G1453*NOTAS!$B$3,0)</f>
        <v>38012</v>
      </c>
      <c r="J1453" s="2" t="n">
        <v>2</v>
      </c>
    </row>
    <row r="1454">
      <c r="A1454" s="2" t="inlineStr">
        <is>
          <t>5PK1200</t>
        </is>
      </c>
      <c r="B1454" s="2" t="inlineStr"/>
      <c r="C1454" s="2" t="inlineStr">
        <is>
          <t>CORREA MULTIFUNCIONAL F-PAL/SIE 1.3 16V FIRE</t>
        </is>
      </c>
      <c r="D1454" s="2" t="inlineStr">
        <is>
          <t>FCB</t>
        </is>
      </c>
      <c r="E1454" s="3" t="n">
        <v>4.5</v>
      </c>
      <c r="F1454" s="4" t="n">
        <v>0.3</v>
      </c>
      <c r="G1454" s="5">
        <f>ROUND(E1454*(1+F1454),2)</f>
        <v>5.85</v>
      </c>
      <c r="H1454" s="5">
        <f>ROUND(G1454*NOTAS!$B$2,2)</f>
        <v>4219.87</v>
      </c>
      <c r="I1454" s="6">
        <f>ROUND(G1454*NOTAS!$B$3,0)</f>
        <v>19006</v>
      </c>
      <c r="J1454" s="2" t="n">
        <v>2</v>
      </c>
    </row>
    <row r="1455">
      <c r="A1455" s="2" t="inlineStr">
        <is>
          <t>6PK1390</t>
        </is>
      </c>
      <c r="B1455" s="2" t="inlineStr"/>
      <c r="C1455" s="2" t="inlineStr">
        <is>
          <t>CORREA MULTIFUNCIONAL F-PAL/SIE 1.3 8V</t>
        </is>
      </c>
      <c r="D1455" s="2" t="inlineStr">
        <is>
          <t>DAYCO</t>
        </is>
      </c>
      <c r="E1455" s="3" t="n">
        <v>11</v>
      </c>
      <c r="F1455" s="4" t="n">
        <v>0.3</v>
      </c>
      <c r="G1455" s="5">
        <f>ROUND(E1455*(1+F1455),2)</f>
        <v>14.30</v>
      </c>
      <c r="H1455" s="5">
        <f>ROUND(G1455*NOTAS!$B$2,2)</f>
        <v>10315.24</v>
      </c>
      <c r="I1455" s="6">
        <f>ROUND(G1455*NOTAS!$B$3,0)</f>
        <v>46459</v>
      </c>
      <c r="J1455" s="2" t="n">
        <v>15</v>
      </c>
    </row>
    <row r="1456">
      <c r="A1456" s="2" t="inlineStr">
        <is>
          <t>5PK1165</t>
        </is>
      </c>
      <c r="B1456" s="2" t="inlineStr"/>
      <c r="C1456" s="2" t="inlineStr">
        <is>
          <t>CORREA MULTIFUNCIONAL F-PAL/SIE 1.4 UNO FIRE</t>
        </is>
      </c>
      <c r="D1456" s="2" t="inlineStr">
        <is>
          <t>WOLF</t>
        </is>
      </c>
      <c r="E1456" s="3" t="n">
        <v>5.6</v>
      </c>
      <c r="F1456" s="4" t="n">
        <v>0.3</v>
      </c>
      <c r="G1456" s="5">
        <f>ROUND(E1456*(1+F1456),2)</f>
        <v>7.28</v>
      </c>
      <c r="H1456" s="5">
        <f>ROUND(G1456*NOTAS!$B$2,2)</f>
        <v>5251.40</v>
      </c>
      <c r="I1456" s="6">
        <f>ROUND(G1456*NOTAS!$B$3,0)</f>
        <v>23652</v>
      </c>
      <c r="J1456" s="2" t="n">
        <v>1</v>
      </c>
    </row>
    <row r="1457">
      <c r="A1457" s="2" t="inlineStr">
        <is>
          <t>5PK1165</t>
        </is>
      </c>
      <c r="B1457" s="2" t="inlineStr"/>
      <c r="C1457" s="2" t="inlineStr">
        <is>
          <t>CORREA MULTIFUNCIONAL F-PAL/SIE 1.4 UNO FIRE</t>
        </is>
      </c>
      <c r="D1457" s="2" t="inlineStr">
        <is>
          <t>DAYCO</t>
        </is>
      </c>
      <c r="E1457" s="3" t="n">
        <v>9</v>
      </c>
      <c r="F1457" s="4" t="n">
        <v>0.3</v>
      </c>
      <c r="G1457" s="5">
        <f>ROUND(E1457*(1+F1457),2)</f>
        <v>11.70</v>
      </c>
      <c r="H1457" s="5">
        <f>ROUND(G1457*NOTAS!$B$2,2)</f>
        <v>8439.74</v>
      </c>
      <c r="I1457" s="6">
        <f>ROUND(G1457*NOTAS!$B$3,0)</f>
        <v>38012</v>
      </c>
      <c r="J1457" s="2" t="n">
        <v>1</v>
      </c>
    </row>
    <row r="1458">
      <c r="A1458" s="2" t="inlineStr">
        <is>
          <t>5PK1170</t>
        </is>
      </c>
      <c r="B1458" s="2" t="inlineStr"/>
      <c r="C1458" s="2" t="inlineStr">
        <is>
          <t>CORREA MULTIFUNCIONAL F-PAL/SIE 1.4 UNO FIRE</t>
        </is>
      </c>
      <c r="D1458" s="2" t="inlineStr">
        <is>
          <t>DAYCO</t>
        </is>
      </c>
      <c r="E1458" s="3" t="n">
        <v>9</v>
      </c>
      <c r="F1458" s="4" t="n">
        <v>0.3</v>
      </c>
      <c r="G1458" s="5">
        <f>ROUND(E1458*(1+F1458),2)</f>
        <v>11.70</v>
      </c>
      <c r="H1458" s="5">
        <f>ROUND(G1458*NOTAS!$B$2,2)</f>
        <v>8439.74</v>
      </c>
      <c r="I1458" s="6">
        <f>ROUND(G1458*NOTAS!$B$3,0)</f>
        <v>38012</v>
      </c>
      <c r="J1458" s="2" t="n">
        <v>7</v>
      </c>
    </row>
    <row r="1459">
      <c r="A1459" s="2" t="inlineStr">
        <is>
          <t>5PK1173</t>
        </is>
      </c>
      <c r="B1459" s="2" t="inlineStr"/>
      <c r="C1459" s="2" t="inlineStr">
        <is>
          <t>CORREA MULTIFUNCIONAL F-PAL/SIE 1.4 UNO FIRE</t>
        </is>
      </c>
      <c r="D1459" s="2" t="inlineStr">
        <is>
          <t>GATES</t>
        </is>
      </c>
      <c r="E1459" s="3" t="n">
        <v>9</v>
      </c>
      <c r="F1459" s="4" t="n">
        <v>0.3</v>
      </c>
      <c r="G1459" s="5">
        <f>ROUND(E1459*(1+F1459),2)</f>
        <v>11.70</v>
      </c>
      <c r="H1459" s="5">
        <f>ROUND(G1459*NOTAS!$B$2,2)</f>
        <v>8439.74</v>
      </c>
      <c r="I1459" s="6">
        <f>ROUND(G1459*NOTAS!$B$3,0)</f>
        <v>38012</v>
      </c>
      <c r="J1459" s="2" t="n">
        <v>3</v>
      </c>
    </row>
    <row r="1460">
      <c r="A1460" s="2" t="inlineStr">
        <is>
          <t>5PK1795</t>
        </is>
      </c>
      <c r="B1460" s="2" t="inlineStr"/>
      <c r="C1460" s="2" t="inlineStr">
        <is>
          <t>CORREA MULTIFUNCIONAL F-PAL/SIE 1.8 FASE2</t>
        </is>
      </c>
      <c r="D1460" s="2" t="inlineStr">
        <is>
          <t>DAYCO</t>
        </is>
      </c>
      <c r="E1460" s="3" t="n">
        <v>13</v>
      </c>
      <c r="F1460" s="4" t="n">
        <v>0.3</v>
      </c>
      <c r="G1460" s="5">
        <f>ROUND(E1460*(1+F1460),2)</f>
        <v>16.90</v>
      </c>
      <c r="H1460" s="5">
        <f>ROUND(G1460*NOTAS!$B$2,2)</f>
        <v>12190.74</v>
      </c>
      <c r="I1460" s="6">
        <f>ROUND(G1460*NOTAS!$B$3,0)</f>
        <v>54906</v>
      </c>
      <c r="J1460" s="2" t="n">
        <v>3</v>
      </c>
    </row>
    <row r="1461">
      <c r="A1461" s="2" t="inlineStr">
        <is>
          <t>5PK1795</t>
        </is>
      </c>
      <c r="B1461" s="2" t="inlineStr"/>
      <c r="C1461" s="2" t="inlineStr">
        <is>
          <t>CORREA MULTIFUNCIONAL F-PAL/SIE 1.8 FASE2</t>
        </is>
      </c>
      <c r="D1461" s="2" t="inlineStr">
        <is>
          <t>FCB</t>
        </is>
      </c>
      <c r="E1461" s="3" t="n">
        <v>9</v>
      </c>
      <c r="F1461" s="4" t="n">
        <v>0.3</v>
      </c>
      <c r="G1461" s="5">
        <f>ROUND(E1461*(1+F1461),2)</f>
        <v>11.70</v>
      </c>
      <c r="H1461" s="5">
        <f>ROUND(G1461*NOTAS!$B$2,2)</f>
        <v>8439.74</v>
      </c>
      <c r="I1461" s="6">
        <f>ROUND(G1461*NOTAS!$B$3,0)</f>
        <v>38012</v>
      </c>
      <c r="J1461" s="2" t="n">
        <v>1</v>
      </c>
    </row>
    <row r="1462">
      <c r="A1462" s="2" t="inlineStr">
        <is>
          <t>5PK1795</t>
        </is>
      </c>
      <c r="B1462" s="2" t="inlineStr"/>
      <c r="C1462" s="2" t="inlineStr">
        <is>
          <t>CORREA MULTIFUNCIONAL F-PAL/SIE 1.8 FASE2</t>
        </is>
      </c>
      <c r="D1462" s="2" t="inlineStr">
        <is>
          <t>CONTINENTAL</t>
        </is>
      </c>
      <c r="E1462" s="3" t="n">
        <v>14</v>
      </c>
      <c r="F1462" s="4" t="n">
        <v>0.3</v>
      </c>
      <c r="G1462" s="5">
        <f>ROUND(E1462*(1+F1462),2)</f>
        <v>18.20</v>
      </c>
      <c r="H1462" s="5">
        <f>ROUND(G1462*NOTAS!$B$2,2)</f>
        <v>13128.49</v>
      </c>
      <c r="I1462" s="6">
        <f>ROUND(G1462*NOTAS!$B$3,0)</f>
        <v>59129</v>
      </c>
      <c r="J1462" s="2" t="n">
        <v>1</v>
      </c>
    </row>
    <row r="1463">
      <c r="A1463" s="2" t="inlineStr">
        <is>
          <t>4PK0766</t>
        </is>
      </c>
      <c r="B1463" s="2" t="inlineStr">
        <is>
          <t>K040300</t>
        </is>
      </c>
      <c r="C1463" s="2" t="inlineStr">
        <is>
          <t>CORREA MULTIFUNCIONAL F-UNO</t>
        </is>
      </c>
      <c r="D1463" s="2" t="inlineStr">
        <is>
          <t>GATES</t>
        </is>
      </c>
      <c r="E1463" s="3" t="n">
        <v>6</v>
      </c>
      <c r="F1463" s="4" t="n">
        <v>0.3</v>
      </c>
      <c r="G1463" s="5">
        <f>ROUND(E1463*(1+F1463),2)</f>
        <v>7.80</v>
      </c>
      <c r="H1463" s="5">
        <f>ROUND(G1463*NOTAS!$B$2,2)</f>
        <v>5626.50</v>
      </c>
      <c r="I1463" s="6">
        <f>ROUND(G1463*NOTAS!$B$3,0)</f>
        <v>25341</v>
      </c>
      <c r="J1463" s="2" t="n">
        <v>1</v>
      </c>
    </row>
    <row r="1464">
      <c r="A1464" s="2" t="inlineStr">
        <is>
          <t>5PK1015</t>
        </is>
      </c>
      <c r="B1464" s="2" t="inlineStr"/>
      <c r="C1464" s="2" t="inlineStr">
        <is>
          <t>CORREA MULTIFUNCIONAL GOODYEAR</t>
        </is>
      </c>
      <c r="D1464" s="2" t="inlineStr">
        <is>
          <t>GOODYEAR</t>
        </is>
      </c>
      <c r="E1464" s="3" t="n">
        <v>3</v>
      </c>
      <c r="F1464" s="4" t="n">
        <v>0.3</v>
      </c>
      <c r="G1464" s="5">
        <f>ROUND(E1464*(1+F1464),2)</f>
        <v>3.90</v>
      </c>
      <c r="H1464" s="5">
        <f>ROUND(G1464*NOTAS!$B$2,2)</f>
        <v>2813.25</v>
      </c>
      <c r="I1464" s="6">
        <f>ROUND(G1464*NOTAS!$B$3,0)</f>
        <v>12671</v>
      </c>
      <c r="J1464" s="2" t="n">
        <v>1</v>
      </c>
    </row>
    <row r="1465">
      <c r="A1465" s="2" t="inlineStr">
        <is>
          <t>5PK1813</t>
        </is>
      </c>
      <c r="B1465" s="2" t="inlineStr"/>
      <c r="C1465" s="2" t="inlineStr">
        <is>
          <t>CORREA MULTIFUNCIONAL MONTANA/MERIVA/CORSA 1.8</t>
        </is>
      </c>
      <c r="D1465" s="2" t="inlineStr">
        <is>
          <t>FCB</t>
        </is>
      </c>
      <c r="E1465" s="3" t="n">
        <v>5</v>
      </c>
      <c r="F1465" s="4" t="n">
        <v>0.3</v>
      </c>
      <c r="G1465" s="5">
        <f>ROUND(E1465*(1+F1465),2)</f>
        <v>6.50</v>
      </c>
      <c r="H1465" s="5">
        <f>ROUND(G1465*NOTAS!$B$2,2)</f>
        <v>4688.75</v>
      </c>
      <c r="I1465" s="6">
        <f>ROUND(G1465*NOTAS!$B$3,0)</f>
        <v>21118</v>
      </c>
      <c r="J1465" s="2" t="n">
        <v>2</v>
      </c>
    </row>
    <row r="1466">
      <c r="A1466" s="2" t="inlineStr">
        <is>
          <t>6PK0915</t>
        </is>
      </c>
      <c r="B1466" s="2" t="inlineStr"/>
      <c r="C1466" s="2" t="inlineStr">
        <is>
          <t>CORREA MULTIFUNCIONAL MONZA</t>
        </is>
      </c>
      <c r="D1466" s="2" t="inlineStr">
        <is>
          <t>DAYCO</t>
        </is>
      </c>
      <c r="E1466" s="3" t="n">
        <v>9</v>
      </c>
      <c r="F1466" s="4" t="n">
        <v>0.3</v>
      </c>
      <c r="G1466" s="5">
        <f>ROUND(E1466*(1+F1466),2)</f>
        <v>11.70</v>
      </c>
      <c r="H1466" s="5">
        <f>ROUND(G1466*NOTAS!$B$2,2)</f>
        <v>8439.74</v>
      </c>
      <c r="I1466" s="6">
        <f>ROUND(G1466*NOTAS!$B$3,0)</f>
        <v>38012</v>
      </c>
      <c r="J1466" s="2" t="n">
        <v>2</v>
      </c>
    </row>
    <row r="1467">
      <c r="A1467" s="2" t="inlineStr">
        <is>
          <t>6PK1890A</t>
        </is>
      </c>
      <c r="B1467" s="2" t="inlineStr">
        <is>
          <t>89063469</t>
        </is>
      </c>
      <c r="C1467" s="2" t="inlineStr">
        <is>
          <t>CORREA MULTIFUNCIONAL OPTRA</t>
        </is>
      </c>
      <c r="D1467" s="2" t="inlineStr">
        <is>
          <t>ACDELCO</t>
        </is>
      </c>
      <c r="E1467" s="3" t="n">
        <v>10</v>
      </c>
      <c r="F1467" s="4" t="n">
        <v>0.3</v>
      </c>
      <c r="G1467" s="5">
        <f>ROUND(E1467*(1+F1467),2)</f>
        <v>13.00</v>
      </c>
      <c r="H1467" s="5">
        <f>ROUND(G1467*NOTAS!$B$2,2)</f>
        <v>9377.49</v>
      </c>
      <c r="I1467" s="6">
        <f>ROUND(G1467*NOTAS!$B$3,0)</f>
        <v>42235</v>
      </c>
      <c r="J1467" s="2" t="n">
        <v>1</v>
      </c>
    </row>
    <row r="1468">
      <c r="A1468" s="2" t="inlineStr">
        <is>
          <t>6PK1892</t>
        </is>
      </c>
      <c r="B1468" s="2" t="inlineStr">
        <is>
          <t>96309968</t>
        </is>
      </c>
      <c r="C1468" s="2" t="inlineStr">
        <is>
          <t>CORREA MULTIFUNCIONAL OPTRA</t>
        </is>
      </c>
      <c r="D1468" s="2" t="inlineStr">
        <is>
          <t>GM</t>
        </is>
      </c>
      <c r="E1468" s="3" t="n">
        <v>15</v>
      </c>
      <c r="F1468" s="4" t="n">
        <v>0.3</v>
      </c>
      <c r="G1468" s="5">
        <f>ROUND(E1468*(1+F1468),2)</f>
        <v>19.50</v>
      </c>
      <c r="H1468" s="5">
        <f>ROUND(G1468*NOTAS!$B$2,2)</f>
        <v>14066.24</v>
      </c>
      <c r="I1468" s="6">
        <f>ROUND(G1468*NOTAS!$B$3,0)</f>
        <v>63353</v>
      </c>
      <c r="J1468" s="2" t="n">
        <v>1</v>
      </c>
    </row>
    <row r="1469">
      <c r="A1469" s="2" t="inlineStr">
        <is>
          <t>6PK1892</t>
        </is>
      </c>
      <c r="B1469" s="2" t="inlineStr"/>
      <c r="C1469" s="2" t="inlineStr">
        <is>
          <t>CORREA MULTIFUNCIONAL OPTRA</t>
        </is>
      </c>
      <c r="D1469" s="2" t="inlineStr">
        <is>
          <t>GATES</t>
        </is>
      </c>
      <c r="E1469" s="3" t="n">
        <v>13</v>
      </c>
      <c r="F1469" s="4" t="n">
        <v>0.3</v>
      </c>
      <c r="G1469" s="5">
        <f>ROUND(E1469*(1+F1469),2)</f>
        <v>16.90</v>
      </c>
      <c r="H1469" s="5">
        <f>ROUND(G1469*NOTAS!$B$2,2)</f>
        <v>12190.74</v>
      </c>
      <c r="I1469" s="6">
        <f>ROUND(G1469*NOTAS!$B$3,0)</f>
        <v>54906</v>
      </c>
      <c r="J1469" s="2" t="n">
        <v>2</v>
      </c>
    </row>
    <row r="1470">
      <c r="A1470" s="2" t="inlineStr">
        <is>
          <t>6PK1628</t>
        </is>
      </c>
      <c r="B1470" s="2" t="inlineStr"/>
      <c r="C1470" s="2" t="inlineStr">
        <is>
          <t>CORREA MULTIFUNCIONAL ORINOCO AUTOMATICO</t>
        </is>
      </c>
      <c r="D1470" s="2" t="inlineStr">
        <is>
          <t>CHERY</t>
        </is>
      </c>
      <c r="E1470" s="3" t="n">
        <v>7</v>
      </c>
      <c r="F1470" s="4" t="n">
        <v>0.3</v>
      </c>
      <c r="G1470" s="5">
        <f>ROUND(E1470*(1+F1470),2)</f>
        <v>9.10</v>
      </c>
      <c r="H1470" s="5">
        <f>ROUND(G1470*NOTAS!$B$2,2)</f>
        <v>6564.24</v>
      </c>
      <c r="I1470" s="6">
        <f>ROUND(G1470*NOTAS!$B$3,0)</f>
        <v>29565</v>
      </c>
      <c r="J1470" s="2" t="n">
        <v>1</v>
      </c>
    </row>
    <row r="1471">
      <c r="A1471" s="2" t="inlineStr">
        <is>
          <t>6PK1540</t>
        </is>
      </c>
      <c r="B1471" s="2" t="inlineStr"/>
      <c r="C1471" s="2" t="inlineStr">
        <is>
          <t>CORREA MULTIFUNCIONAL ORINOCO SINCRONICO</t>
        </is>
      </c>
      <c r="D1471" s="2" t="inlineStr">
        <is>
          <t>FCB</t>
        </is>
      </c>
      <c r="E1471" s="3" t="n">
        <v>5</v>
      </c>
      <c r="F1471" s="4" t="n">
        <v>0.3</v>
      </c>
      <c r="G1471" s="5">
        <f>ROUND(E1471*(1+F1471),2)</f>
        <v>6.50</v>
      </c>
      <c r="H1471" s="5">
        <f>ROUND(G1471*NOTAS!$B$2,2)</f>
        <v>4688.75</v>
      </c>
      <c r="I1471" s="6">
        <f>ROUND(G1471*NOTAS!$B$3,0)</f>
        <v>21118</v>
      </c>
      <c r="J1471" s="2" t="n">
        <v>1</v>
      </c>
    </row>
    <row r="1472">
      <c r="A1472" s="2" t="inlineStr">
        <is>
          <t>6PK1540</t>
        </is>
      </c>
      <c r="B1472" s="2" t="inlineStr"/>
      <c r="C1472" s="2" t="inlineStr">
        <is>
          <t>CORREA MULTIFUNCIONAL ORINOCO SINCRONICO</t>
        </is>
      </c>
      <c r="D1472" s="2" t="inlineStr">
        <is>
          <t>CHERY</t>
        </is>
      </c>
      <c r="E1472" s="3" t="n">
        <v>7</v>
      </c>
      <c r="F1472" s="4" t="n">
        <v>0.3</v>
      </c>
      <c r="G1472" s="5">
        <f>ROUND(E1472*(1+F1472),2)</f>
        <v>9.10</v>
      </c>
      <c r="H1472" s="5">
        <f>ROUND(G1472*NOTAS!$B$2,2)</f>
        <v>6564.24</v>
      </c>
      <c r="I1472" s="6">
        <f>ROUND(G1472*NOTAS!$B$3,0)</f>
        <v>29565</v>
      </c>
      <c r="J1472" s="2" t="n">
        <v>1</v>
      </c>
    </row>
    <row r="1473">
      <c r="A1473" s="2" t="inlineStr">
        <is>
          <t>6PK1540</t>
        </is>
      </c>
      <c r="B1473" s="2" t="inlineStr"/>
      <c r="C1473" s="2" t="inlineStr">
        <is>
          <t>CORREA MULTIFUNCIONAL ORINOCO SINCRONICO</t>
        </is>
      </c>
      <c r="D1473" s="2" t="inlineStr">
        <is>
          <t>KTO</t>
        </is>
      </c>
      <c r="E1473" s="3" t="n">
        <v>5.63</v>
      </c>
      <c r="F1473" s="4" t="n">
        <v>0.3</v>
      </c>
      <c r="G1473" s="5">
        <f>ROUND(E1473*(1+F1473),2)</f>
        <v>7.32</v>
      </c>
      <c r="H1473" s="5">
        <f>ROUND(G1473*NOTAS!$B$2,2)</f>
        <v>5280.25</v>
      </c>
      <c r="I1473" s="6">
        <f>ROUND(G1473*NOTAS!$B$3,0)</f>
        <v>23782</v>
      </c>
      <c r="J1473" s="2" t="n">
        <v>1</v>
      </c>
    </row>
    <row r="1474">
      <c r="A1474" s="2" t="inlineStr">
        <is>
          <t>4PK1285</t>
        </is>
      </c>
      <c r="B1474" s="2" t="inlineStr"/>
      <c r="C1474" s="2" t="inlineStr">
        <is>
          <t>CORREA MULTIFUNCIONAL R-19 1.4 ENERGY</t>
        </is>
      </c>
      <c r="D1474" s="2" t="inlineStr">
        <is>
          <t>GOODYEAR</t>
        </is>
      </c>
      <c r="E1474" s="3" t="n">
        <v>6</v>
      </c>
      <c r="F1474" s="4" t="n">
        <v>0.3</v>
      </c>
      <c r="G1474" s="5">
        <f>ROUND(E1474*(1+F1474),2)</f>
        <v>7.80</v>
      </c>
      <c r="H1474" s="5">
        <f>ROUND(G1474*NOTAS!$B$2,2)</f>
        <v>5626.50</v>
      </c>
      <c r="I1474" s="6">
        <f>ROUND(G1474*NOTAS!$B$3,0)</f>
        <v>25341</v>
      </c>
      <c r="J1474" s="2" t="n">
        <v>2</v>
      </c>
    </row>
    <row r="1475">
      <c r="A1475" s="2" t="inlineStr">
        <is>
          <t>5PK1746</t>
        </is>
      </c>
      <c r="B1475" s="2" t="inlineStr"/>
      <c r="C1475" s="2" t="inlineStr">
        <is>
          <t>CORREA MULTIFUNCIONAL R-LOGAN …/10</t>
        </is>
      </c>
      <c r="D1475" s="2" t="inlineStr">
        <is>
          <t>CONTINENTAL</t>
        </is>
      </c>
      <c r="E1475" s="3" t="n">
        <v>10</v>
      </c>
      <c r="F1475" s="4" t="n">
        <v>0.3</v>
      </c>
      <c r="G1475" s="5">
        <f>ROUND(E1475*(1+F1475),2)</f>
        <v>13.00</v>
      </c>
      <c r="H1475" s="5">
        <f>ROUND(G1475*NOTAS!$B$2,2)</f>
        <v>9377.49</v>
      </c>
      <c r="I1475" s="6">
        <f>ROUND(G1475*NOTAS!$B$3,0)</f>
        <v>42235</v>
      </c>
      <c r="J1475" s="2" t="n">
        <v>5</v>
      </c>
    </row>
    <row r="1476">
      <c r="A1476" s="2" t="inlineStr">
        <is>
          <t>6PK1820</t>
        </is>
      </c>
      <c r="B1476" s="2" t="inlineStr">
        <is>
          <t>131488159</t>
        </is>
      </c>
      <c r="C1476" s="2" t="inlineStr">
        <is>
          <t>CORREA MULTIFUNCIONAL R-LOGAN 1.6 16V</t>
        </is>
      </c>
      <c r="D1476" s="2" t="inlineStr">
        <is>
          <t>CONTINENTAL</t>
        </is>
      </c>
      <c r="E1476" s="3" t="n">
        <v>11</v>
      </c>
      <c r="F1476" s="4" t="n">
        <v>0.3</v>
      </c>
      <c r="G1476" s="5">
        <f>ROUND(E1476*(1+F1476),2)</f>
        <v>14.30</v>
      </c>
      <c r="H1476" s="5">
        <f>ROUND(G1476*NOTAS!$B$2,2)</f>
        <v>10315.24</v>
      </c>
      <c r="I1476" s="6">
        <f>ROUND(G1476*NOTAS!$B$3,0)</f>
        <v>46459</v>
      </c>
      <c r="J1476" s="2" t="n">
        <v>1</v>
      </c>
    </row>
    <row r="1477">
      <c r="A1477" s="2" t="inlineStr">
        <is>
          <t>4PK1170</t>
        </is>
      </c>
      <c r="B1477" s="2" t="inlineStr"/>
      <c r="C1477" s="2" t="inlineStr">
        <is>
          <t>CORREA MULTIFUNCIONAL R-TWINGO 99/05</t>
        </is>
      </c>
      <c r="D1477" s="2" t="inlineStr">
        <is>
          <t>DAYCO</t>
        </is>
      </c>
      <c r="E1477" s="3" t="n">
        <v>6</v>
      </c>
      <c r="F1477" s="4" t="n">
        <v>0.3</v>
      </c>
      <c r="G1477" s="5">
        <f>ROUND(E1477*(1+F1477),2)</f>
        <v>7.80</v>
      </c>
      <c r="H1477" s="5">
        <f>ROUND(G1477*NOTAS!$B$2,2)</f>
        <v>5626.50</v>
      </c>
      <c r="I1477" s="6">
        <f>ROUND(G1477*NOTAS!$B$3,0)</f>
        <v>25341</v>
      </c>
      <c r="J1477" s="2" t="n">
        <v>6</v>
      </c>
    </row>
    <row r="1478">
      <c r="A1478" s="2" t="inlineStr">
        <is>
          <t>4PK1170</t>
        </is>
      </c>
      <c r="B1478" s="2" t="inlineStr"/>
      <c r="C1478" s="2" t="inlineStr">
        <is>
          <t>CORREA MULTIFUNCIONAL R-TWINGO 99/05</t>
        </is>
      </c>
      <c r="D1478" s="2" t="inlineStr">
        <is>
          <t>PERFECT CIRCLE</t>
        </is>
      </c>
      <c r="E1478" s="3" t="n">
        <v>4</v>
      </c>
      <c r="F1478" s="4" t="n">
        <v>0.3</v>
      </c>
      <c r="G1478" s="5">
        <f>ROUND(E1478*(1+F1478),2)</f>
        <v>5.20</v>
      </c>
      <c r="H1478" s="5">
        <f>ROUND(G1478*NOTAS!$B$2,2)</f>
        <v>3751.00</v>
      </c>
      <c r="I1478" s="6">
        <f>ROUND(G1478*NOTAS!$B$3,0)</f>
        <v>16894</v>
      </c>
      <c r="J1478" s="2" t="n">
        <v>1</v>
      </c>
    </row>
    <row r="1479">
      <c r="A1479" s="2" t="inlineStr">
        <is>
          <t>4PK1170</t>
        </is>
      </c>
      <c r="B1479" s="2" t="inlineStr"/>
      <c r="C1479" s="2" t="inlineStr">
        <is>
          <t>CORREA MULTIFUNCIONAL R-TWINGO 99/05</t>
        </is>
      </c>
      <c r="D1479" s="2" t="inlineStr">
        <is>
          <t>GOODYEAR</t>
        </is>
      </c>
      <c r="E1479" s="3" t="n">
        <v>4</v>
      </c>
      <c r="F1479" s="4" t="n">
        <v>0.3</v>
      </c>
      <c r="G1479" s="5">
        <f>ROUND(E1479*(1+F1479),2)</f>
        <v>5.20</v>
      </c>
      <c r="H1479" s="5">
        <f>ROUND(G1479*NOTAS!$B$2,2)</f>
        <v>3751.00</v>
      </c>
      <c r="I1479" s="6">
        <f>ROUND(G1479*NOTAS!$B$3,0)</f>
        <v>16894</v>
      </c>
      <c r="J1479" s="2" t="n">
        <v>8</v>
      </c>
    </row>
    <row r="1480">
      <c r="A1480" s="2" t="inlineStr">
        <is>
          <t>4PK1220</t>
        </is>
      </c>
      <c r="B1480" s="2" t="inlineStr"/>
      <c r="C1480" s="2" t="inlineStr">
        <is>
          <t>CORREA MULTIFUNCIONAL TORFLEX</t>
        </is>
      </c>
      <c r="D1480" s="2" t="inlineStr">
        <is>
          <t>TORFLEX</t>
        </is>
      </c>
      <c r="E1480" s="3" t="n">
        <v>3</v>
      </c>
      <c r="F1480" s="4" t="n">
        <v>0.3</v>
      </c>
      <c r="G1480" s="5">
        <f>ROUND(E1480*(1+F1480),2)</f>
        <v>3.90</v>
      </c>
      <c r="H1480" s="5">
        <f>ROUND(G1480*NOTAS!$B$2,2)</f>
        <v>2813.25</v>
      </c>
      <c r="I1480" s="6">
        <f>ROUND(G1480*NOTAS!$B$3,0)</f>
        <v>12671</v>
      </c>
      <c r="J1480" s="2" t="n">
        <v>1</v>
      </c>
    </row>
    <row r="1481">
      <c r="A1481" s="2" t="inlineStr">
        <is>
          <t>7310</t>
        </is>
      </c>
      <c r="B1481" s="2" t="inlineStr"/>
      <c r="C1481" s="2" t="inlineStr">
        <is>
          <t>CORREA PERFECT CIRCLE UNIVERSAL</t>
        </is>
      </c>
      <c r="D1481" s="2" t="inlineStr">
        <is>
          <t>PERFECT CIRCLE</t>
        </is>
      </c>
      <c r="E1481" s="3" t="n">
        <v>2</v>
      </c>
      <c r="F1481" s="4" t="n">
        <v>0.3</v>
      </c>
      <c r="G1481" s="5">
        <f>ROUND(E1481*(1+F1481),2)</f>
        <v>2.60</v>
      </c>
      <c r="H1481" s="5">
        <f>ROUND(G1481*NOTAS!$B$2,2)</f>
        <v>1875.50</v>
      </c>
      <c r="I1481" s="6">
        <f>ROUND(G1481*NOTAS!$B$3,0)</f>
        <v>8447</v>
      </c>
      <c r="J1481" s="2" t="n">
        <v>1</v>
      </c>
    </row>
    <row r="1482">
      <c r="A1482" s="2" t="inlineStr">
        <is>
          <t>7470</t>
        </is>
      </c>
      <c r="B1482" s="2" t="inlineStr"/>
      <c r="C1482" s="2" t="inlineStr">
        <is>
          <t>CORREA PERFECT CIRCLE UNIVERSAL</t>
        </is>
      </c>
      <c r="D1482" s="2" t="inlineStr">
        <is>
          <t>PERFECT CIRCLE</t>
        </is>
      </c>
      <c r="E1482" s="3" t="n">
        <v>2</v>
      </c>
      <c r="F1482" s="4" t="n">
        <v>0.3</v>
      </c>
      <c r="G1482" s="5">
        <f>ROUND(E1482*(1+F1482),2)</f>
        <v>2.60</v>
      </c>
      <c r="H1482" s="5">
        <f>ROUND(G1482*NOTAS!$B$2,2)</f>
        <v>1875.50</v>
      </c>
      <c r="I1482" s="6">
        <f>ROUND(G1482*NOTAS!$B$3,0)</f>
        <v>8447</v>
      </c>
      <c r="J1482" s="2" t="n">
        <v>1</v>
      </c>
    </row>
    <row r="1483">
      <c r="A1483" s="2" t="inlineStr">
        <is>
          <t>9400</t>
        </is>
      </c>
      <c r="B1483" s="2" t="inlineStr"/>
      <c r="C1483" s="2" t="inlineStr">
        <is>
          <t>CORREA PERFECT CIRCLE UNIVERSAL</t>
        </is>
      </c>
      <c r="D1483" s="2" t="inlineStr">
        <is>
          <t>PERFECT CIRCLE</t>
        </is>
      </c>
      <c r="E1483" s="3" t="n">
        <v>2</v>
      </c>
      <c r="F1483" s="4" t="n">
        <v>0.3</v>
      </c>
      <c r="G1483" s="5">
        <f>ROUND(E1483*(1+F1483),2)</f>
        <v>2.60</v>
      </c>
      <c r="H1483" s="5">
        <f>ROUND(G1483*NOTAS!$B$2,2)</f>
        <v>1875.50</v>
      </c>
      <c r="I1483" s="6">
        <f>ROUND(G1483*NOTAS!$B$3,0)</f>
        <v>8447</v>
      </c>
      <c r="J1483" s="2" t="n">
        <v>1</v>
      </c>
    </row>
    <row r="1484">
      <c r="A1484" s="2" t="inlineStr">
        <is>
          <t>9900</t>
        </is>
      </c>
      <c r="B1484" s="2" t="inlineStr"/>
      <c r="C1484" s="2" t="inlineStr">
        <is>
          <t>CORRECTOR FRENO F-147/SPAZIO/REGATA/LADA NIVA</t>
        </is>
      </c>
      <c r="D1484" s="2" t="inlineStr">
        <is>
          <t>LPR</t>
        </is>
      </c>
      <c r="E1484" s="3" t="n">
        <v>10</v>
      </c>
      <c r="F1484" s="4" t="n">
        <v>0.3</v>
      </c>
      <c r="G1484" s="5">
        <f>ROUND(E1484*(1+F1484),2)</f>
        <v>13.00</v>
      </c>
      <c r="H1484" s="5">
        <f>ROUND(G1484*NOTAS!$B$2,2)</f>
        <v>9377.49</v>
      </c>
      <c r="I1484" s="6">
        <f>ROUND(G1484*NOTAS!$B$3,0)</f>
        <v>42235</v>
      </c>
      <c r="J1484" s="2" t="n">
        <v>1</v>
      </c>
    </row>
    <row r="1485">
      <c r="A1485" s="2" t="inlineStr">
        <is>
          <t>7334148</t>
        </is>
      </c>
      <c r="B1485" s="2" t="inlineStr"/>
      <c r="C1485" s="2" t="inlineStr">
        <is>
          <t>COUPLING CAJA DIRECCION CHEVETTE</t>
        </is>
      </c>
      <c r="D1485" s="2" t="inlineStr">
        <is>
          <t>NK</t>
        </is>
      </c>
      <c r="E1485" s="3" t="n">
        <v>11.5385</v>
      </c>
      <c r="F1485" s="4" t="n">
        <v>0.3</v>
      </c>
      <c r="G1485" s="5">
        <f>ROUND(E1485*(1+F1485),2)</f>
        <v>15.00</v>
      </c>
      <c r="H1485" s="5">
        <f>ROUND(G1485*NOTAS!$B$2,2)</f>
        <v>10820.18</v>
      </c>
      <c r="I1485" s="6">
        <f>ROUND(G1485*NOTAS!$B$3,0)</f>
        <v>48733</v>
      </c>
      <c r="J1485" s="2" t="n">
        <v>1</v>
      </c>
    </row>
    <row r="1486">
      <c r="A1486" s="2" t="inlineStr">
        <is>
          <t>940102</t>
        </is>
      </c>
      <c r="B1486" s="2" t="inlineStr">
        <is>
          <t>2S6517K741AA</t>
        </is>
      </c>
      <c r="C1486" s="2" t="inlineStr">
        <is>
          <t>CRISTAL ESPEJO RETROVISOR IZQUIERDO FIESTA 04/13</t>
        </is>
      </c>
      <c r="D1486" s="2" t="inlineStr">
        <is>
          <t>FORD</t>
        </is>
      </c>
      <c r="E1486" s="3" t="n">
        <v>15.3846</v>
      </c>
      <c r="F1486" s="4" t="n">
        <v>0.3</v>
      </c>
      <c r="G1486" s="5">
        <f>ROUND(E1486*(1+F1486),2)</f>
        <v>20.00</v>
      </c>
      <c r="H1486" s="5">
        <f>ROUND(G1486*NOTAS!$B$2,2)</f>
        <v>14426.91</v>
      </c>
      <c r="I1486" s="6">
        <f>ROUND(G1486*NOTAS!$B$3,0)</f>
        <v>64977</v>
      </c>
      <c r="J1486" s="2" t="n">
        <v>1</v>
      </c>
    </row>
    <row r="1487">
      <c r="A1487" s="2" t="inlineStr">
        <is>
          <t>NAM437G</t>
        </is>
      </c>
      <c r="B1487" s="2" t="inlineStr"/>
      <c r="C1487" s="2" t="inlineStr">
        <is>
          <t>CRUCETA CHEVETTE</t>
        </is>
      </c>
      <c r="D1487" s="2" t="inlineStr">
        <is>
          <t>PERFECTION BRAKE</t>
        </is>
      </c>
      <c r="E1487" s="3" t="n">
        <v>16.9231</v>
      </c>
      <c r="F1487" s="4" t="n">
        <v>0.3</v>
      </c>
      <c r="G1487" s="5">
        <f>ROUND(E1487*(1+F1487),2)</f>
        <v>22.00</v>
      </c>
      <c r="H1487" s="5">
        <f>ROUND(G1487*NOTAS!$B$2,2)</f>
        <v>15869.60</v>
      </c>
      <c r="I1487" s="6">
        <f>ROUND(G1487*NOTAS!$B$3,0)</f>
        <v>71475</v>
      </c>
      <c r="J1487" s="2" t="n">
        <v>8</v>
      </c>
    </row>
    <row r="1488">
      <c r="A1488" s="2" t="inlineStr">
        <is>
          <t>11010612</t>
        </is>
      </c>
      <c r="B1488" s="2" t="inlineStr"/>
      <c r="C1488" s="2" t="inlineStr">
        <is>
          <t>CUNA CIGUENAL MONZA</t>
        </is>
      </c>
      <c r="D1488" s="2" t="inlineStr">
        <is>
          <t>GM</t>
        </is>
      </c>
      <c r="E1488" s="3" t="n">
        <v>11.5385</v>
      </c>
      <c r="F1488" s="4" t="n">
        <v>0.3</v>
      </c>
      <c r="G1488" s="5">
        <f>ROUND(E1488*(1+F1488),2)</f>
        <v>15.00</v>
      </c>
      <c r="H1488" s="5">
        <f>ROUND(G1488*NOTAS!$B$2,2)</f>
        <v>10820.18</v>
      </c>
      <c r="I1488" s="6">
        <f>ROUND(G1488*NOTAS!$B$3,0)</f>
        <v>48733</v>
      </c>
      <c r="J1488" s="2" t="n">
        <v>1</v>
      </c>
    </row>
    <row r="1489">
      <c r="A1489" s="2" t="inlineStr">
        <is>
          <t>90199019</t>
        </is>
      </c>
      <c r="B1489" s="2" t="inlineStr"/>
      <c r="C1489" s="2" t="inlineStr">
        <is>
          <t>CUNA SINCRONICO 1RA Y2DA CIELO/LANOS</t>
        </is>
      </c>
      <c r="D1489" s="2" t="inlineStr">
        <is>
          <t>GM KOREA</t>
        </is>
      </c>
      <c r="E1489" s="3" t="n">
        <v>11.5385</v>
      </c>
      <c r="F1489" s="4" t="n">
        <v>0.3</v>
      </c>
      <c r="G1489" s="5">
        <f>ROUND(E1489*(1+F1489),2)</f>
        <v>15.00</v>
      </c>
      <c r="H1489" s="5">
        <f>ROUND(G1489*NOTAS!$B$2,2)</f>
        <v>10820.18</v>
      </c>
      <c r="I1489" s="6">
        <f>ROUND(G1489*NOTAS!$B$3,0)</f>
        <v>48733</v>
      </c>
      <c r="J1489" s="2" t="n">
        <v>10</v>
      </c>
    </row>
    <row r="1490">
      <c r="A1490" s="2" t="inlineStr">
        <is>
          <t>90199973</t>
        </is>
      </c>
      <c r="B1490" s="2" t="inlineStr"/>
      <c r="C1490" s="2" t="inlineStr">
        <is>
          <t>CUNA SINCRONICO 3RA Y 4TA CIELO/LANOS</t>
        </is>
      </c>
      <c r="D1490" s="2" t="inlineStr">
        <is>
          <t>GM KOREA</t>
        </is>
      </c>
      <c r="E1490" s="3" t="n">
        <v>11.5385</v>
      </c>
      <c r="F1490" s="4" t="n">
        <v>0.3</v>
      </c>
      <c r="G1490" s="5">
        <f>ROUND(E1490*(1+F1490),2)</f>
        <v>15.00</v>
      </c>
      <c r="H1490" s="5">
        <f>ROUND(G1490*NOTAS!$B$2,2)</f>
        <v>10820.18</v>
      </c>
      <c r="I1490" s="6">
        <f>ROUND(G1490*NOTAS!$B$3,0)</f>
        <v>48733</v>
      </c>
      <c r="J1490" s="2" t="n">
        <v>10</v>
      </c>
    </row>
    <row r="1491">
      <c r="A1491" s="2" t="inlineStr">
        <is>
          <t>90142143</t>
        </is>
      </c>
      <c r="B1491" s="2" t="inlineStr"/>
      <c r="C1491" s="2" t="inlineStr">
        <is>
          <t>CUNA SINCRONICO 5TA CIELO/LANOS</t>
        </is>
      </c>
      <c r="D1491" s="2" t="inlineStr">
        <is>
          <t>GM KOREA</t>
        </is>
      </c>
      <c r="E1491" s="3" t="n">
        <v>9.2308</v>
      </c>
      <c r="F1491" s="4" t="n">
        <v>0.3</v>
      </c>
      <c r="G1491" s="5">
        <f>ROUND(E1491*(1+F1491),2)</f>
        <v>12.00</v>
      </c>
      <c r="H1491" s="5">
        <f>ROUND(G1491*NOTAS!$B$2,2)</f>
        <v>8656.15</v>
      </c>
      <c r="I1491" s="6">
        <f>ROUND(G1491*NOTAS!$B$3,0)</f>
        <v>38986</v>
      </c>
      <c r="J1491" s="2" t="n">
        <v>10</v>
      </c>
    </row>
    <row r="1492">
      <c r="A1492" s="2" t="inlineStr"/>
      <c r="B1492" s="2" t="inlineStr"/>
      <c r="C1492" s="2" t="inlineStr">
        <is>
          <t>DADO CARDAN R-5</t>
        </is>
      </c>
      <c r="D1492" s="2" t="inlineStr">
        <is>
          <t>SANFOR</t>
        </is>
      </c>
      <c r="E1492" s="3" t="n">
        <v>9.2308</v>
      </c>
      <c r="F1492" s="4" t="n">
        <v>0.3</v>
      </c>
      <c r="G1492" s="5">
        <f>ROUND(E1492*(1+F1492),2)</f>
        <v>12.00</v>
      </c>
      <c r="H1492" s="5">
        <f>ROUND(G1492*NOTAS!$B$2,2)</f>
        <v>8656.15</v>
      </c>
      <c r="I1492" s="6">
        <f>ROUND(G1492*NOTAS!$B$3,0)</f>
        <v>38986</v>
      </c>
      <c r="J1492" s="2" t="n">
        <v>2</v>
      </c>
    </row>
    <row r="1493">
      <c r="A1493" s="2" t="inlineStr">
        <is>
          <t>96897424</t>
        </is>
      </c>
      <c r="B1493" s="2" t="inlineStr"/>
      <c r="C1493" s="2" t="inlineStr">
        <is>
          <t>DAMPER CIGUENAL AVEO</t>
        </is>
      </c>
      <c r="D1493" s="2" t="inlineStr">
        <is>
          <t>GM</t>
        </is>
      </c>
      <c r="E1493" s="3" t="n">
        <v>51.5385</v>
      </c>
      <c r="F1493" s="4" t="n">
        <v>0.3</v>
      </c>
      <c r="G1493" s="5">
        <f>ROUND(E1493*(1+F1493),2)</f>
        <v>67.00</v>
      </c>
      <c r="H1493" s="5">
        <f>ROUND(G1493*NOTAS!$B$2,2)</f>
        <v>48330.16</v>
      </c>
      <c r="I1493" s="6">
        <f>ROUND(G1493*NOTAS!$B$3,0)</f>
        <v>217674</v>
      </c>
      <c r="J1493" s="2" t="n">
        <v>1</v>
      </c>
    </row>
    <row r="1494">
      <c r="A1494" s="2" t="inlineStr">
        <is>
          <t>96352877</t>
        </is>
      </c>
      <c r="B1494" s="2" t="inlineStr"/>
      <c r="C1494" s="2" t="inlineStr">
        <is>
          <t>DAMPER CIGUENAL AVEO</t>
        </is>
      </c>
      <c r="D1494" s="2" t="inlineStr">
        <is>
          <t>GM</t>
        </is>
      </c>
      <c r="E1494" s="3" t="n">
        <v>51.5385</v>
      </c>
      <c r="F1494" s="4" t="n">
        <v>0.3</v>
      </c>
      <c r="G1494" s="5">
        <f>ROUND(E1494*(1+F1494),2)</f>
        <v>67.00</v>
      </c>
      <c r="H1494" s="5">
        <f>ROUND(G1494*NOTAS!$B$2,2)</f>
        <v>48330.16</v>
      </c>
      <c r="I1494" s="6">
        <f>ROUND(G1494*NOTAS!$B$3,0)</f>
        <v>217674</v>
      </c>
      <c r="J1494" s="2" t="n">
        <v>0</v>
      </c>
    </row>
    <row r="1495">
      <c r="A1495" s="2" t="inlineStr">
        <is>
          <t>90409974-A</t>
        </is>
      </c>
      <c r="B1495" s="2" t="inlineStr"/>
      <c r="C1495" s="2" t="inlineStr">
        <is>
          <t>DAMPER CIGUENAL CORSA</t>
        </is>
      </c>
      <c r="D1495" s="2" t="inlineStr">
        <is>
          <t>4USA</t>
        </is>
      </c>
      <c r="E1495" s="3" t="n">
        <v>38.6538</v>
      </c>
      <c r="F1495" s="4" t="n">
        <v>0.3</v>
      </c>
      <c r="G1495" s="5">
        <f>ROUND(E1495*(1+F1495),2)</f>
        <v>50.25</v>
      </c>
      <c r="H1495" s="5">
        <f>ROUND(G1495*NOTAS!$B$2,2)</f>
        <v>36247.62</v>
      </c>
      <c r="I1495" s="6">
        <f>ROUND(G1495*NOTAS!$B$3,0)</f>
        <v>163256</v>
      </c>
      <c r="J1495" s="2" t="n">
        <v>3</v>
      </c>
    </row>
    <row r="1496">
      <c r="A1496" s="2" t="inlineStr">
        <is>
          <t>90409974</t>
        </is>
      </c>
      <c r="B1496" s="2" t="inlineStr"/>
      <c r="C1496" s="2" t="inlineStr">
        <is>
          <t>DAMPER CIGUENAL CORSA</t>
        </is>
      </c>
      <c r="D1496" s="2" t="inlineStr">
        <is>
          <t>GM</t>
        </is>
      </c>
      <c r="E1496" s="3" t="n">
        <v>38.6538</v>
      </c>
      <c r="F1496" s="4" t="n">
        <v>0.3</v>
      </c>
      <c r="G1496" s="5">
        <f>ROUND(E1496*(1+F1496),2)</f>
        <v>50.25</v>
      </c>
      <c r="H1496" s="5">
        <f>ROUND(G1496*NOTAS!$B$2,2)</f>
        <v>36247.62</v>
      </c>
      <c r="I1496" s="6">
        <f>ROUND(G1496*NOTAS!$B$3,0)</f>
        <v>163256</v>
      </c>
      <c r="J1496" s="2" t="n">
        <v>2</v>
      </c>
    </row>
    <row r="1497">
      <c r="A1497" s="2" t="inlineStr">
        <is>
          <t>231242X010</t>
        </is>
      </c>
      <c r="B1497" s="2" t="inlineStr"/>
      <c r="C1497" s="2" t="inlineStr">
        <is>
          <t>DAMPER CIGUENAL KIA RIO 1.5</t>
        </is>
      </c>
      <c r="D1497" s="2" t="inlineStr">
        <is>
          <t>KOREA</t>
        </is>
      </c>
      <c r="E1497" s="3" t="n">
        <v>26.9231</v>
      </c>
      <c r="F1497" s="4" t="n">
        <v>0.3</v>
      </c>
      <c r="G1497" s="5">
        <f>ROUND(E1497*(1+F1497),2)</f>
        <v>35.00</v>
      </c>
      <c r="H1497" s="5">
        <f>ROUND(G1497*NOTAS!$B$2,2)</f>
        <v>25247.10</v>
      </c>
      <c r="I1497" s="6">
        <f>ROUND(G1497*NOTAS!$B$3,0)</f>
        <v>113710</v>
      </c>
      <c r="J1497" s="2" t="n">
        <v>1</v>
      </c>
    </row>
    <row r="1498">
      <c r="A1498" s="2" t="inlineStr">
        <is>
          <t>96351111</t>
        </is>
      </c>
      <c r="B1498" s="2" t="inlineStr"/>
      <c r="C1498" s="2" t="inlineStr">
        <is>
          <t>DAMPER CIGUENAL LANOS</t>
        </is>
      </c>
      <c r="D1498" s="2" t="inlineStr">
        <is>
          <t>GM</t>
        </is>
      </c>
      <c r="E1498" s="3" t="n">
        <v>34.6154</v>
      </c>
      <c r="F1498" s="4" t="n">
        <v>0.3</v>
      </c>
      <c r="G1498" s="5">
        <f>ROUND(E1498*(1+F1498),2)</f>
        <v>45.00</v>
      </c>
      <c r="H1498" s="5">
        <f>ROUND(G1498*NOTAS!$B$2,2)</f>
        <v>32460.55</v>
      </c>
      <c r="I1498" s="6">
        <f>ROUND(G1498*NOTAS!$B$3,0)</f>
        <v>146199</v>
      </c>
      <c r="J1498" s="2" t="n">
        <v>1</v>
      </c>
    </row>
    <row r="1499">
      <c r="A1499" s="2" t="inlineStr">
        <is>
          <t>1341</t>
        </is>
      </c>
      <c r="B1499" s="2" t="inlineStr"/>
      <c r="C1499" s="2" t="inlineStr">
        <is>
          <t>DAMPER CIGUENAL LANOS</t>
        </is>
      </c>
      <c r="D1499" s="2" t="inlineStr">
        <is>
          <t>PHG</t>
        </is>
      </c>
      <c r="E1499" s="3" t="n">
        <v>34.6154</v>
      </c>
      <c r="F1499" s="4" t="n">
        <v>0.3</v>
      </c>
      <c r="G1499" s="5">
        <f>ROUND(E1499*(1+F1499),2)</f>
        <v>45.00</v>
      </c>
      <c r="H1499" s="5">
        <f>ROUND(G1499*NOTAS!$B$2,2)</f>
        <v>32460.55</v>
      </c>
      <c r="I1499" s="6">
        <f>ROUND(G1499*NOTAS!$B$3,0)</f>
        <v>146199</v>
      </c>
      <c r="J1499" s="2" t="n">
        <v>1</v>
      </c>
    </row>
    <row r="1500">
      <c r="A1500" s="2" t="inlineStr">
        <is>
          <t>17-1039</t>
        </is>
      </c>
      <c r="B1500" s="2" t="inlineStr"/>
      <c r="C1500" s="2" t="inlineStr">
        <is>
          <t>DAMPER CIGUENAL R-SYMBOL/CLIO/LOGAN</t>
        </is>
      </c>
      <c r="D1500" s="2" t="inlineStr">
        <is>
          <t>IJS</t>
        </is>
      </c>
      <c r="E1500" s="3" t="n">
        <v>26.9231</v>
      </c>
      <c r="F1500" s="4" t="n">
        <v>0.3</v>
      </c>
      <c r="G1500" s="5">
        <f>ROUND(E1500*(1+F1500),2)</f>
        <v>35.00</v>
      </c>
      <c r="H1500" s="5">
        <f>ROUND(G1500*NOTAS!$B$2,2)</f>
        <v>25247.10</v>
      </c>
      <c r="I1500" s="6">
        <f>ROUND(G1500*NOTAS!$B$3,0)</f>
        <v>113710</v>
      </c>
      <c r="J1500" s="2" t="n">
        <v>1</v>
      </c>
    </row>
    <row r="1501">
      <c r="A1501" s="2" t="inlineStr">
        <is>
          <t>96817343</t>
        </is>
      </c>
      <c r="B1501" s="2" t="inlineStr"/>
      <c r="C1501" s="2" t="inlineStr">
        <is>
          <t>DEPOSITO RESERVORIO DE AGUA AVEO</t>
        </is>
      </c>
      <c r="D1501" s="2" t="inlineStr">
        <is>
          <t>GM</t>
        </is>
      </c>
      <c r="E1501" s="3" t="n">
        <v>8.32</v>
      </c>
      <c r="F1501" s="4" t="n">
        <v>0.3</v>
      </c>
      <c r="G1501" s="5">
        <f>ROUND(E1501*(1+F1501),2)</f>
        <v>10.82</v>
      </c>
      <c r="H1501" s="5">
        <f>ROUND(G1501*NOTAS!$B$2,2)</f>
        <v>7804.96</v>
      </c>
      <c r="I1501" s="6">
        <f>ROUND(G1501*NOTAS!$B$3,0)</f>
        <v>35153</v>
      </c>
      <c r="J1501" s="2" t="n">
        <v>1</v>
      </c>
    </row>
    <row r="1502">
      <c r="A1502" s="2" t="inlineStr">
        <is>
          <t>96428796</t>
        </is>
      </c>
      <c r="B1502" s="2" t="inlineStr"/>
      <c r="C1502" s="2" t="inlineStr">
        <is>
          <t>DEPOSITO RESERVORIO DE AGUA CIELO</t>
        </is>
      </c>
      <c r="D1502" s="2" t="inlineStr">
        <is>
          <t>KOREA</t>
        </is>
      </c>
      <c r="E1502" s="3" t="n">
        <v>10</v>
      </c>
      <c r="F1502" s="4" t="n">
        <v>0.3</v>
      </c>
      <c r="G1502" s="5">
        <f>ROUND(E1502*(1+F1502),2)</f>
        <v>13.00</v>
      </c>
      <c r="H1502" s="5">
        <f>ROUND(G1502*NOTAS!$B$2,2)</f>
        <v>9377.49</v>
      </c>
      <c r="I1502" s="6">
        <f>ROUND(G1502*NOTAS!$B$3,0)</f>
        <v>42235</v>
      </c>
      <c r="J1502" s="2" t="n">
        <v>2</v>
      </c>
    </row>
    <row r="1503">
      <c r="A1503" s="2" t="inlineStr"/>
      <c r="B1503" s="2" t="inlineStr"/>
      <c r="C1503" s="2" t="inlineStr">
        <is>
          <t>DEPOSITO RESERVORIO DE AGUA CORSA</t>
        </is>
      </c>
      <c r="D1503" s="2" t="inlineStr"/>
      <c r="E1503" s="3" t="n">
        <v>7</v>
      </c>
      <c r="F1503" s="4" t="n">
        <v>0.3</v>
      </c>
      <c r="G1503" s="5">
        <f>ROUND(E1503*(1+F1503),2)</f>
        <v>9.10</v>
      </c>
      <c r="H1503" s="5">
        <f>ROUND(G1503*NOTAS!$B$2,2)</f>
        <v>6564.24</v>
      </c>
      <c r="I1503" s="6">
        <f>ROUND(G1503*NOTAS!$B$3,0)</f>
        <v>29565</v>
      </c>
      <c r="J1503" s="2" t="n">
        <v>1</v>
      </c>
    </row>
    <row r="1504">
      <c r="A1504" s="2" t="inlineStr"/>
      <c r="B1504" s="2" t="inlineStr"/>
      <c r="C1504" s="2" t="inlineStr">
        <is>
          <t>DEPOSITO RESERVORIO DE AGUA CORSA</t>
        </is>
      </c>
      <c r="D1504" s="2" t="inlineStr">
        <is>
          <t>MARVINI</t>
        </is>
      </c>
      <c r="E1504" s="3" t="n">
        <v>7</v>
      </c>
      <c r="F1504" s="4" t="n">
        <v>0.3</v>
      </c>
      <c r="G1504" s="5">
        <f>ROUND(E1504*(1+F1504),2)</f>
        <v>9.10</v>
      </c>
      <c r="H1504" s="5">
        <f>ROUND(G1504*NOTAS!$B$2,2)</f>
        <v>6564.24</v>
      </c>
      <c r="I1504" s="6">
        <f>ROUND(G1504*NOTAS!$B$3,0)</f>
        <v>29565</v>
      </c>
      <c r="J1504" s="2" t="n">
        <v>7</v>
      </c>
    </row>
    <row r="1505">
      <c r="A1505" s="2" t="inlineStr">
        <is>
          <t>406</t>
        </is>
      </c>
      <c r="B1505" s="2" t="inlineStr"/>
      <c r="C1505" s="2" t="inlineStr">
        <is>
          <t>DEPOSITO RESERVORIO DE AGUA CORSA</t>
        </is>
      </c>
      <c r="D1505" s="2" t="inlineStr">
        <is>
          <t>FLORIO</t>
        </is>
      </c>
      <c r="E1505" s="3" t="n">
        <v>8.949999999999999</v>
      </c>
      <c r="F1505" s="4" t="n">
        <v>0.3</v>
      </c>
      <c r="G1505" s="5">
        <f>ROUND(E1505*(1+F1505),2)</f>
        <v>11.64</v>
      </c>
      <c r="H1505" s="5">
        <f>ROUND(G1505*NOTAS!$B$2,2)</f>
        <v>8396.46</v>
      </c>
      <c r="I1505" s="6">
        <f>ROUND(G1505*NOTAS!$B$3,0)</f>
        <v>37817</v>
      </c>
      <c r="J1505" s="2" t="n">
        <v>12</v>
      </c>
    </row>
    <row r="1506">
      <c r="A1506" s="2" t="inlineStr">
        <is>
          <t>93217461</t>
        </is>
      </c>
      <c r="B1506" s="2" t="inlineStr"/>
      <c r="C1506" s="2" t="inlineStr">
        <is>
          <t>DEPOSITO RESERVORIO DE AGUA CORSA</t>
        </is>
      </c>
      <c r="D1506" s="2" t="inlineStr">
        <is>
          <t>GM</t>
        </is>
      </c>
      <c r="E1506" s="3" t="n">
        <v>15</v>
      </c>
      <c r="F1506" s="4" t="n">
        <v>0.3</v>
      </c>
      <c r="G1506" s="5">
        <f>ROUND(E1506*(1+F1506),2)</f>
        <v>19.50</v>
      </c>
      <c r="H1506" s="5">
        <f>ROUND(G1506*NOTAS!$B$2,2)</f>
        <v>14066.24</v>
      </c>
      <c r="I1506" s="6">
        <f>ROUND(G1506*NOTAS!$B$3,0)</f>
        <v>63353</v>
      </c>
      <c r="J1506" s="2" t="n">
        <v>2</v>
      </c>
    </row>
    <row r="1507">
      <c r="A1507" s="2" t="inlineStr">
        <is>
          <t>12462</t>
        </is>
      </c>
      <c r="B1507" s="2" t="inlineStr">
        <is>
          <t>2S658K218BA</t>
        </is>
      </c>
      <c r="C1507" s="2" t="inlineStr">
        <is>
          <t>DEPOSITO RESERVORIO DE AGUA FIESTA/ECOSPORT 1SALIDA</t>
        </is>
      </c>
      <c r="D1507" s="2" t="inlineStr">
        <is>
          <t>FLORIO</t>
        </is>
      </c>
      <c r="E1507" s="3" t="n">
        <v>11.17</v>
      </c>
      <c r="F1507" s="4" t="n">
        <v>0.3</v>
      </c>
      <c r="G1507" s="5">
        <f>ROUND(E1507*(1+F1507),2)</f>
        <v>14.52</v>
      </c>
      <c r="H1507" s="5">
        <f>ROUND(G1507*NOTAS!$B$2,2)</f>
        <v>10473.94</v>
      </c>
      <c r="I1507" s="6">
        <f>ROUND(G1507*NOTAS!$B$3,0)</f>
        <v>47174</v>
      </c>
      <c r="J1507" s="2" t="n">
        <v>1</v>
      </c>
    </row>
    <row r="1508">
      <c r="A1508" s="2" t="inlineStr">
        <is>
          <t>906631</t>
        </is>
      </c>
      <c r="B1508" s="2" t="inlineStr">
        <is>
          <t>8S658K218AA</t>
        </is>
      </c>
      <c r="C1508" s="2" t="inlineStr">
        <is>
          <t>DEPOSITO RESERVORIO DE AGUA FIESTA/ECOSPORT 2SALIDA</t>
        </is>
      </c>
      <c r="D1508" s="2" t="inlineStr">
        <is>
          <t>FORD</t>
        </is>
      </c>
      <c r="E1508" s="3" t="n">
        <v>20</v>
      </c>
      <c r="F1508" s="4" t="n">
        <v>0.3</v>
      </c>
      <c r="G1508" s="5">
        <f>ROUND(E1508*(1+F1508),2)</f>
        <v>26.00</v>
      </c>
      <c r="H1508" s="5">
        <f>ROUND(G1508*NOTAS!$B$2,2)</f>
        <v>18754.99</v>
      </c>
      <c r="I1508" s="6">
        <f>ROUND(G1508*NOTAS!$B$3,0)</f>
        <v>84471</v>
      </c>
      <c r="J1508" s="2" t="n">
        <v>2</v>
      </c>
    </row>
    <row r="1509">
      <c r="A1509" s="2" t="inlineStr">
        <is>
          <t>412</t>
        </is>
      </c>
      <c r="B1509" s="2" t="inlineStr"/>
      <c r="C1509" s="2" t="inlineStr">
        <is>
          <t>DEPOSITO RESERVORIO DE AGUA F-PALIO/SIENA 1.3 16V FIRE 1 PATA</t>
        </is>
      </c>
      <c r="D1509" s="2" t="inlineStr">
        <is>
          <t>FLORIO</t>
        </is>
      </c>
      <c r="E1509" s="3" t="n">
        <v>9.800000000000001</v>
      </c>
      <c r="F1509" s="4" t="n">
        <v>0.3</v>
      </c>
      <c r="G1509" s="5">
        <f>ROUND(E1509*(1+F1509),2)</f>
        <v>12.74</v>
      </c>
      <c r="H1509" s="5">
        <f>ROUND(G1509*NOTAS!$B$2,2)</f>
        <v>9189.94</v>
      </c>
      <c r="I1509" s="6">
        <f>ROUND(G1509*NOTAS!$B$3,0)</f>
        <v>41391</v>
      </c>
      <c r="J1509" s="2" t="n">
        <v>3</v>
      </c>
    </row>
    <row r="1510">
      <c r="A1510" s="2" t="inlineStr">
        <is>
          <t>441</t>
        </is>
      </c>
      <c r="B1510" s="2" t="inlineStr"/>
      <c r="C1510" s="2" t="inlineStr">
        <is>
          <t>DEPOSITO RESERVORIO DE AGUA F-PALIO/SIENA 1.8 2 PATAS</t>
        </is>
      </c>
      <c r="D1510" s="2" t="inlineStr">
        <is>
          <t>FLORIO</t>
        </is>
      </c>
      <c r="E1510" s="3" t="n">
        <v>10.79</v>
      </c>
      <c r="F1510" s="4" t="n">
        <v>0.3</v>
      </c>
      <c r="G1510" s="5">
        <f>ROUND(E1510*(1+F1510),2)</f>
        <v>14.03</v>
      </c>
      <c r="H1510" s="5">
        <f>ROUND(G1510*NOTAS!$B$2,2)</f>
        <v>10120.48</v>
      </c>
      <c r="I1510" s="6">
        <f>ROUND(G1510*NOTAS!$B$3,0)</f>
        <v>45582</v>
      </c>
      <c r="J1510" s="2" t="n">
        <v>2</v>
      </c>
    </row>
    <row r="1511">
      <c r="A1511" s="2" t="inlineStr">
        <is>
          <t>411</t>
        </is>
      </c>
      <c r="B1511" s="2" t="inlineStr"/>
      <c r="C1511" s="2" t="inlineStr">
        <is>
          <t>DEPOSITO RESERVORIO DE AGUA F-PALIO/SIENA 96/99</t>
        </is>
      </c>
      <c r="D1511" s="2" t="inlineStr">
        <is>
          <t>FLORIO</t>
        </is>
      </c>
      <c r="E1511" s="3" t="n">
        <v>9.69</v>
      </c>
      <c r="F1511" s="4" t="n">
        <v>0.3</v>
      </c>
      <c r="G1511" s="5">
        <f>ROUND(E1511*(1+F1511),2)</f>
        <v>12.60</v>
      </c>
      <c r="H1511" s="5">
        <f>ROUND(G1511*NOTAS!$B$2,2)</f>
        <v>9088.95</v>
      </c>
      <c r="I1511" s="6">
        <f>ROUND(G1511*NOTAS!$B$3,0)</f>
        <v>40936</v>
      </c>
      <c r="J1511" s="2" t="n">
        <v>4</v>
      </c>
    </row>
    <row r="1512">
      <c r="A1512" s="2" t="inlineStr">
        <is>
          <t>405</t>
        </is>
      </c>
      <c r="B1512" s="2" t="inlineStr"/>
      <c r="C1512" s="2" t="inlineStr">
        <is>
          <t>DEPOSITO RESERVORIO DE AGUA F-UNO INY</t>
        </is>
      </c>
      <c r="D1512" s="2" t="inlineStr">
        <is>
          <t>FLORIO</t>
        </is>
      </c>
      <c r="E1512" s="3" t="n">
        <v>9.369999999999999</v>
      </c>
      <c r="F1512" s="4" t="n">
        <v>0.3</v>
      </c>
      <c r="G1512" s="5">
        <f>ROUND(E1512*(1+F1512),2)</f>
        <v>12.18</v>
      </c>
      <c r="H1512" s="5">
        <f>ROUND(G1512*NOTAS!$B$2,2)</f>
        <v>8785.99</v>
      </c>
      <c r="I1512" s="6">
        <f>ROUND(G1512*NOTAS!$B$3,0)</f>
        <v>39571</v>
      </c>
      <c r="J1512" s="2" t="n">
        <v>4</v>
      </c>
    </row>
    <row r="1513">
      <c r="A1513" s="2" t="inlineStr">
        <is>
          <t>25430-22020</t>
        </is>
      </c>
      <c r="B1513" s="2" t="inlineStr"/>
      <c r="C1513" s="2" t="inlineStr">
        <is>
          <t>DEPOSITO RESERVORIO DE AGUA HYUNDAI ACCENT</t>
        </is>
      </c>
      <c r="D1513" s="2" t="inlineStr">
        <is>
          <t>HYUNDAI</t>
        </is>
      </c>
      <c r="E1513" s="3" t="n">
        <v>12</v>
      </c>
      <c r="F1513" s="4" t="n">
        <v>0.3</v>
      </c>
      <c r="G1513" s="5">
        <f>ROUND(E1513*(1+F1513),2)</f>
        <v>15.60</v>
      </c>
      <c r="H1513" s="5">
        <f>ROUND(G1513*NOTAS!$B$2,2)</f>
        <v>11252.99</v>
      </c>
      <c r="I1513" s="6">
        <f>ROUND(G1513*NOTAS!$B$3,0)</f>
        <v>50682</v>
      </c>
      <c r="J1513" s="2" t="n">
        <v>2</v>
      </c>
    </row>
    <row r="1514">
      <c r="A1514" s="2" t="inlineStr">
        <is>
          <t>906464</t>
        </is>
      </c>
      <c r="B1514" s="2" t="inlineStr">
        <is>
          <t>98KU8K218AB</t>
        </is>
      </c>
      <c r="C1514" s="2" t="inlineStr">
        <is>
          <t>DEPOSITO RESERVORIO DE AGUA KA</t>
        </is>
      </c>
      <c r="D1514" s="2" t="inlineStr">
        <is>
          <t>FORD</t>
        </is>
      </c>
      <c r="E1514" s="3" t="n">
        <v>20</v>
      </c>
      <c r="F1514" s="4" t="n">
        <v>0.3</v>
      </c>
      <c r="G1514" s="5">
        <f>ROUND(E1514*(1+F1514),2)</f>
        <v>26.00</v>
      </c>
      <c r="H1514" s="5">
        <f>ROUND(G1514*NOTAS!$B$2,2)</f>
        <v>18754.99</v>
      </c>
      <c r="I1514" s="6">
        <f>ROUND(G1514*NOTAS!$B$3,0)</f>
        <v>84471</v>
      </c>
      <c r="J1514" s="2" t="n">
        <v>3</v>
      </c>
    </row>
    <row r="1515">
      <c r="A1515" s="2" t="inlineStr">
        <is>
          <t>408</t>
        </is>
      </c>
      <c r="B1515" s="2" t="inlineStr"/>
      <c r="C1515" s="2" t="inlineStr">
        <is>
          <t>DEPOSITO RESERVORIO DE AGUA KA</t>
        </is>
      </c>
      <c r="D1515" s="2" t="inlineStr">
        <is>
          <t>FLORIO</t>
        </is>
      </c>
      <c r="E1515" s="3" t="n">
        <v>10.86</v>
      </c>
      <c r="F1515" s="4" t="n">
        <v>0.3</v>
      </c>
      <c r="G1515" s="5">
        <f>ROUND(E1515*(1+F1515),2)</f>
        <v>14.12</v>
      </c>
      <c r="H1515" s="5">
        <f>ROUND(G1515*NOTAS!$B$2,2)</f>
        <v>10185.40</v>
      </c>
      <c r="I1515" s="6">
        <f>ROUND(G1515*NOTAS!$B$3,0)</f>
        <v>45874</v>
      </c>
      <c r="J1515" s="2" t="n">
        <v>1</v>
      </c>
    </row>
    <row r="1516">
      <c r="A1516" s="2" t="inlineStr">
        <is>
          <t>96182279</t>
        </is>
      </c>
      <c r="B1516" s="2" t="inlineStr"/>
      <c r="C1516" s="2" t="inlineStr">
        <is>
          <t>DEPOSITO RESERVORIO DE AGUA LANOS</t>
        </is>
      </c>
      <c r="D1516" s="2" t="inlineStr">
        <is>
          <t>GM</t>
        </is>
      </c>
      <c r="E1516" s="3" t="n">
        <v>10</v>
      </c>
      <c r="F1516" s="4" t="n">
        <v>0.3</v>
      </c>
      <c r="G1516" s="5">
        <f>ROUND(E1516*(1+F1516),2)</f>
        <v>13.00</v>
      </c>
      <c r="H1516" s="5">
        <f>ROUND(G1516*NOTAS!$B$2,2)</f>
        <v>9377.49</v>
      </c>
      <c r="I1516" s="6">
        <f>ROUND(G1516*NOTAS!$B$3,0)</f>
        <v>42235</v>
      </c>
      <c r="J1516" s="2" t="n">
        <v>6</v>
      </c>
    </row>
    <row r="1517">
      <c r="A1517" s="2" t="inlineStr">
        <is>
          <t>96314169</t>
        </is>
      </c>
      <c r="B1517" s="2" t="inlineStr"/>
      <c r="C1517" s="2" t="inlineStr">
        <is>
          <t>DEPOSITO RESERVORIO DE AGUA MATIZ</t>
        </is>
      </c>
      <c r="D1517" s="2" t="inlineStr">
        <is>
          <t>KOREA</t>
        </is>
      </c>
      <c r="E1517" s="3" t="n">
        <v>8</v>
      </c>
      <c r="F1517" s="4" t="n">
        <v>0.3</v>
      </c>
      <c r="G1517" s="5">
        <f>ROUND(E1517*(1+F1517),2)</f>
        <v>10.40</v>
      </c>
      <c r="H1517" s="5">
        <f>ROUND(G1517*NOTAS!$B$2,2)</f>
        <v>7501.99</v>
      </c>
      <c r="I1517" s="6">
        <f>ROUND(G1517*NOTAS!$B$3,0)</f>
        <v>33788</v>
      </c>
      <c r="J1517" s="2" t="n">
        <v>1</v>
      </c>
    </row>
    <row r="1518">
      <c r="A1518" s="2" t="inlineStr">
        <is>
          <t>14496</t>
        </is>
      </c>
      <c r="B1518" s="2" t="inlineStr"/>
      <c r="C1518" s="2" t="inlineStr">
        <is>
          <t>DEPOSITO RESERVORIO DE AGUA MONTANA/CORSA 1.8 3SALIDA</t>
        </is>
      </c>
      <c r="D1518" s="2" t="inlineStr">
        <is>
          <t>FLORIO</t>
        </is>
      </c>
      <c r="E1518" s="3" t="n">
        <v>9.67</v>
      </c>
      <c r="F1518" s="4" t="n">
        <v>0.3</v>
      </c>
      <c r="G1518" s="5">
        <f>ROUND(E1518*(1+F1518),2)</f>
        <v>12.57</v>
      </c>
      <c r="H1518" s="5">
        <f>ROUND(G1518*NOTAS!$B$2,2)</f>
        <v>9067.31</v>
      </c>
      <c r="I1518" s="6">
        <f>ROUND(G1518*NOTAS!$B$3,0)</f>
        <v>40838</v>
      </c>
      <c r="J1518" s="2" t="n">
        <v>1</v>
      </c>
    </row>
    <row r="1519">
      <c r="A1519" s="2" t="inlineStr">
        <is>
          <t>96351105</t>
        </is>
      </c>
      <c r="B1519" s="2" t="inlineStr"/>
      <c r="C1519" s="2" t="inlineStr">
        <is>
          <t>DEPOSITO RESERVORIO DE AGUA NUBIRA</t>
        </is>
      </c>
      <c r="D1519" s="2" t="inlineStr">
        <is>
          <t>GM</t>
        </is>
      </c>
      <c r="E1519" s="3" t="n">
        <v>10</v>
      </c>
      <c r="F1519" s="4" t="n">
        <v>0.3</v>
      </c>
      <c r="G1519" s="5">
        <f>ROUND(E1519*(1+F1519),2)</f>
        <v>13.00</v>
      </c>
      <c r="H1519" s="5">
        <f>ROUND(G1519*NOTAS!$B$2,2)</f>
        <v>9377.49</v>
      </c>
      <c r="I1519" s="6">
        <f>ROUND(G1519*NOTAS!$B$3,0)</f>
        <v>42235</v>
      </c>
      <c r="J1519" s="2" t="n">
        <v>1</v>
      </c>
    </row>
    <row r="1520">
      <c r="A1520" s="2" t="inlineStr">
        <is>
          <t>96813425</t>
        </is>
      </c>
      <c r="B1520" s="2" t="inlineStr"/>
      <c r="C1520" s="2" t="inlineStr">
        <is>
          <t>DEPOSITO RESERVORIO DE AGUA OPTRA</t>
        </is>
      </c>
      <c r="D1520" s="2" t="inlineStr">
        <is>
          <t>GM</t>
        </is>
      </c>
      <c r="E1520" s="3" t="n">
        <v>10</v>
      </c>
      <c r="F1520" s="4" t="n">
        <v>0.3</v>
      </c>
      <c r="G1520" s="5">
        <f>ROUND(E1520*(1+F1520),2)</f>
        <v>13.00</v>
      </c>
      <c r="H1520" s="5">
        <f>ROUND(G1520*NOTAS!$B$2,2)</f>
        <v>9377.49</v>
      </c>
      <c r="I1520" s="6">
        <f>ROUND(G1520*NOTAS!$B$3,0)</f>
        <v>42235</v>
      </c>
      <c r="J1520" s="2" t="n">
        <v>2</v>
      </c>
    </row>
    <row r="1521">
      <c r="A1521" s="2" t="inlineStr">
        <is>
          <t>B030.55545</t>
        </is>
      </c>
      <c r="B1521" s="2" t="inlineStr"/>
      <c r="C1521" s="2" t="inlineStr">
        <is>
          <t>DEPOSITO RESERVORIO DE AGUA R-19/CLIO</t>
        </is>
      </c>
      <c r="D1521" s="2" t="inlineStr">
        <is>
          <t>EXXEL</t>
        </is>
      </c>
      <c r="E1521" s="3" t="n">
        <v>8.5</v>
      </c>
      <c r="F1521" s="4" t="n">
        <v>0.3</v>
      </c>
      <c r="G1521" s="5">
        <f>ROUND(E1521*(1+F1521),2)</f>
        <v>11.05</v>
      </c>
      <c r="H1521" s="5">
        <f>ROUND(G1521*NOTAS!$B$2,2)</f>
        <v>7970.87</v>
      </c>
      <c r="I1521" s="6">
        <f>ROUND(G1521*NOTAS!$B$3,0)</f>
        <v>35900</v>
      </c>
      <c r="J1521" s="2" t="n">
        <v>2</v>
      </c>
    </row>
    <row r="1522">
      <c r="A1522" s="2" t="inlineStr">
        <is>
          <t>R15037</t>
        </is>
      </c>
      <c r="B1522" s="2" t="inlineStr"/>
      <c r="C1522" s="2" t="inlineStr">
        <is>
          <t>DEPOSITO RESERVORIO DE AGUA R-SYMBOL/LOGAN</t>
        </is>
      </c>
      <c r="D1522" s="2" t="inlineStr">
        <is>
          <t>AUTOMOTIVEPARTS</t>
        </is>
      </c>
      <c r="E1522" s="3" t="n">
        <v>9.08</v>
      </c>
      <c r="F1522" s="4" t="n">
        <v>0.3</v>
      </c>
      <c r="G1522" s="5">
        <f>ROUND(E1522*(1+F1522),2)</f>
        <v>11.80</v>
      </c>
      <c r="H1522" s="5">
        <f>ROUND(G1522*NOTAS!$B$2,2)</f>
        <v>8511.88</v>
      </c>
      <c r="I1522" s="6">
        <f>ROUND(G1522*NOTAS!$B$3,0)</f>
        <v>38337</v>
      </c>
      <c r="J1522" s="2" t="n">
        <v>2</v>
      </c>
    </row>
    <row r="1523">
      <c r="A1523" s="2" t="inlineStr">
        <is>
          <t>904491</t>
        </is>
      </c>
      <c r="B1523" s="2" t="inlineStr">
        <is>
          <t>6S652K478AA</t>
        </is>
      </c>
      <c r="C1523" s="2" t="inlineStr">
        <is>
          <t xml:space="preserve">DEPOSITO RESERVORIO DE BOMBA FRENO FIESTA/ECOSPORT </t>
        </is>
      </c>
      <c r="D1523" s="2" t="inlineStr">
        <is>
          <t>FORD</t>
        </is>
      </c>
      <c r="E1523" s="3" t="n">
        <v>13.8462</v>
      </c>
      <c r="F1523" s="4" t="n">
        <v>0.3</v>
      </c>
      <c r="G1523" s="5">
        <f>ROUND(E1523*(1+F1523),2)</f>
        <v>18.00</v>
      </c>
      <c r="H1523" s="5">
        <f>ROUND(G1523*NOTAS!$B$2,2)</f>
        <v>12984.22</v>
      </c>
      <c r="I1523" s="6">
        <f>ROUND(G1523*NOTAS!$B$3,0)</f>
        <v>58480</v>
      </c>
      <c r="J1523" s="2" t="n">
        <v>2</v>
      </c>
    </row>
    <row r="1524">
      <c r="A1524" s="2" t="inlineStr">
        <is>
          <t>RCRS00317</t>
        </is>
      </c>
      <c r="B1524" s="2" t="inlineStr"/>
      <c r="C1524" s="2" t="inlineStr">
        <is>
          <t>DEPOSITO RESERVORIO DE LIGA FRENO CORCEL</t>
        </is>
      </c>
      <c r="D1524" s="2" t="inlineStr">
        <is>
          <t>VARGA</t>
        </is>
      </c>
      <c r="E1524" s="3" t="n">
        <v>11.5385</v>
      </c>
      <c r="F1524" s="4" t="n">
        <v>0.3</v>
      </c>
      <c r="G1524" s="5">
        <f>ROUND(E1524*(1+F1524),2)</f>
        <v>15.00</v>
      </c>
      <c r="H1524" s="5">
        <f>ROUND(G1524*NOTAS!$B$2,2)</f>
        <v>10820.18</v>
      </c>
      <c r="I1524" s="6">
        <f>ROUND(G1524*NOTAS!$B$3,0)</f>
        <v>48733</v>
      </c>
      <c r="J1524" s="2" t="n">
        <v>1</v>
      </c>
    </row>
    <row r="1525">
      <c r="A1525" s="2" t="inlineStr">
        <is>
          <t>96413748</t>
        </is>
      </c>
      <c r="B1525" s="2" t="inlineStr"/>
      <c r="C1525" s="2" t="inlineStr">
        <is>
          <t>DEPOSITO RESERVORIO DIRECCION HIDRAUDICA AVEO</t>
        </is>
      </c>
      <c r="D1525" s="2" t="inlineStr">
        <is>
          <t>GM</t>
        </is>
      </c>
      <c r="E1525" s="3" t="n">
        <v>19.2308</v>
      </c>
      <c r="F1525" s="4" t="n">
        <v>0.3</v>
      </c>
      <c r="G1525" s="5">
        <f>ROUND(E1525*(1+F1525),2)</f>
        <v>25.00</v>
      </c>
      <c r="H1525" s="5">
        <f>ROUND(G1525*NOTAS!$B$2,2)</f>
        <v>18033.64</v>
      </c>
      <c r="I1525" s="6">
        <f>ROUND(G1525*NOTAS!$B$3,0)</f>
        <v>81222</v>
      </c>
      <c r="J1525" s="2" t="n">
        <v>2</v>
      </c>
    </row>
    <row r="1526">
      <c r="A1526" s="2" t="inlineStr">
        <is>
          <t>21882</t>
        </is>
      </c>
      <c r="B1526" s="2" t="inlineStr"/>
      <c r="C1526" s="2" t="inlineStr">
        <is>
          <t>DEPOSITO RESERVORIO DIRECCION HIDRAUDICA CORSA</t>
        </is>
      </c>
      <c r="D1526" s="2" t="inlineStr">
        <is>
          <t>DHB</t>
        </is>
      </c>
      <c r="E1526" s="3" t="n">
        <v>16.9231</v>
      </c>
      <c r="F1526" s="4" t="n">
        <v>0.3</v>
      </c>
      <c r="G1526" s="5">
        <f>ROUND(E1526*(1+F1526),2)</f>
        <v>22.00</v>
      </c>
      <c r="H1526" s="5">
        <f>ROUND(G1526*NOTAS!$B$2,2)</f>
        <v>15869.60</v>
      </c>
      <c r="I1526" s="6">
        <f>ROUND(G1526*NOTAS!$B$3,0)</f>
        <v>71475</v>
      </c>
      <c r="J1526" s="2" t="n">
        <v>1</v>
      </c>
    </row>
    <row r="1527">
      <c r="A1527" s="2" t="inlineStr"/>
      <c r="B1527" s="2" t="inlineStr"/>
      <c r="C1527" s="2" t="inlineStr">
        <is>
          <t>DISCO DE EMBRAGUE</t>
        </is>
      </c>
      <c r="D1527" s="2" t="inlineStr">
        <is>
          <t>VELTEX</t>
        </is>
      </c>
      <c r="E1527" s="3" t="n">
        <v>15</v>
      </c>
      <c r="F1527" s="4" t="n">
        <v>0.3</v>
      </c>
      <c r="G1527" s="5">
        <f>ROUND(E1527*(1+F1527),2)</f>
        <v>19.50</v>
      </c>
      <c r="H1527" s="5">
        <f>ROUND(G1527*NOTAS!$B$2,2)</f>
        <v>14066.24</v>
      </c>
      <c r="I1527" s="6">
        <f>ROUND(G1527*NOTAS!$B$3,0)</f>
        <v>63353</v>
      </c>
      <c r="J1527" s="2" t="n">
        <v>3</v>
      </c>
    </row>
    <row r="1528">
      <c r="A1528" s="2" t="inlineStr">
        <is>
          <t>319.0112.10</t>
        </is>
      </c>
      <c r="B1528" s="2" t="inlineStr"/>
      <c r="C1528" s="2" t="inlineStr">
        <is>
          <t xml:space="preserve">DISCO DE EMBRAGUE </t>
        </is>
      </c>
      <c r="D1528" s="2" t="inlineStr">
        <is>
          <t>LUK</t>
        </is>
      </c>
      <c r="E1528" s="3" t="n">
        <v>15</v>
      </c>
      <c r="F1528" s="4" t="n">
        <v>0.3</v>
      </c>
      <c r="G1528" s="5">
        <f>ROUND(E1528*(1+F1528),2)</f>
        <v>19.50</v>
      </c>
      <c r="H1528" s="5">
        <f>ROUND(G1528*NOTAS!$B$2,2)</f>
        <v>14066.24</v>
      </c>
      <c r="I1528" s="6">
        <f>ROUND(G1528*NOTAS!$B$3,0)</f>
        <v>63353</v>
      </c>
      <c r="J1528" s="2" t="n">
        <v>1</v>
      </c>
    </row>
    <row r="1529">
      <c r="A1529" s="2" t="inlineStr">
        <is>
          <t>6013-719</t>
        </is>
      </c>
      <c r="B1529" s="2" t="inlineStr"/>
      <c r="C1529" s="2" t="inlineStr">
        <is>
          <t xml:space="preserve">DISCO DE EMBRAGUE </t>
        </is>
      </c>
      <c r="D1529" s="2" t="inlineStr">
        <is>
          <t>I-TECNOS</t>
        </is>
      </c>
      <c r="E1529" s="3" t="n">
        <v>15</v>
      </c>
      <c r="F1529" s="4" t="n">
        <v>0.3</v>
      </c>
      <c r="G1529" s="5">
        <f>ROUND(E1529*(1+F1529),2)</f>
        <v>19.50</v>
      </c>
      <c r="H1529" s="5">
        <f>ROUND(G1529*NOTAS!$B$2,2)</f>
        <v>14066.24</v>
      </c>
      <c r="I1529" s="6">
        <f>ROUND(G1529*NOTAS!$B$3,0)</f>
        <v>63353</v>
      </c>
      <c r="J1529" s="2" t="n">
        <v>1</v>
      </c>
    </row>
    <row r="1530">
      <c r="A1530" s="2" t="inlineStr">
        <is>
          <t>DW-23</t>
        </is>
      </c>
      <c r="B1530" s="2" t="inlineStr"/>
      <c r="C1530" s="2" t="inlineStr">
        <is>
          <t>DISCO DE EMBRAGUE AVEO</t>
        </is>
      </c>
      <c r="D1530" s="2" t="inlineStr">
        <is>
          <t>PHC VALEO</t>
        </is>
      </c>
      <c r="E1530" s="3" t="n">
        <v>60</v>
      </c>
      <c r="F1530" s="4" t="n">
        <v>0.3</v>
      </c>
      <c r="G1530" s="5">
        <f>ROUND(E1530*(1+F1530),2)</f>
        <v>78.00</v>
      </c>
      <c r="H1530" s="5">
        <f>ROUND(G1530*NOTAS!$B$2,2)</f>
        <v>56264.96</v>
      </c>
      <c r="I1530" s="6">
        <f>ROUND(G1530*NOTAS!$B$3,0)</f>
        <v>253412</v>
      </c>
      <c r="J1530" s="2" t="n">
        <v>7</v>
      </c>
    </row>
    <row r="1531">
      <c r="A1531" s="2" t="inlineStr">
        <is>
          <t>DW-22</t>
        </is>
      </c>
      <c r="B1531" s="2" t="inlineStr"/>
      <c r="C1531" s="2" t="inlineStr">
        <is>
          <t>DISCO DE EMBRAGUE AVEO</t>
        </is>
      </c>
      <c r="D1531" s="2" t="inlineStr">
        <is>
          <t>PHC VALEO</t>
        </is>
      </c>
      <c r="E1531" s="3" t="n">
        <v>60</v>
      </c>
      <c r="F1531" s="4" t="n">
        <v>0.3</v>
      </c>
      <c r="G1531" s="5">
        <f>ROUND(E1531*(1+F1531),2)</f>
        <v>78.00</v>
      </c>
      <c r="H1531" s="5">
        <f>ROUND(G1531*NOTAS!$B$2,2)</f>
        <v>56264.96</v>
      </c>
      <c r="I1531" s="6">
        <f>ROUND(G1531*NOTAS!$B$3,0)</f>
        <v>253412</v>
      </c>
      <c r="J1531" s="2" t="n">
        <v>10</v>
      </c>
    </row>
    <row r="1532">
      <c r="A1532" s="2" t="inlineStr">
        <is>
          <t>96468826</t>
        </is>
      </c>
      <c r="B1532" s="2" t="inlineStr"/>
      <c r="C1532" s="2" t="inlineStr">
        <is>
          <t>DISCO DE EMBRAGUE AVEO</t>
        </is>
      </c>
      <c r="D1532" s="2" t="inlineStr">
        <is>
          <t>GM</t>
        </is>
      </c>
      <c r="E1532" s="3" t="n">
        <v>60</v>
      </c>
      <c r="F1532" s="4" t="n">
        <v>0.3</v>
      </c>
      <c r="G1532" s="5">
        <f>ROUND(E1532*(1+F1532),2)</f>
        <v>78.00</v>
      </c>
      <c r="H1532" s="5">
        <f>ROUND(G1532*NOTAS!$B$2,2)</f>
        <v>56264.96</v>
      </c>
      <c r="I1532" s="6">
        <f>ROUND(G1532*NOTAS!$B$3,0)</f>
        <v>253412</v>
      </c>
      <c r="J1532" s="2" t="n">
        <v>2</v>
      </c>
    </row>
    <row r="1533">
      <c r="A1533" s="2" t="inlineStr">
        <is>
          <t>DW-07</t>
        </is>
      </c>
      <c r="B1533" s="2" t="inlineStr"/>
      <c r="C1533" s="2" t="inlineStr">
        <is>
          <t>DISCO DE EMBRAGUE CIELO/LANOS 1.5</t>
        </is>
      </c>
      <c r="D1533" s="2" t="inlineStr">
        <is>
          <t>PHC VALEO</t>
        </is>
      </c>
      <c r="E1533" s="3" t="n">
        <v>59</v>
      </c>
      <c r="F1533" s="4" t="n">
        <v>0.3</v>
      </c>
      <c r="G1533" s="5">
        <f>ROUND(E1533*(1+F1533),2)</f>
        <v>76.70</v>
      </c>
      <c r="H1533" s="5">
        <f>ROUND(G1533*NOTAS!$B$2,2)</f>
        <v>55327.21</v>
      </c>
      <c r="I1533" s="6">
        <f>ROUND(G1533*NOTAS!$B$3,0)</f>
        <v>249188</v>
      </c>
      <c r="J1533" s="2" t="n">
        <v>8</v>
      </c>
    </row>
    <row r="1534">
      <c r="A1534" s="2" t="inlineStr">
        <is>
          <t>N2800P</t>
        </is>
      </c>
      <c r="B1534" s="2" t="inlineStr"/>
      <c r="C1534" s="2" t="inlineStr">
        <is>
          <t>DISCO DE EMBRAGUE CORSA 1.6</t>
        </is>
      </c>
      <c r="D1534" s="2" t="inlineStr">
        <is>
          <t>PERFECTION HY-TEST</t>
        </is>
      </c>
      <c r="E1534" s="3" t="n">
        <v>20</v>
      </c>
      <c r="F1534" s="4" t="n">
        <v>0.3</v>
      </c>
      <c r="G1534" s="5">
        <f>ROUND(E1534*(1+F1534),2)</f>
        <v>26.00</v>
      </c>
      <c r="H1534" s="5">
        <f>ROUND(G1534*NOTAS!$B$2,2)</f>
        <v>18754.99</v>
      </c>
      <c r="I1534" s="6">
        <f>ROUND(G1534*NOTAS!$B$3,0)</f>
        <v>84471</v>
      </c>
      <c r="J1534" s="2" t="n">
        <v>2</v>
      </c>
    </row>
    <row r="1535">
      <c r="A1535" s="2" t="inlineStr">
        <is>
          <t>N2314</t>
        </is>
      </c>
      <c r="B1535" s="2" t="inlineStr"/>
      <c r="C1535" s="2" t="inlineStr">
        <is>
          <t>DISCO DE EMBRAGUE F-147/UNO 1.3</t>
        </is>
      </c>
      <c r="D1535" s="2" t="inlineStr">
        <is>
          <t>PERFECTION HY-TEST</t>
        </is>
      </c>
      <c r="E1535" s="3" t="n">
        <v>20</v>
      </c>
      <c r="F1535" s="4" t="n">
        <v>0.3</v>
      </c>
      <c r="G1535" s="5">
        <f>ROUND(E1535*(1+F1535),2)</f>
        <v>26.00</v>
      </c>
      <c r="H1535" s="5">
        <f>ROUND(G1535*NOTAS!$B$2,2)</f>
        <v>18754.99</v>
      </c>
      <c r="I1535" s="6">
        <f>ROUND(G1535*NOTAS!$B$3,0)</f>
        <v>84471</v>
      </c>
      <c r="J1535" s="2" t="n">
        <v>2</v>
      </c>
    </row>
    <row r="1536">
      <c r="A1536" s="2" t="inlineStr">
        <is>
          <t>MB0902</t>
        </is>
      </c>
      <c r="B1536" s="2" t="inlineStr"/>
      <c r="C1536" s="2" t="inlineStr">
        <is>
          <t>DISCO DE EMBRAGUE F-147/UNO 1.3</t>
        </is>
      </c>
      <c r="D1536" s="2" t="inlineStr">
        <is>
          <t>MECARM</t>
        </is>
      </c>
      <c r="E1536" s="3" t="n">
        <v>20</v>
      </c>
      <c r="F1536" s="4" t="n">
        <v>0.3</v>
      </c>
      <c r="G1536" s="5">
        <f>ROUND(E1536*(1+F1536),2)</f>
        <v>26.00</v>
      </c>
      <c r="H1536" s="5">
        <f>ROUND(G1536*NOTAS!$B$2,2)</f>
        <v>18754.99</v>
      </c>
      <c r="I1536" s="6">
        <f>ROUND(G1536*NOTAS!$B$3,0)</f>
        <v>84471</v>
      </c>
      <c r="J1536" s="2" t="n">
        <v>1</v>
      </c>
    </row>
    <row r="1537">
      <c r="A1537" s="2" t="inlineStr">
        <is>
          <t>318.0020.11</t>
        </is>
      </c>
      <c r="B1537" s="2" t="inlineStr"/>
      <c r="C1537" s="2" t="inlineStr">
        <is>
          <t>DISCO DE EMBRAGUE F-147/UNO 1.3</t>
        </is>
      </c>
      <c r="D1537" s="2" t="inlineStr">
        <is>
          <t>LUK</t>
        </is>
      </c>
      <c r="E1537" s="3" t="n">
        <v>30</v>
      </c>
      <c r="F1537" s="4" t="n">
        <v>0.3</v>
      </c>
      <c r="G1537" s="5">
        <f>ROUND(E1537*(1+F1537),2)</f>
        <v>39.00</v>
      </c>
      <c r="H1537" s="5">
        <f>ROUND(G1537*NOTAS!$B$2,2)</f>
        <v>28132.48</v>
      </c>
      <c r="I1537" s="6">
        <f>ROUND(G1537*NOTAS!$B$3,0)</f>
        <v>126706</v>
      </c>
      <c r="J1537" s="2" t="n">
        <v>12</v>
      </c>
    </row>
    <row r="1538">
      <c r="A1538" s="2" t="inlineStr">
        <is>
          <t>KD-05</t>
        </is>
      </c>
      <c r="B1538" s="2" t="inlineStr"/>
      <c r="C1538" s="2" t="inlineStr">
        <is>
          <t>DISCO DE EMBRAGUE FESTIVA</t>
        </is>
      </c>
      <c r="D1538" s="2" t="inlineStr">
        <is>
          <t>PHC VALEO</t>
        </is>
      </c>
      <c r="E1538" s="3" t="n">
        <v>40</v>
      </c>
      <c r="F1538" s="4" t="n">
        <v>0.3</v>
      </c>
      <c r="G1538" s="5">
        <f>ROUND(E1538*(1+F1538),2)</f>
        <v>52.00</v>
      </c>
      <c r="H1538" s="5">
        <f>ROUND(G1538*NOTAS!$B$2,2)</f>
        <v>37509.97</v>
      </c>
      <c r="I1538" s="6">
        <f>ROUND(G1538*NOTAS!$B$3,0)</f>
        <v>168941</v>
      </c>
      <c r="J1538" s="2" t="n">
        <v>4</v>
      </c>
    </row>
    <row r="1539">
      <c r="A1539" s="2" t="inlineStr">
        <is>
          <t>318.0161.10</t>
        </is>
      </c>
      <c r="B1539" s="2" t="inlineStr"/>
      <c r="C1539" s="2" t="inlineStr">
        <is>
          <t>DISCO DE EMBRAGUE F-PALIO/SIENA 1.3</t>
        </is>
      </c>
      <c r="D1539" s="2" t="inlineStr">
        <is>
          <t>LUK</t>
        </is>
      </c>
      <c r="E1539" s="3" t="n">
        <v>35</v>
      </c>
      <c r="F1539" s="4" t="n">
        <v>0.3</v>
      </c>
      <c r="G1539" s="5">
        <f>ROUND(E1539*(1+F1539),2)</f>
        <v>45.50</v>
      </c>
      <c r="H1539" s="5">
        <f>ROUND(G1539*NOTAS!$B$2,2)</f>
        <v>32821.22</v>
      </c>
      <c r="I1539" s="6">
        <f>ROUND(G1539*NOTAS!$B$3,0)</f>
        <v>147824</v>
      </c>
      <c r="J1539" s="2" t="n">
        <v>2</v>
      </c>
    </row>
    <row r="1540">
      <c r="A1540" s="2" t="inlineStr">
        <is>
          <t>319.0150.10</t>
        </is>
      </c>
      <c r="B1540" s="2" t="inlineStr"/>
      <c r="C1540" s="2" t="inlineStr">
        <is>
          <t>DISCO DE EMBRAGUE F-PALIO/SIENA 1.3 16V FIRE</t>
        </is>
      </c>
      <c r="D1540" s="2" t="inlineStr">
        <is>
          <t>LUK</t>
        </is>
      </c>
      <c r="E1540" s="3" t="n">
        <v>35</v>
      </c>
      <c r="F1540" s="4" t="n">
        <v>0.3</v>
      </c>
      <c r="G1540" s="5">
        <f>ROUND(E1540*(1+F1540),2)</f>
        <v>45.50</v>
      </c>
      <c r="H1540" s="5">
        <f>ROUND(G1540*NOTAS!$B$2,2)</f>
        <v>32821.22</v>
      </c>
      <c r="I1540" s="6">
        <f>ROUND(G1540*NOTAS!$B$3,0)</f>
        <v>147824</v>
      </c>
      <c r="J1540" s="2" t="n">
        <v>2</v>
      </c>
    </row>
    <row r="1541">
      <c r="A1541" s="2" t="inlineStr">
        <is>
          <t>318.0159.10</t>
        </is>
      </c>
      <c r="B1541" s="2" t="inlineStr"/>
      <c r="C1541" s="2" t="inlineStr">
        <is>
          <t>DISCO DE EMBRAGUE F-SELECTA</t>
        </is>
      </c>
      <c r="D1541" s="2" t="inlineStr">
        <is>
          <t>LUK</t>
        </is>
      </c>
      <c r="E1541" s="3" t="n">
        <v>25</v>
      </c>
      <c r="F1541" s="4" t="n">
        <v>0.3</v>
      </c>
      <c r="G1541" s="5">
        <f>ROUND(E1541*(1+F1541),2)</f>
        <v>32.50</v>
      </c>
      <c r="H1541" s="5">
        <f>ROUND(G1541*NOTAS!$B$2,2)</f>
        <v>23443.73</v>
      </c>
      <c r="I1541" s="6">
        <f>ROUND(G1541*NOTAS!$B$3,0)</f>
        <v>105588</v>
      </c>
      <c r="J1541" s="2" t="n">
        <v>3</v>
      </c>
    </row>
    <row r="1542">
      <c r="A1542" s="2" t="inlineStr">
        <is>
          <t>319.0081.10</t>
        </is>
      </c>
      <c r="B1542" s="2" t="inlineStr"/>
      <c r="C1542" s="2" t="inlineStr">
        <is>
          <t>DISCO DE EMBRAGUE F-TEMPRA 1.6</t>
        </is>
      </c>
      <c r="D1542" s="2" t="inlineStr">
        <is>
          <t>LUK</t>
        </is>
      </c>
      <c r="E1542" s="3" t="n">
        <v>25</v>
      </c>
      <c r="F1542" s="4" t="n">
        <v>0.3</v>
      </c>
      <c r="G1542" s="5">
        <f>ROUND(E1542*(1+F1542),2)</f>
        <v>32.50</v>
      </c>
      <c r="H1542" s="5">
        <f>ROUND(G1542*NOTAS!$B$2,2)</f>
        <v>23443.73</v>
      </c>
      <c r="I1542" s="6">
        <f>ROUND(G1542*NOTAS!$B$3,0)</f>
        <v>105588</v>
      </c>
      <c r="J1542" s="2" t="n">
        <v>2</v>
      </c>
    </row>
    <row r="1543">
      <c r="A1543" s="2" t="inlineStr">
        <is>
          <t>319.0062.10</t>
        </is>
      </c>
      <c r="B1543" s="2" t="inlineStr"/>
      <c r="C1543" s="2" t="inlineStr">
        <is>
          <t>DISCO DE EMBRAGUE F-UNO/PREMIO 1.5</t>
        </is>
      </c>
      <c r="D1543" s="2" t="inlineStr">
        <is>
          <t>LUK</t>
        </is>
      </c>
      <c r="E1543" s="3" t="n">
        <v>30</v>
      </c>
      <c r="F1543" s="4" t="n">
        <v>0.3</v>
      </c>
      <c r="G1543" s="5">
        <f>ROUND(E1543*(1+F1543),2)</f>
        <v>39.00</v>
      </c>
      <c r="H1543" s="5">
        <f>ROUND(G1543*NOTAS!$B$2,2)</f>
        <v>28132.48</v>
      </c>
      <c r="I1543" s="6">
        <f>ROUND(G1543*NOTAS!$B$3,0)</f>
        <v>126706</v>
      </c>
      <c r="J1543" s="2" t="n">
        <v>2</v>
      </c>
    </row>
    <row r="1544">
      <c r="A1544" s="2" t="inlineStr">
        <is>
          <t>MB0914</t>
        </is>
      </c>
      <c r="B1544" s="2" t="inlineStr"/>
      <c r="C1544" s="2" t="inlineStr">
        <is>
          <t>DISCO DE EMBRAGUE F-UNO/PREMIO 1.5</t>
        </is>
      </c>
      <c r="D1544" s="2" t="inlineStr">
        <is>
          <t>MECARM</t>
        </is>
      </c>
      <c r="E1544" s="3" t="n">
        <v>20</v>
      </c>
      <c r="F1544" s="4" t="n">
        <v>0.3</v>
      </c>
      <c r="G1544" s="5">
        <f>ROUND(E1544*(1+F1544),2)</f>
        <v>26.00</v>
      </c>
      <c r="H1544" s="5">
        <f>ROUND(G1544*NOTAS!$B$2,2)</f>
        <v>18754.99</v>
      </c>
      <c r="I1544" s="6">
        <f>ROUND(G1544*NOTAS!$B$3,0)</f>
        <v>84471</v>
      </c>
      <c r="J1544" s="2" t="n">
        <v>1</v>
      </c>
    </row>
    <row r="1545">
      <c r="A1545" s="2" t="inlineStr">
        <is>
          <t>601190100</t>
        </is>
      </c>
      <c r="B1545" s="2" t="inlineStr"/>
      <c r="C1545" s="2" t="inlineStr">
        <is>
          <t>DISCO DE EMBRAGUE F-UNO/PREMIO 1.5</t>
        </is>
      </c>
      <c r="D1545" s="2" t="inlineStr">
        <is>
          <t>MAPA</t>
        </is>
      </c>
      <c r="E1545" s="3" t="n">
        <v>20</v>
      </c>
      <c r="F1545" s="4" t="n">
        <v>0.3</v>
      </c>
      <c r="G1545" s="5">
        <f>ROUND(E1545*(1+F1545),2)</f>
        <v>26.00</v>
      </c>
      <c r="H1545" s="5">
        <f>ROUND(G1545*NOTAS!$B$2,2)</f>
        <v>18754.99</v>
      </c>
      <c r="I1545" s="6">
        <f>ROUND(G1545*NOTAS!$B$3,0)</f>
        <v>84471</v>
      </c>
      <c r="J1545" s="2" t="n">
        <v>1</v>
      </c>
    </row>
    <row r="1546">
      <c r="A1546" s="2" t="inlineStr"/>
      <c r="B1546" s="2" t="inlineStr"/>
      <c r="C1546" s="2" t="inlineStr">
        <is>
          <t>DISCO DE EMBRAGUE F-UNO/PREMIO 1.5</t>
        </is>
      </c>
      <c r="D1546" s="2" t="inlineStr"/>
      <c r="E1546" s="3" t="n">
        <v>20</v>
      </c>
      <c r="F1546" s="4" t="n">
        <v>0.3</v>
      </c>
      <c r="G1546" s="5">
        <f>ROUND(E1546*(1+F1546),2)</f>
        <v>26.00</v>
      </c>
      <c r="H1546" s="5">
        <f>ROUND(G1546*NOTAS!$B$2,2)</f>
        <v>18754.99</v>
      </c>
      <c r="I1546" s="6">
        <f>ROUND(G1546*NOTAS!$B$3,0)</f>
        <v>84471</v>
      </c>
      <c r="J1546" s="2" t="n">
        <v>2</v>
      </c>
    </row>
    <row r="1547">
      <c r="A1547" s="2" t="inlineStr">
        <is>
          <t>DW-18</t>
        </is>
      </c>
      <c r="B1547" s="2" t="inlineStr"/>
      <c r="C1547" s="2" t="inlineStr">
        <is>
          <t>DISCO DE EMBRAGUE MATIZ/TICO</t>
        </is>
      </c>
      <c r="D1547" s="2" t="inlineStr">
        <is>
          <t>PHC VALEO</t>
        </is>
      </c>
      <c r="E1547" s="3" t="n">
        <v>30</v>
      </c>
      <c r="F1547" s="4" t="n">
        <v>0.3</v>
      </c>
      <c r="G1547" s="5">
        <f>ROUND(E1547*(1+F1547),2)</f>
        <v>39.00</v>
      </c>
      <c r="H1547" s="5">
        <f>ROUND(G1547*NOTAS!$B$2,2)</f>
        <v>28132.48</v>
      </c>
      <c r="I1547" s="6">
        <f>ROUND(G1547*NOTAS!$B$3,0)</f>
        <v>126706</v>
      </c>
      <c r="J1547" s="2" t="n">
        <v>2</v>
      </c>
    </row>
    <row r="1548">
      <c r="A1548" s="2" t="inlineStr">
        <is>
          <t>325000211</t>
        </is>
      </c>
      <c r="B1548" s="2" t="inlineStr"/>
      <c r="C1548" s="2" t="inlineStr">
        <is>
          <t>disco de embrague mercedes benz 608 / 708</t>
        </is>
      </c>
      <c r="D1548" s="2" t="inlineStr">
        <is>
          <t>LUK</t>
        </is>
      </c>
      <c r="E1548" s="3" t="n">
        <v>15</v>
      </c>
      <c r="F1548" s="4" t="n">
        <v>0.3</v>
      </c>
      <c r="G1548" s="5">
        <f>ROUND(E1548*(1+F1548),2)</f>
        <v>19.50</v>
      </c>
      <c r="H1548" s="5">
        <f>ROUND(G1548*NOTAS!$B$2,2)</f>
        <v>14066.24</v>
      </c>
      <c r="I1548" s="6">
        <f>ROUND(G1548*NOTAS!$B$3,0)</f>
        <v>63353</v>
      </c>
      <c r="J1548" s="2" t="n">
        <v>1</v>
      </c>
    </row>
    <row r="1549">
      <c r="A1549" s="2" t="inlineStr">
        <is>
          <t>2387</t>
        </is>
      </c>
      <c r="B1549" s="2" t="inlineStr"/>
      <c r="C1549" s="2" t="inlineStr">
        <is>
          <t>DISCO DE EMBRAGUE MONZA</t>
        </is>
      </c>
      <c r="D1549" s="2" t="inlineStr">
        <is>
          <t>ZOMARTEX</t>
        </is>
      </c>
      <c r="E1549" s="3" t="n">
        <v>20</v>
      </c>
      <c r="F1549" s="4" t="n">
        <v>0.3</v>
      </c>
      <c r="G1549" s="5">
        <f>ROUND(E1549*(1+F1549),2)</f>
        <v>26.00</v>
      </c>
      <c r="H1549" s="5">
        <f>ROUND(G1549*NOTAS!$B$2,2)</f>
        <v>18754.99</v>
      </c>
      <c r="I1549" s="6">
        <f>ROUND(G1549*NOTAS!$B$3,0)</f>
        <v>84471</v>
      </c>
      <c r="J1549" s="2" t="n">
        <v>3</v>
      </c>
    </row>
    <row r="1550">
      <c r="A1550" s="2" t="inlineStr">
        <is>
          <t>320.0051.10</t>
        </is>
      </c>
      <c r="B1550" s="2" t="inlineStr"/>
      <c r="C1550" s="2" t="inlineStr">
        <is>
          <t>DISCO DE EMBRAGUE MONZA</t>
        </is>
      </c>
      <c r="D1550" s="2" t="inlineStr">
        <is>
          <t>LUK</t>
        </is>
      </c>
      <c r="E1550" s="3" t="n">
        <v>25</v>
      </c>
      <c r="F1550" s="4" t="n">
        <v>0.3</v>
      </c>
      <c r="G1550" s="5">
        <f>ROUND(E1550*(1+F1550),2)</f>
        <v>32.50</v>
      </c>
      <c r="H1550" s="5">
        <f>ROUND(G1550*NOTAS!$B$2,2)</f>
        <v>23443.73</v>
      </c>
      <c r="I1550" s="6">
        <f>ROUND(G1550*NOTAS!$B$3,0)</f>
        <v>105588</v>
      </c>
      <c r="J1550" s="2" t="n">
        <v>5</v>
      </c>
    </row>
    <row r="1551">
      <c r="A1551" s="2" t="inlineStr">
        <is>
          <t>480108</t>
        </is>
      </c>
      <c r="B1551" s="2" t="inlineStr"/>
      <c r="C1551" s="2" t="inlineStr">
        <is>
          <t>DISCO DE EMBRAGUE MONZA</t>
        </is>
      </c>
      <c r="D1551" s="2" t="inlineStr">
        <is>
          <t>BORGBECK</t>
        </is>
      </c>
      <c r="E1551" s="3" t="n">
        <v>20</v>
      </c>
      <c r="F1551" s="4" t="n">
        <v>0.3</v>
      </c>
      <c r="G1551" s="5">
        <f>ROUND(E1551*(1+F1551),2)</f>
        <v>26.00</v>
      </c>
      <c r="H1551" s="5">
        <f>ROUND(G1551*NOTAS!$B$2,2)</f>
        <v>18754.99</v>
      </c>
      <c r="I1551" s="6">
        <f>ROUND(G1551*NOTAS!$B$3,0)</f>
        <v>84471</v>
      </c>
      <c r="J1551" s="2" t="n">
        <v>1</v>
      </c>
    </row>
    <row r="1552">
      <c r="A1552" s="2" t="inlineStr">
        <is>
          <t>318.0098.16</t>
        </is>
      </c>
      <c r="B1552" s="2" t="inlineStr"/>
      <c r="C1552" s="2" t="inlineStr">
        <is>
          <t>DISCO DE EMBRAGUE R-11/19 1.4/TWINGO</t>
        </is>
      </c>
      <c r="D1552" s="2" t="inlineStr">
        <is>
          <t>LUK</t>
        </is>
      </c>
      <c r="E1552" s="3" t="n">
        <v>35</v>
      </c>
      <c r="F1552" s="4" t="n">
        <v>0.3</v>
      </c>
      <c r="G1552" s="5">
        <f>ROUND(E1552*(1+F1552),2)</f>
        <v>45.50</v>
      </c>
      <c r="H1552" s="5">
        <f>ROUND(G1552*NOTAS!$B$2,2)</f>
        <v>32821.22</v>
      </c>
      <c r="I1552" s="6">
        <f>ROUND(G1552*NOTAS!$B$3,0)</f>
        <v>147824</v>
      </c>
      <c r="J1552" s="2" t="n">
        <v>3</v>
      </c>
    </row>
    <row r="1553">
      <c r="A1553" s="2" t="inlineStr">
        <is>
          <t>600180200</t>
        </is>
      </c>
      <c r="B1553" s="2" t="inlineStr"/>
      <c r="C1553" s="2" t="inlineStr">
        <is>
          <t>DISCO DE EMBRAGUE R-12/5 1.3</t>
        </is>
      </c>
      <c r="D1553" s="2" t="inlineStr">
        <is>
          <t>MAPA</t>
        </is>
      </c>
      <c r="E1553" s="3" t="n">
        <v>25</v>
      </c>
      <c r="F1553" s="4" t="n">
        <v>0.3</v>
      </c>
      <c r="G1553" s="5">
        <f>ROUND(E1553*(1+F1553),2)</f>
        <v>32.50</v>
      </c>
      <c r="H1553" s="5">
        <f>ROUND(G1553*NOTAS!$B$2,2)</f>
        <v>23443.73</v>
      </c>
      <c r="I1553" s="6">
        <f>ROUND(G1553*NOTAS!$B$3,0)</f>
        <v>105588</v>
      </c>
      <c r="J1553" s="2" t="n">
        <v>1</v>
      </c>
    </row>
    <row r="1554">
      <c r="A1554" s="2" t="inlineStr">
        <is>
          <t>200/7007</t>
        </is>
      </c>
      <c r="B1554" s="2" t="inlineStr"/>
      <c r="C1554" s="2" t="inlineStr">
        <is>
          <t>DISCO DE EMBRAGUE R-18 1.6</t>
        </is>
      </c>
      <c r="D1554" s="2" t="inlineStr">
        <is>
          <t>WOLF</t>
        </is>
      </c>
      <c r="E1554" s="3" t="n">
        <v>25</v>
      </c>
      <c r="F1554" s="4" t="n">
        <v>0.3</v>
      </c>
      <c r="G1554" s="5">
        <f>ROUND(E1554*(1+F1554),2)</f>
        <v>32.50</v>
      </c>
      <c r="H1554" s="5">
        <f>ROUND(G1554*NOTAS!$B$2,2)</f>
        <v>23443.73</v>
      </c>
      <c r="I1554" s="6">
        <f>ROUND(G1554*NOTAS!$B$3,0)</f>
        <v>105588</v>
      </c>
      <c r="J1554" s="2" t="n">
        <v>1</v>
      </c>
    </row>
    <row r="1555">
      <c r="A1555" s="2" t="inlineStr">
        <is>
          <t>N2123P</t>
        </is>
      </c>
      <c r="B1555" s="2" t="inlineStr"/>
      <c r="C1555" s="2" t="inlineStr">
        <is>
          <t>DISCO DE EMBRAGUE R-18/FUEGO/21</t>
        </is>
      </c>
      <c r="D1555" s="2" t="inlineStr">
        <is>
          <t>PERFECTION HY-TEST</t>
        </is>
      </c>
      <c r="E1555" s="3" t="n">
        <v>25</v>
      </c>
      <c r="F1555" s="4" t="n">
        <v>0.3</v>
      </c>
      <c r="G1555" s="5">
        <f>ROUND(E1555*(1+F1555),2)</f>
        <v>32.50</v>
      </c>
      <c r="H1555" s="5">
        <f>ROUND(G1555*NOTAS!$B$2,2)</f>
        <v>23443.73</v>
      </c>
      <c r="I1555" s="6">
        <f>ROUND(G1555*NOTAS!$B$3,0)</f>
        <v>105588</v>
      </c>
      <c r="J1555" s="2" t="n">
        <v>4</v>
      </c>
    </row>
    <row r="1556">
      <c r="A1556" s="2" t="inlineStr">
        <is>
          <t>322.0061.19</t>
        </is>
      </c>
      <c r="B1556" s="2" t="inlineStr"/>
      <c r="C1556" s="2" t="inlineStr">
        <is>
          <t>DISCO DE EMBRAGUE R-18/FUEGO/21</t>
        </is>
      </c>
      <c r="D1556" s="2" t="inlineStr">
        <is>
          <t>LUK</t>
        </is>
      </c>
      <c r="E1556" s="3" t="n">
        <v>35</v>
      </c>
      <c r="F1556" s="4" t="n">
        <v>0.3</v>
      </c>
      <c r="G1556" s="5">
        <f>ROUND(E1556*(1+F1556),2)</f>
        <v>45.50</v>
      </c>
      <c r="H1556" s="5">
        <f>ROUND(G1556*NOTAS!$B$2,2)</f>
        <v>32821.22</v>
      </c>
      <c r="I1556" s="6">
        <f>ROUND(G1556*NOTAS!$B$3,0)</f>
        <v>147824</v>
      </c>
      <c r="J1556" s="2" t="n">
        <v>3</v>
      </c>
    </row>
    <row r="1557">
      <c r="A1557" s="2" t="inlineStr">
        <is>
          <t>604215400</t>
        </is>
      </c>
      <c r="B1557" s="2" t="inlineStr"/>
      <c r="C1557" s="2" t="inlineStr">
        <is>
          <t>DISCO DE EMBRAGUE R-18/FUEGO/21</t>
        </is>
      </c>
      <c r="D1557" s="2" t="inlineStr">
        <is>
          <t>MAPA</t>
        </is>
      </c>
      <c r="E1557" s="3" t="n">
        <v>25</v>
      </c>
      <c r="F1557" s="4" t="n">
        <v>0.3</v>
      </c>
      <c r="G1557" s="5">
        <f>ROUND(E1557*(1+F1557),2)</f>
        <v>32.50</v>
      </c>
      <c r="H1557" s="5">
        <f>ROUND(G1557*NOTAS!$B$2,2)</f>
        <v>23443.73</v>
      </c>
      <c r="I1557" s="6">
        <f>ROUND(G1557*NOTAS!$B$3,0)</f>
        <v>105588</v>
      </c>
      <c r="J1557" s="2" t="n">
        <v>1</v>
      </c>
    </row>
    <row r="1558">
      <c r="A1558" s="2" t="inlineStr">
        <is>
          <t>61200200I3</t>
        </is>
      </c>
      <c r="B1558" s="2" t="inlineStr"/>
      <c r="C1558" s="2" t="inlineStr">
        <is>
          <t>DISCO DE EMBRAGUE R-GALA</t>
        </is>
      </c>
      <c r="D1558" s="2" t="inlineStr">
        <is>
          <t>MAPA</t>
        </is>
      </c>
      <c r="E1558" s="3" t="n">
        <v>20</v>
      </c>
      <c r="F1558" s="4" t="n">
        <v>0.3</v>
      </c>
      <c r="G1558" s="5">
        <f>ROUND(E1558*(1+F1558),2)</f>
        <v>26.00</v>
      </c>
      <c r="H1558" s="5">
        <f>ROUND(G1558*NOTAS!$B$2,2)</f>
        <v>18754.99</v>
      </c>
      <c r="I1558" s="6">
        <f>ROUND(G1558*NOTAS!$B$3,0)</f>
        <v>84471</v>
      </c>
      <c r="J1558" s="2" t="n">
        <v>2</v>
      </c>
    </row>
    <row r="1559">
      <c r="A1559" s="2" t="inlineStr">
        <is>
          <t>320.0266.10</t>
        </is>
      </c>
      <c r="B1559" s="2" t="inlineStr"/>
      <c r="C1559" s="2" t="inlineStr">
        <is>
          <t>DISCO DE EMBRAGUE R-GALA</t>
        </is>
      </c>
      <c r="D1559" s="2" t="inlineStr">
        <is>
          <t>LUK</t>
        </is>
      </c>
      <c r="E1559" s="3" t="n">
        <v>25</v>
      </c>
      <c r="F1559" s="4" t="n">
        <v>0.3</v>
      </c>
      <c r="G1559" s="5">
        <f>ROUND(E1559*(1+F1559),2)</f>
        <v>32.50</v>
      </c>
      <c r="H1559" s="5">
        <f>ROUND(G1559*NOTAS!$B$2,2)</f>
        <v>23443.73</v>
      </c>
      <c r="I1559" s="6">
        <f>ROUND(G1559*NOTAS!$B$3,0)</f>
        <v>105588</v>
      </c>
      <c r="J1559" s="2" t="n">
        <v>1</v>
      </c>
    </row>
    <row r="1560">
      <c r="A1560" s="2" t="inlineStr">
        <is>
          <t>DW-44</t>
        </is>
      </c>
      <c r="B1560" s="2" t="inlineStr"/>
      <c r="C1560" s="2" t="inlineStr">
        <is>
          <t>DISCO DE EMBRAGUE SPARK</t>
        </is>
      </c>
      <c r="D1560" s="2" t="inlineStr">
        <is>
          <t>PHC VALEO</t>
        </is>
      </c>
      <c r="E1560" s="3" t="n">
        <v>30</v>
      </c>
      <c r="F1560" s="4" t="n">
        <v>0.3</v>
      </c>
      <c r="G1560" s="5">
        <f>ROUND(E1560*(1+F1560),2)</f>
        <v>39.00</v>
      </c>
      <c r="H1560" s="5">
        <f>ROUND(G1560*NOTAS!$B$2,2)</f>
        <v>28132.48</v>
      </c>
      <c r="I1560" s="6">
        <f>ROUND(G1560*NOTAS!$B$3,0)</f>
        <v>126706</v>
      </c>
      <c r="J1560" s="2" t="n">
        <v>1</v>
      </c>
    </row>
    <row r="1561">
      <c r="A1561" s="2" t="inlineStr">
        <is>
          <t>580212R</t>
        </is>
      </c>
      <c r="B1561" s="2" t="inlineStr"/>
      <c r="C1561" s="2" t="inlineStr">
        <is>
          <t>DISCO DE FRENO DELANTERO AVEO VENTILADO</t>
        </is>
      </c>
      <c r="D1561" s="2" t="inlineStr">
        <is>
          <t>RAYBESTOS</t>
        </is>
      </c>
      <c r="E1561" s="3" t="n">
        <v>29</v>
      </c>
      <c r="F1561" s="4" t="n">
        <v>0.3</v>
      </c>
      <c r="G1561" s="5">
        <f>ROUND(E1561*(1+F1561),2)</f>
        <v>37.70</v>
      </c>
      <c r="H1561" s="5">
        <f>ROUND(G1561*NOTAS!$B$2,2)</f>
        <v>27194.73</v>
      </c>
      <c r="I1561" s="6">
        <f>ROUND(G1561*NOTAS!$B$3,0)</f>
        <v>122482</v>
      </c>
      <c r="J1561" s="2" t="n">
        <v>1</v>
      </c>
    </row>
    <row r="1562">
      <c r="A1562" s="2" t="inlineStr">
        <is>
          <t>HF-22</t>
        </is>
      </c>
      <c r="B1562" s="2" t="inlineStr"/>
      <c r="C1562" s="2" t="inlineStr">
        <is>
          <t>DISCO DE FRENO DELANTERO CHEVETTE</t>
        </is>
      </c>
      <c r="D1562" s="2" t="inlineStr">
        <is>
          <t>HIPPERFREIOS</t>
        </is>
      </c>
      <c r="E1562" s="3" t="n">
        <v>30</v>
      </c>
      <c r="F1562" s="4" t="n">
        <v>0.3</v>
      </c>
      <c r="G1562" s="5">
        <f>ROUND(E1562*(1+F1562),2)</f>
        <v>39.00</v>
      </c>
      <c r="H1562" s="5">
        <f>ROUND(G1562*NOTAS!$B$2,2)</f>
        <v>28132.48</v>
      </c>
      <c r="I1562" s="6">
        <f>ROUND(G1562*NOTAS!$B$3,0)</f>
        <v>126706</v>
      </c>
      <c r="J1562" s="2" t="n">
        <v>3</v>
      </c>
    </row>
    <row r="1563">
      <c r="A1563" s="2" t="inlineStr">
        <is>
          <t>RPDI02840</t>
        </is>
      </c>
      <c r="B1563" s="2" t="inlineStr"/>
      <c r="C1563" s="2" t="inlineStr">
        <is>
          <t>DISCO DE FRENO DELANTERO CORCEL LISO</t>
        </is>
      </c>
      <c r="D1563" s="2" t="inlineStr">
        <is>
          <t>VARGA</t>
        </is>
      </c>
      <c r="E1563" s="3" t="n">
        <v>21.5385</v>
      </c>
      <c r="F1563" s="4" t="n">
        <v>0.3</v>
      </c>
      <c r="G1563" s="5">
        <f>ROUND(E1563*(1+F1563),2)</f>
        <v>28.00</v>
      </c>
      <c r="H1563" s="5">
        <f>ROUND(G1563*NOTAS!$B$2,2)</f>
        <v>20197.68</v>
      </c>
      <c r="I1563" s="6">
        <f>ROUND(G1563*NOTAS!$B$3,0)</f>
        <v>90968</v>
      </c>
      <c r="J1563" s="2" t="n">
        <v>2</v>
      </c>
    </row>
    <row r="1564">
      <c r="A1564" s="2" t="inlineStr">
        <is>
          <t>RCDI00870</t>
        </is>
      </c>
      <c r="B1564" s="2" t="inlineStr"/>
      <c r="C1564" s="2" t="inlineStr">
        <is>
          <t>DISCO DE FRENO DELANTERO CORCEL VENTILADO</t>
        </is>
      </c>
      <c r="D1564" s="2" t="inlineStr">
        <is>
          <t>VARGA</t>
        </is>
      </c>
      <c r="E1564" s="3" t="n">
        <v>24.6154</v>
      </c>
      <c r="F1564" s="4" t="n">
        <v>0.3</v>
      </c>
      <c r="G1564" s="5">
        <f>ROUND(E1564*(1+F1564),2)</f>
        <v>32.00</v>
      </c>
      <c r="H1564" s="5">
        <f>ROUND(G1564*NOTAS!$B$2,2)</f>
        <v>23083.06</v>
      </c>
      <c r="I1564" s="6">
        <f>ROUND(G1564*NOTAS!$B$3,0)</f>
        <v>103964</v>
      </c>
      <c r="J1564" s="2" t="n">
        <v>4</v>
      </c>
    </row>
    <row r="1565">
      <c r="A1565" s="2" t="inlineStr">
        <is>
          <t>HF-20</t>
        </is>
      </c>
      <c r="B1565" s="2" t="inlineStr"/>
      <c r="C1565" s="2" t="inlineStr">
        <is>
          <t>DISCO DE FRENO DELANTERO CORSA/CIELO/LANOS</t>
        </is>
      </c>
      <c r="D1565" s="2" t="inlineStr">
        <is>
          <t>HIPPERFREIOS</t>
        </is>
      </c>
      <c r="E1565" s="3" t="n">
        <v>30</v>
      </c>
      <c r="F1565" s="4" t="n">
        <v>0.3</v>
      </c>
      <c r="G1565" s="5">
        <f>ROUND(E1565*(1+F1565),2)</f>
        <v>39.00</v>
      </c>
      <c r="H1565" s="5">
        <f>ROUND(G1565*NOTAS!$B$2,2)</f>
        <v>28132.48</v>
      </c>
      <c r="I1565" s="6">
        <f>ROUND(G1565*NOTAS!$B$3,0)</f>
        <v>126706</v>
      </c>
      <c r="J1565" s="2" t="n">
        <v>18</v>
      </c>
    </row>
    <row r="1566">
      <c r="A1566" s="2" t="inlineStr">
        <is>
          <t>88903399</t>
        </is>
      </c>
      <c r="B1566" s="2" t="inlineStr"/>
      <c r="C1566" s="2" t="inlineStr">
        <is>
          <t>DISCO DE FRENO DELANTERO CORSA/CIELO/LANOS</t>
        </is>
      </c>
      <c r="D1566" s="2" t="inlineStr">
        <is>
          <t>ACDELCO BRAZIL</t>
        </is>
      </c>
      <c r="E1566" s="3" t="n">
        <v>25</v>
      </c>
      <c r="F1566" s="4" t="n">
        <v>0.3</v>
      </c>
      <c r="G1566" s="5">
        <f>ROUND(E1566*(1+F1566),2)</f>
        <v>32.50</v>
      </c>
      <c r="H1566" s="5">
        <f>ROUND(G1566*NOTAS!$B$2,2)</f>
        <v>23443.73</v>
      </c>
      <c r="I1566" s="6">
        <f>ROUND(G1566*NOTAS!$B$3,0)</f>
        <v>105588</v>
      </c>
      <c r="J1566" s="2" t="n">
        <v>19</v>
      </c>
    </row>
    <row r="1567">
      <c r="A1567" s="2" t="inlineStr">
        <is>
          <t>RCDI03720</t>
        </is>
      </c>
      <c r="B1567" s="2" t="inlineStr"/>
      <c r="C1567" s="2" t="inlineStr">
        <is>
          <t>DISCO DE FRENO DELANTERO CORSA/CIELO/LANOS</t>
        </is>
      </c>
      <c r="D1567" s="2" t="inlineStr">
        <is>
          <t>VARGA</t>
        </is>
      </c>
      <c r="E1567" s="3" t="n">
        <v>30</v>
      </c>
      <c r="F1567" s="4" t="n">
        <v>0.3</v>
      </c>
      <c r="G1567" s="5">
        <f>ROUND(E1567*(1+F1567),2)</f>
        <v>39.00</v>
      </c>
      <c r="H1567" s="5">
        <f>ROUND(G1567*NOTAS!$B$2,2)</f>
        <v>28132.48</v>
      </c>
      <c r="I1567" s="6">
        <f>ROUND(G1567*NOTAS!$B$3,0)</f>
        <v>126706</v>
      </c>
      <c r="J1567" s="2" t="n">
        <v>12</v>
      </c>
    </row>
    <row r="1568">
      <c r="A1568" s="2" t="inlineStr">
        <is>
          <t>19103647</t>
        </is>
      </c>
      <c r="B1568" s="2" t="inlineStr"/>
      <c r="C1568" s="2" t="inlineStr">
        <is>
          <t>DISCO DE FRENO DELANTERO CORSA/CIELO/LANOS</t>
        </is>
      </c>
      <c r="D1568" s="2" t="inlineStr">
        <is>
          <t>ACDELCO CHINO</t>
        </is>
      </c>
      <c r="E1568" s="3" t="n">
        <v>25</v>
      </c>
      <c r="F1568" s="4" t="n">
        <v>0.3</v>
      </c>
      <c r="G1568" s="5">
        <f>ROUND(E1568*(1+F1568),2)</f>
        <v>32.50</v>
      </c>
      <c r="H1568" s="5">
        <f>ROUND(G1568*NOTAS!$B$2,2)</f>
        <v>23443.73</v>
      </c>
      <c r="I1568" s="6">
        <f>ROUND(G1568*NOTAS!$B$3,0)</f>
        <v>105588</v>
      </c>
      <c r="J1568" s="2" t="n">
        <v>13</v>
      </c>
    </row>
    <row r="1569">
      <c r="A1569" s="2" t="inlineStr"/>
      <c r="B1569" s="2" t="inlineStr"/>
      <c r="C1569" s="2" t="inlineStr">
        <is>
          <t>DISCO DE FRENO DELANTERO CORSA/CIELO/LANOS OXIDADO</t>
        </is>
      </c>
      <c r="D1569" s="2" t="inlineStr"/>
      <c r="E1569" s="3" t="n">
        <v>15</v>
      </c>
      <c r="F1569" s="4" t="n">
        <v>0.3</v>
      </c>
      <c r="G1569" s="5">
        <f>ROUND(E1569*(1+F1569),2)</f>
        <v>19.50</v>
      </c>
      <c r="H1569" s="5">
        <f>ROUND(G1569*NOTAS!$B$2,2)</f>
        <v>14066.24</v>
      </c>
      <c r="I1569" s="6">
        <f>ROUND(G1569*NOTAS!$B$3,0)</f>
        <v>63353</v>
      </c>
      <c r="J1569" s="2" t="n">
        <v>1</v>
      </c>
    </row>
    <row r="1570">
      <c r="A1570" s="2" t="inlineStr">
        <is>
          <t>BR317</t>
        </is>
      </c>
      <c r="B1570" s="2" t="inlineStr"/>
      <c r="C1570" s="2" t="inlineStr">
        <is>
          <t>DISCO DE FRENO DELANTERO EXCEL/ACCENT 95/99</t>
        </is>
      </c>
      <c r="D1570" s="2" t="inlineStr">
        <is>
          <t>GBI</t>
        </is>
      </c>
      <c r="E1570" s="3" t="n">
        <v>23.0769</v>
      </c>
      <c r="F1570" s="4" t="n">
        <v>0.3</v>
      </c>
      <c r="G1570" s="5">
        <f>ROUND(E1570*(1+F1570),2)</f>
        <v>30.00</v>
      </c>
      <c r="H1570" s="5">
        <f>ROUND(G1570*NOTAS!$B$2,2)</f>
        <v>21640.37</v>
      </c>
      <c r="I1570" s="6">
        <f>ROUND(G1570*NOTAS!$B$3,0)</f>
        <v>97466</v>
      </c>
      <c r="J1570" s="2" t="n">
        <v>1</v>
      </c>
    </row>
    <row r="1571">
      <c r="A1571" s="2" t="inlineStr">
        <is>
          <t>155</t>
        </is>
      </c>
      <c r="B1571" s="2" t="inlineStr"/>
      <c r="C1571" s="2" t="inlineStr">
        <is>
          <t>DISCO DE FRENO DELANTERO FIESTA …/99 LISO</t>
        </is>
      </c>
      <c r="D1571" s="2" t="inlineStr">
        <is>
          <t>USABRAKE</t>
        </is>
      </c>
      <c r="E1571" s="3" t="n">
        <v>21.5385</v>
      </c>
      <c r="F1571" s="4" t="n">
        <v>0.3</v>
      </c>
      <c r="G1571" s="5">
        <f>ROUND(E1571*(1+F1571),2)</f>
        <v>28.00</v>
      </c>
      <c r="H1571" s="5">
        <f>ROUND(G1571*NOTAS!$B$2,2)</f>
        <v>20197.68</v>
      </c>
      <c r="I1571" s="6">
        <f>ROUND(G1571*NOTAS!$B$3,0)</f>
        <v>90968</v>
      </c>
      <c r="J1571" s="2" t="n">
        <v>2</v>
      </c>
    </row>
    <row r="1572">
      <c r="A1572" s="2" t="inlineStr">
        <is>
          <t>901721</t>
        </is>
      </c>
      <c r="B1572" s="2" t="inlineStr">
        <is>
          <t>7N151125AA</t>
        </is>
      </c>
      <c r="C1572" s="2" t="inlineStr">
        <is>
          <t>DISCO DE FRENO DELANTERO FIESTA AUTOMATICO/ECOSPORT</t>
        </is>
      </c>
      <c r="D1572" s="2" t="inlineStr">
        <is>
          <t>FORD</t>
        </is>
      </c>
      <c r="E1572" s="3" t="n">
        <v>40</v>
      </c>
      <c r="F1572" s="4" t="n">
        <v>0.3</v>
      </c>
      <c r="G1572" s="5">
        <f>ROUND(E1572*(1+F1572),2)</f>
        <v>52.00</v>
      </c>
      <c r="H1572" s="5">
        <f>ROUND(G1572*NOTAS!$B$2,2)</f>
        <v>37509.97</v>
      </c>
      <c r="I1572" s="6">
        <f>ROUND(G1572*NOTAS!$B$3,0)</f>
        <v>168941</v>
      </c>
      <c r="J1572" s="2" t="n">
        <v>2</v>
      </c>
    </row>
    <row r="1573">
      <c r="A1573" s="2" t="inlineStr">
        <is>
          <t>HF-14A</t>
        </is>
      </c>
      <c r="B1573" s="2" t="inlineStr"/>
      <c r="C1573" s="2" t="inlineStr">
        <is>
          <t>DISCO DE FRENO DELANTERO FIESTA VENTILADO 00/… KA SINCRONICO</t>
        </is>
      </c>
      <c r="D1573" s="2" t="inlineStr">
        <is>
          <t>HIPPERFREIOS</t>
        </is>
      </c>
      <c r="E1573" s="3" t="n">
        <v>40</v>
      </c>
      <c r="F1573" s="4" t="n">
        <v>0.3</v>
      </c>
      <c r="G1573" s="5">
        <f>ROUND(E1573*(1+F1573),2)</f>
        <v>52.00</v>
      </c>
      <c r="H1573" s="5">
        <f>ROUND(G1573*NOTAS!$B$2,2)</f>
        <v>37509.97</v>
      </c>
      <c r="I1573" s="6">
        <f>ROUND(G1573*NOTAS!$B$3,0)</f>
        <v>168941</v>
      </c>
      <c r="J1573" s="2" t="n">
        <v>4</v>
      </c>
    </row>
    <row r="1574">
      <c r="A1574" s="2" t="inlineStr">
        <is>
          <t>HF-38</t>
        </is>
      </c>
      <c r="B1574" s="2" t="inlineStr"/>
      <c r="C1574" s="2" t="inlineStr">
        <is>
          <t>DISCO DE FRENO DELANTERO F-PALIO/SIENA 1.3 16V FIRE</t>
        </is>
      </c>
      <c r="D1574" s="2" t="inlineStr">
        <is>
          <t>HIPPERFREIOS</t>
        </is>
      </c>
      <c r="E1574" s="3" t="n">
        <v>57</v>
      </c>
      <c r="F1574" s="4" t="n">
        <v>0.3</v>
      </c>
      <c r="G1574" s="5">
        <f>ROUND(E1574*(1+F1574),2)</f>
        <v>74.10</v>
      </c>
      <c r="H1574" s="5">
        <f>ROUND(G1574*NOTAS!$B$2,2)</f>
        <v>53451.71</v>
      </c>
      <c r="I1574" s="6">
        <f>ROUND(G1574*NOTAS!$B$3,0)</f>
        <v>240741</v>
      </c>
      <c r="J1574" s="2" t="n">
        <v>1</v>
      </c>
    </row>
    <row r="1575">
      <c r="A1575" s="2" t="inlineStr">
        <is>
          <t>142192</t>
        </is>
      </c>
      <c r="B1575" s="2" t="inlineStr"/>
      <c r="C1575" s="2" t="inlineStr">
        <is>
          <t>DISCO DE FRENO DELANTERO F-PALIO/SIENA 1.3 16V FIRE</t>
        </is>
      </c>
      <c r="D1575" s="2" t="inlineStr">
        <is>
          <t>BP</t>
        </is>
      </c>
      <c r="E1575" s="3" t="n">
        <v>45</v>
      </c>
      <c r="F1575" s="4" t="n">
        <v>0.3</v>
      </c>
      <c r="G1575" s="5">
        <f>ROUND(E1575*(1+F1575),2)</f>
        <v>58.50</v>
      </c>
      <c r="H1575" s="5">
        <f>ROUND(G1575*NOTAS!$B$2,2)</f>
        <v>42198.72</v>
      </c>
      <c r="I1575" s="6">
        <f>ROUND(G1575*NOTAS!$B$3,0)</f>
        <v>190059</v>
      </c>
      <c r="J1575" s="2" t="n">
        <v>1</v>
      </c>
    </row>
    <row r="1576">
      <c r="A1576" s="2" t="inlineStr">
        <is>
          <t>2102002</t>
        </is>
      </c>
      <c r="B1576" s="2" t="inlineStr"/>
      <c r="C1576" s="2" t="inlineStr">
        <is>
          <t>DISCO DE FRENO DELANTERO F-REGATA/RITMO</t>
        </is>
      </c>
      <c r="D1576" s="2" t="inlineStr">
        <is>
          <t>RAYBESTOS</t>
        </is>
      </c>
      <c r="E1576" s="3" t="n">
        <v>21.5385</v>
      </c>
      <c r="F1576" s="4" t="n">
        <v>0.3</v>
      </c>
      <c r="G1576" s="5">
        <f>ROUND(E1576*(1+F1576),2)</f>
        <v>28.00</v>
      </c>
      <c r="H1576" s="5">
        <f>ROUND(G1576*NOTAS!$B$2,2)</f>
        <v>20197.68</v>
      </c>
      <c r="I1576" s="6">
        <f>ROUND(G1576*NOTAS!$B$3,0)</f>
        <v>90968</v>
      </c>
      <c r="J1576" s="2" t="n">
        <v>3</v>
      </c>
    </row>
    <row r="1577">
      <c r="A1577" s="2" t="inlineStr">
        <is>
          <t>HF-31</t>
        </is>
      </c>
      <c r="B1577" s="2" t="inlineStr"/>
      <c r="C1577" s="2" t="inlineStr">
        <is>
          <t>DISCO DE FRENO DELANTERO F-UNO/PREMIO</t>
        </is>
      </c>
      <c r="D1577" s="2" t="inlineStr">
        <is>
          <t>HIPPERFREIOS</t>
        </is>
      </c>
      <c r="E1577" s="3" t="n">
        <v>30</v>
      </c>
      <c r="F1577" s="4" t="n">
        <v>0.3</v>
      </c>
      <c r="G1577" s="5">
        <f>ROUND(E1577*(1+F1577),2)</f>
        <v>39.00</v>
      </c>
      <c r="H1577" s="5">
        <f>ROUND(G1577*NOTAS!$B$2,2)</f>
        <v>28132.48</v>
      </c>
      <c r="I1577" s="6">
        <f>ROUND(G1577*NOTAS!$B$3,0)</f>
        <v>126706</v>
      </c>
      <c r="J1577" s="2" t="n">
        <v>12</v>
      </c>
    </row>
    <row r="1578">
      <c r="A1578" s="2" t="inlineStr">
        <is>
          <t>RPDI02790</t>
        </is>
      </c>
      <c r="B1578" s="2" t="inlineStr"/>
      <c r="C1578" s="2" t="inlineStr">
        <is>
          <t>DISCO DE FRENO DELANTERO F-UNO/PREMIO</t>
        </is>
      </c>
      <c r="D1578" s="2" t="inlineStr">
        <is>
          <t>VARGA</t>
        </is>
      </c>
      <c r="E1578" s="3" t="n">
        <v>30</v>
      </c>
      <c r="F1578" s="4" t="n">
        <v>0.3</v>
      </c>
      <c r="G1578" s="5">
        <f>ROUND(E1578*(1+F1578),2)</f>
        <v>39.00</v>
      </c>
      <c r="H1578" s="5">
        <f>ROUND(G1578*NOTAS!$B$2,2)</f>
        <v>28132.48</v>
      </c>
      <c r="I1578" s="6">
        <f>ROUND(G1578*NOTAS!$B$3,0)</f>
        <v>126706</v>
      </c>
      <c r="J1578" s="2" t="n">
        <v>4</v>
      </c>
    </row>
    <row r="1579">
      <c r="A1579" s="2" t="inlineStr"/>
      <c r="B1579" s="2" t="inlineStr"/>
      <c r="C1579" s="2" t="inlineStr">
        <is>
          <t>DISCO DE FRENO DELANTERO F-UNO/PREMIO MANCHADO</t>
        </is>
      </c>
      <c r="D1579" s="2" t="inlineStr">
        <is>
          <t>BRAZIL</t>
        </is>
      </c>
      <c r="E1579" s="3" t="n">
        <v>20</v>
      </c>
      <c r="F1579" s="4" t="n">
        <v>0.3</v>
      </c>
      <c r="G1579" s="5">
        <f>ROUND(E1579*(1+F1579),2)</f>
        <v>26.00</v>
      </c>
      <c r="H1579" s="5">
        <f>ROUND(G1579*NOTAS!$B$2,2)</f>
        <v>18754.99</v>
      </c>
      <c r="I1579" s="6">
        <f>ROUND(G1579*NOTAS!$B$3,0)</f>
        <v>84471</v>
      </c>
      <c r="J1579" s="2" t="n">
        <v>1</v>
      </c>
    </row>
    <row r="1580">
      <c r="A1580" s="2" t="inlineStr">
        <is>
          <t>2300905</t>
        </is>
      </c>
      <c r="B1580" s="2" t="inlineStr"/>
      <c r="C1580" s="2" t="inlineStr">
        <is>
          <t>DISCO DE FRENO DELANTERO MATIZ</t>
        </is>
      </c>
      <c r="D1580" s="2" t="inlineStr">
        <is>
          <t>RAYBESTOS</t>
        </is>
      </c>
      <c r="E1580" s="3" t="n">
        <v>19.2308</v>
      </c>
      <c r="F1580" s="4" t="n">
        <v>0.3</v>
      </c>
      <c r="G1580" s="5">
        <f>ROUND(E1580*(1+F1580),2)</f>
        <v>25.00</v>
      </c>
      <c r="H1580" s="5">
        <f>ROUND(G1580*NOTAS!$B$2,2)</f>
        <v>18033.64</v>
      </c>
      <c r="I1580" s="6">
        <f>ROUND(G1580*NOTAS!$B$3,0)</f>
        <v>81222</v>
      </c>
      <c r="J1580" s="2" t="n">
        <v>4</v>
      </c>
    </row>
    <row r="1581">
      <c r="A1581" s="2" t="inlineStr">
        <is>
          <t>980338R</t>
        </is>
      </c>
      <c r="B1581" s="2" t="inlineStr"/>
      <c r="C1581" s="2" t="inlineStr">
        <is>
          <t>DISCO DE FRENO DELANTERO OPTRA</t>
        </is>
      </c>
      <c r="D1581" s="2" t="inlineStr">
        <is>
          <t>RAYBESTOS</t>
        </is>
      </c>
      <c r="E1581" s="3" t="n">
        <v>26.9231</v>
      </c>
      <c r="F1581" s="4" t="n">
        <v>0.3</v>
      </c>
      <c r="G1581" s="5">
        <f>ROUND(E1581*(1+F1581),2)</f>
        <v>35.00</v>
      </c>
      <c r="H1581" s="5">
        <f>ROUND(G1581*NOTAS!$B$2,2)</f>
        <v>25247.10</v>
      </c>
      <c r="I1581" s="6">
        <f>ROUND(G1581*NOTAS!$B$3,0)</f>
        <v>113710</v>
      </c>
      <c r="J1581" s="2" t="n">
        <v>2</v>
      </c>
    </row>
    <row r="1582">
      <c r="A1582" s="2" t="inlineStr">
        <is>
          <t>142574</t>
        </is>
      </c>
      <c r="B1582" s="2" t="inlineStr"/>
      <c r="C1582" s="2" t="inlineStr">
        <is>
          <t>DISCO DE FRENO DELANTERO R-21</t>
        </is>
      </c>
      <c r="D1582" s="2" t="inlineStr">
        <is>
          <t>BP</t>
        </is>
      </c>
      <c r="E1582" s="3" t="n">
        <v>21.5385</v>
      </c>
      <c r="F1582" s="4" t="n">
        <v>0.3</v>
      </c>
      <c r="G1582" s="5">
        <f>ROUND(E1582*(1+F1582),2)</f>
        <v>28.00</v>
      </c>
      <c r="H1582" s="5">
        <f>ROUND(G1582*NOTAS!$B$2,2)</f>
        <v>20197.68</v>
      </c>
      <c r="I1582" s="6">
        <f>ROUND(G1582*NOTAS!$B$3,0)</f>
        <v>90968</v>
      </c>
      <c r="J1582" s="2" t="n">
        <v>3</v>
      </c>
    </row>
    <row r="1583">
      <c r="A1583" s="2" t="inlineStr">
        <is>
          <t>HF-570</t>
        </is>
      </c>
      <c r="B1583" s="2" t="inlineStr"/>
      <c r="C1583" s="2" t="inlineStr">
        <is>
          <t>DISCO DE FRENO DELANTERO R-LOGAN</t>
        </is>
      </c>
      <c r="D1583" s="2" t="inlineStr">
        <is>
          <t>HIPPERFREIOS</t>
        </is>
      </c>
      <c r="E1583" s="3" t="n">
        <v>55</v>
      </c>
      <c r="F1583" s="4" t="n">
        <v>0.3</v>
      </c>
      <c r="G1583" s="5">
        <f>ROUND(E1583*(1+F1583),2)</f>
        <v>71.50</v>
      </c>
      <c r="H1583" s="5">
        <f>ROUND(G1583*NOTAS!$B$2,2)</f>
        <v>51576.21</v>
      </c>
      <c r="I1583" s="6">
        <f>ROUND(G1583*NOTAS!$B$3,0)</f>
        <v>232294</v>
      </c>
      <c r="J1583" s="2" t="n">
        <v>4</v>
      </c>
    </row>
    <row r="1584">
      <c r="A1584" s="2" t="inlineStr">
        <is>
          <t>19103649</t>
        </is>
      </c>
      <c r="B1584" s="2" t="inlineStr"/>
      <c r="C1584" s="2" t="inlineStr">
        <is>
          <t>DISCO DE FRENO DELANTERO SPARK</t>
        </is>
      </c>
      <c r="D1584" s="2" t="inlineStr">
        <is>
          <t>ACDELCO</t>
        </is>
      </c>
      <c r="E1584" s="3" t="n">
        <v>18</v>
      </c>
      <c r="F1584" s="4" t="n">
        <v>0.3</v>
      </c>
      <c r="G1584" s="5">
        <f>ROUND(E1584*(1+F1584),2)</f>
        <v>23.40</v>
      </c>
      <c r="H1584" s="5">
        <f>ROUND(G1584*NOTAS!$B$2,2)</f>
        <v>16879.49</v>
      </c>
      <c r="I1584" s="6">
        <f>ROUND(G1584*NOTAS!$B$3,0)</f>
        <v>76024</v>
      </c>
      <c r="J1584" s="2" t="n">
        <v>4</v>
      </c>
    </row>
    <row r="1585">
      <c r="A1585" s="2" t="inlineStr">
        <is>
          <t>580409R</t>
        </is>
      </c>
      <c r="B1585" s="2" t="inlineStr"/>
      <c r="C1585" s="2" t="inlineStr">
        <is>
          <t>DISCO DE FRENO TRASERO OPTRA</t>
        </is>
      </c>
      <c r="D1585" s="2" t="inlineStr">
        <is>
          <t>RAYBESTOS</t>
        </is>
      </c>
      <c r="E1585" s="3" t="n">
        <v>26.9231</v>
      </c>
      <c r="F1585" s="4" t="n">
        <v>0.3</v>
      </c>
      <c r="G1585" s="5">
        <f>ROUND(E1585*(1+F1585),2)</f>
        <v>35.00</v>
      </c>
      <c r="H1585" s="5">
        <f>ROUND(G1585*NOTAS!$B$2,2)</f>
        <v>25247.10</v>
      </c>
      <c r="I1585" s="6">
        <f>ROUND(G1585*NOTAS!$B$3,0)</f>
        <v>113710</v>
      </c>
      <c r="J1585" s="2" t="n">
        <v>2</v>
      </c>
    </row>
    <row r="1586">
      <c r="A1586" s="2" t="inlineStr">
        <is>
          <t>9-230-087-111</t>
        </is>
      </c>
      <c r="B1586" s="2" t="inlineStr"/>
      <c r="C1586" s="2" t="inlineStr">
        <is>
          <t>DISTRIBUCION VHEVETTE COMPLETA</t>
        </is>
      </c>
      <c r="D1586" s="2" t="inlineStr">
        <is>
          <t>ALIC</t>
        </is>
      </c>
      <c r="E1586" s="3" t="n">
        <v>30.7692</v>
      </c>
      <c r="F1586" s="4" t="n">
        <v>0.3</v>
      </c>
      <c r="G1586" s="5">
        <f>ROUND(E1586*(1+F1586),2)</f>
        <v>40.00</v>
      </c>
      <c r="H1586" s="5">
        <f>ROUND(G1586*NOTAS!$B$2,2)</f>
        <v>28853.82</v>
      </c>
      <c r="I1586" s="6">
        <f>ROUND(G1586*NOTAS!$B$3,0)</f>
        <v>129955</v>
      </c>
      <c r="J1586" s="2" t="n">
        <v>1</v>
      </c>
    </row>
    <row r="1587">
      <c r="A1587" s="2" t="inlineStr">
        <is>
          <t>96320215</t>
        </is>
      </c>
      <c r="B1587" s="2" t="inlineStr"/>
      <c r="C1587" s="2" t="inlineStr">
        <is>
          <t>DISTRIBUIDOR TOMA AGUA SPARK/MATIZ</t>
        </is>
      </c>
      <c r="D1587" s="2" t="inlineStr">
        <is>
          <t>GM</t>
        </is>
      </c>
      <c r="E1587" s="3" t="n">
        <v>9.2308</v>
      </c>
      <c r="F1587" s="4" t="n">
        <v>0.3</v>
      </c>
      <c r="G1587" s="5">
        <f>ROUND(E1587*(1+F1587),2)</f>
        <v>12.00</v>
      </c>
      <c r="H1587" s="5">
        <f>ROUND(G1587*NOTAS!$B$2,2)</f>
        <v>8656.15</v>
      </c>
      <c r="I1587" s="6">
        <f>ROUND(G1587*NOTAS!$B$3,0)</f>
        <v>38986</v>
      </c>
      <c r="J1587" s="2" t="n">
        <v>1</v>
      </c>
    </row>
    <row r="1588">
      <c r="A1588" s="2" t="inlineStr">
        <is>
          <t>93740673-VK</t>
        </is>
      </c>
      <c r="B1588" s="2" t="inlineStr"/>
      <c r="C1588" s="2" t="inlineStr">
        <is>
          <t>ELECTROVENTILADOR  AVEO MOTOR Y ASPA 05/06</t>
        </is>
      </c>
      <c r="D1588" s="2" t="inlineStr">
        <is>
          <t>VELKO</t>
        </is>
      </c>
      <c r="E1588" s="3" t="n">
        <v>38.4615</v>
      </c>
      <c r="F1588" s="4" t="n">
        <v>0.3</v>
      </c>
      <c r="G1588" s="5">
        <f>ROUND(E1588*(1+F1588),2)</f>
        <v>50.00</v>
      </c>
      <c r="H1588" s="5">
        <f>ROUND(G1588*NOTAS!$B$2,2)</f>
        <v>36067.28</v>
      </c>
      <c r="I1588" s="6">
        <f>ROUND(G1588*NOTAS!$B$3,0)</f>
        <v>162444</v>
      </c>
      <c r="J1588" s="2" t="n">
        <v>1</v>
      </c>
    </row>
    <row r="1589">
      <c r="A1589" s="2" t="inlineStr">
        <is>
          <t>GA200486</t>
        </is>
      </c>
      <c r="B1589" s="2" t="inlineStr"/>
      <c r="C1589" s="2" t="inlineStr">
        <is>
          <t>ELECTROVENTILADOR  CON BASE AVEO GRANDE LS/LT</t>
        </is>
      </c>
      <c r="D1589" s="2" t="inlineStr">
        <is>
          <t>AUTOGAMMA</t>
        </is>
      </c>
      <c r="E1589" s="3" t="n">
        <v>42.3077</v>
      </c>
      <c r="F1589" s="4" t="n">
        <v>0.3</v>
      </c>
      <c r="G1589" s="5">
        <f>ROUND(E1589*(1+F1589),2)</f>
        <v>55.00</v>
      </c>
      <c r="H1589" s="5">
        <f>ROUND(G1589*NOTAS!$B$2,2)</f>
        <v>39674.01</v>
      </c>
      <c r="I1589" s="6">
        <f>ROUND(G1589*NOTAS!$B$3,0)</f>
        <v>178688</v>
      </c>
      <c r="J1589" s="2" t="n">
        <v>2</v>
      </c>
    </row>
    <row r="1590">
      <c r="A1590" s="2" t="inlineStr">
        <is>
          <t>GA201651</t>
        </is>
      </c>
      <c r="B1590" s="2" t="inlineStr"/>
      <c r="C1590" s="2" t="inlineStr">
        <is>
          <t>ELECTROVENTILADOR  CON BASE FIESTA 1.25</t>
        </is>
      </c>
      <c r="D1590" s="2" t="inlineStr">
        <is>
          <t>AUTOGAMMA</t>
        </is>
      </c>
      <c r="E1590" s="3" t="n">
        <v>34.6154</v>
      </c>
      <c r="F1590" s="4" t="n">
        <v>0.3</v>
      </c>
      <c r="G1590" s="5">
        <f>ROUND(E1590*(1+F1590),2)</f>
        <v>45.00</v>
      </c>
      <c r="H1590" s="5">
        <f>ROUND(G1590*NOTAS!$B$2,2)</f>
        <v>32460.55</v>
      </c>
      <c r="I1590" s="6">
        <f>ROUND(G1590*NOTAS!$B$3,0)</f>
        <v>146199</v>
      </c>
      <c r="J1590" s="2" t="n">
        <v>1</v>
      </c>
    </row>
    <row r="1591">
      <c r="A1591" s="2" t="inlineStr">
        <is>
          <t>GA200488</t>
        </is>
      </c>
      <c r="B1591" s="2" t="inlineStr"/>
      <c r="C1591" s="2" t="inlineStr">
        <is>
          <t>ELECTROVENTILADOR  CON BASE PRINCIPAL OPTRA</t>
        </is>
      </c>
      <c r="D1591" s="2" t="inlineStr">
        <is>
          <t>AUTOGAMMA</t>
        </is>
      </c>
      <c r="E1591" s="3" t="n">
        <v>42.3077</v>
      </c>
      <c r="F1591" s="4" t="n">
        <v>0.3</v>
      </c>
      <c r="G1591" s="5">
        <f>ROUND(E1591*(1+F1591),2)</f>
        <v>55.00</v>
      </c>
      <c r="H1591" s="5">
        <f>ROUND(G1591*NOTAS!$B$2,2)</f>
        <v>39674.01</v>
      </c>
      <c r="I1591" s="6">
        <f>ROUND(G1591*NOTAS!$B$3,0)</f>
        <v>178688</v>
      </c>
      <c r="J1591" s="2" t="n">
        <v>1</v>
      </c>
    </row>
    <row r="1592">
      <c r="A1592" s="2" t="inlineStr">
        <is>
          <t>P96553242</t>
        </is>
      </c>
      <c r="B1592" s="2" t="inlineStr"/>
      <c r="C1592" s="2" t="inlineStr">
        <is>
          <t>ELECTROVENTILADOR  CON BASE PRINCIPAL OPTRA</t>
        </is>
      </c>
      <c r="D1592" s="2" t="inlineStr">
        <is>
          <t>NT</t>
        </is>
      </c>
      <c r="E1592" s="3" t="n">
        <v>42.3077</v>
      </c>
      <c r="F1592" s="4" t="n">
        <v>0.3</v>
      </c>
      <c r="G1592" s="5">
        <f>ROUND(E1592*(1+F1592),2)</f>
        <v>55.00</v>
      </c>
      <c r="H1592" s="5">
        <f>ROUND(G1592*NOTAS!$B$2,2)</f>
        <v>39674.01</v>
      </c>
      <c r="I1592" s="6">
        <f>ROUND(G1592*NOTAS!$B$3,0)</f>
        <v>178688</v>
      </c>
      <c r="J1592" s="2" t="n">
        <v>1</v>
      </c>
    </row>
    <row r="1593">
      <c r="A1593" s="2" t="inlineStr">
        <is>
          <t>GA201626</t>
        </is>
      </c>
      <c r="B1593" s="2" t="inlineStr"/>
      <c r="C1593" s="2" t="inlineStr">
        <is>
          <t>ELECTROVENTILADOR  CON BASE R-19/CLIO</t>
        </is>
      </c>
      <c r="D1593" s="2" t="inlineStr">
        <is>
          <t>AUTOGAMMA</t>
        </is>
      </c>
      <c r="E1593" s="3" t="n">
        <v>30.7692</v>
      </c>
      <c r="F1593" s="4" t="n">
        <v>0.3</v>
      </c>
      <c r="G1593" s="5">
        <f>ROUND(E1593*(1+F1593),2)</f>
        <v>40.00</v>
      </c>
      <c r="H1593" s="5">
        <f>ROUND(G1593*NOTAS!$B$2,2)</f>
        <v>28853.82</v>
      </c>
      <c r="I1593" s="6">
        <f>ROUND(G1593*NOTAS!$B$3,0)</f>
        <v>129955</v>
      </c>
      <c r="J1593" s="2" t="n">
        <v>2</v>
      </c>
    </row>
    <row r="1594">
      <c r="A1594" s="2" t="inlineStr">
        <is>
          <t>EL490</t>
        </is>
      </c>
      <c r="B1594" s="2" t="inlineStr"/>
      <c r="C1594" s="2" t="inlineStr">
        <is>
          <t>ELECTROVENTILADOR  F-147</t>
        </is>
      </c>
      <c r="D1594" s="2" t="inlineStr">
        <is>
          <t>CEAM</t>
        </is>
      </c>
      <c r="E1594" s="3" t="n">
        <v>26.9231</v>
      </c>
      <c r="F1594" s="4" t="n">
        <v>0.3</v>
      </c>
      <c r="G1594" s="5">
        <f>ROUND(E1594*(1+F1594),2)</f>
        <v>35.00</v>
      </c>
      <c r="H1594" s="5">
        <f>ROUND(G1594*NOTAS!$B$2,2)</f>
        <v>25247.10</v>
      </c>
      <c r="I1594" s="6">
        <f>ROUND(G1594*NOTAS!$B$3,0)</f>
        <v>113710</v>
      </c>
      <c r="J1594" s="2" t="n">
        <v>1</v>
      </c>
    </row>
    <row r="1595">
      <c r="A1595" s="2" t="inlineStr">
        <is>
          <t>GA200107</t>
        </is>
      </c>
      <c r="B1595" s="2" t="inlineStr"/>
      <c r="C1595" s="2" t="inlineStr">
        <is>
          <t>ELECTROVENTILADOR  F-PALIO/SIENA 1.3 16V FIRE</t>
        </is>
      </c>
      <c r="D1595" s="2" t="inlineStr">
        <is>
          <t>AUTOGAMMA</t>
        </is>
      </c>
      <c r="E1595" s="3" t="n">
        <v>34.6154</v>
      </c>
      <c r="F1595" s="4" t="n">
        <v>0.3</v>
      </c>
      <c r="G1595" s="5">
        <f>ROUND(E1595*(1+F1595),2)</f>
        <v>45.00</v>
      </c>
      <c r="H1595" s="5">
        <f>ROUND(G1595*NOTAS!$B$2,2)</f>
        <v>32460.55</v>
      </c>
      <c r="I1595" s="6">
        <f>ROUND(G1595*NOTAS!$B$3,0)</f>
        <v>146199</v>
      </c>
      <c r="J1595" s="2" t="n">
        <v>2</v>
      </c>
    </row>
    <row r="1596">
      <c r="A1596" s="2" t="inlineStr">
        <is>
          <t>GA201231</t>
        </is>
      </c>
      <c r="B1596" s="2" t="inlineStr"/>
      <c r="C1596" s="2" t="inlineStr">
        <is>
          <t>ELECTROVENTILADOR  F-PALIO/SIENA 1.3 8V MPI</t>
        </is>
      </c>
      <c r="D1596" s="2" t="inlineStr">
        <is>
          <t>AUTOGAMMA</t>
        </is>
      </c>
      <c r="E1596" s="3" t="n">
        <v>34.6154</v>
      </c>
      <c r="F1596" s="4" t="n">
        <v>0.3</v>
      </c>
      <c r="G1596" s="5">
        <f>ROUND(E1596*(1+F1596),2)</f>
        <v>45.00</v>
      </c>
      <c r="H1596" s="5">
        <f>ROUND(G1596*NOTAS!$B$2,2)</f>
        <v>32460.55</v>
      </c>
      <c r="I1596" s="6">
        <f>ROUND(G1596*NOTAS!$B$3,0)</f>
        <v>146199</v>
      </c>
      <c r="J1596" s="2" t="n">
        <v>1</v>
      </c>
    </row>
    <row r="1597">
      <c r="A1597" s="2" t="inlineStr">
        <is>
          <t>GA220608</t>
        </is>
      </c>
      <c r="B1597" s="2" t="inlineStr"/>
      <c r="C1597" s="2" t="inlineStr">
        <is>
          <t>ELECTROVENTILADOR  F-PALIO/SIENA 1.8/1.4 UNO FIRE</t>
        </is>
      </c>
      <c r="D1597" s="2" t="inlineStr">
        <is>
          <t>AUTOGAMMA</t>
        </is>
      </c>
      <c r="E1597" s="3" t="n">
        <v>34.6154</v>
      </c>
      <c r="F1597" s="4" t="n">
        <v>0.3</v>
      </c>
      <c r="G1597" s="5">
        <f>ROUND(E1597*(1+F1597),2)</f>
        <v>45.00</v>
      </c>
      <c r="H1597" s="5">
        <f>ROUND(G1597*NOTAS!$B$2,2)</f>
        <v>32460.55</v>
      </c>
      <c r="I1597" s="6">
        <f>ROUND(G1597*NOTAS!$B$3,0)</f>
        <v>146199</v>
      </c>
      <c r="J1597" s="2" t="n">
        <v>4</v>
      </c>
    </row>
    <row r="1598">
      <c r="A1598" s="2" t="inlineStr"/>
      <c r="B1598" s="2" t="inlineStr"/>
      <c r="C1598" s="2" t="inlineStr">
        <is>
          <t>ELECTROVENTILADOR  F-PALIO/SIENA 1.8/1.4 UNO FIRE</t>
        </is>
      </c>
      <c r="D1598" s="2" t="inlineStr">
        <is>
          <t>OMER</t>
        </is>
      </c>
      <c r="E1598" s="3" t="n">
        <v>34.6154</v>
      </c>
      <c r="F1598" s="4" t="n">
        <v>0.3</v>
      </c>
      <c r="G1598" s="5">
        <f>ROUND(E1598*(1+F1598),2)</f>
        <v>45.00</v>
      </c>
      <c r="H1598" s="5">
        <f>ROUND(G1598*NOTAS!$B$2,2)</f>
        <v>32460.55</v>
      </c>
      <c r="I1598" s="6">
        <f>ROUND(G1598*NOTAS!$B$3,0)</f>
        <v>146199</v>
      </c>
      <c r="J1598" s="2" t="n">
        <v>1</v>
      </c>
    </row>
    <row r="1599">
      <c r="A1599" s="2" t="inlineStr">
        <is>
          <t>GA201102</t>
        </is>
      </c>
      <c r="B1599" s="2" t="inlineStr"/>
      <c r="C1599" s="2" t="inlineStr">
        <is>
          <t>ELECTROVENTILADOR  F-UNO 1.3 PREMIO VIEJO 4 ASPAS</t>
        </is>
      </c>
      <c r="D1599" s="2" t="inlineStr">
        <is>
          <t>AUTOGAMMA</t>
        </is>
      </c>
      <c r="E1599" s="3" t="n">
        <v>30.7692</v>
      </c>
      <c r="F1599" s="4" t="n">
        <v>0.3</v>
      </c>
      <c r="G1599" s="5">
        <f>ROUND(E1599*(1+F1599),2)</f>
        <v>40.00</v>
      </c>
      <c r="H1599" s="5">
        <f>ROUND(G1599*NOTAS!$B$2,2)</f>
        <v>28853.82</v>
      </c>
      <c r="I1599" s="6">
        <f>ROUND(G1599*NOTAS!$B$3,0)</f>
        <v>129955</v>
      </c>
      <c r="J1599" s="2" t="n">
        <v>3</v>
      </c>
    </row>
    <row r="1600">
      <c r="A1600" s="2" t="inlineStr">
        <is>
          <t>9130451046</t>
        </is>
      </c>
      <c r="B1600" s="2" t="inlineStr"/>
      <c r="C1600" s="2" t="inlineStr">
        <is>
          <t>ELECTROVENTILADOR  F-UNO INY/PREMIO</t>
        </is>
      </c>
      <c r="D1600" s="2" t="inlineStr">
        <is>
          <t>BOSCH</t>
        </is>
      </c>
      <c r="E1600" s="3" t="n">
        <v>32.3077</v>
      </c>
      <c r="F1600" s="4" t="n">
        <v>0.3</v>
      </c>
      <c r="G1600" s="5">
        <f>ROUND(E1600*(1+F1600),2)</f>
        <v>42.00</v>
      </c>
      <c r="H1600" s="5">
        <f>ROUND(G1600*NOTAS!$B$2,2)</f>
        <v>30296.52</v>
      </c>
      <c r="I1600" s="6">
        <f>ROUND(G1600*NOTAS!$B$3,0)</f>
        <v>136453</v>
      </c>
      <c r="J1600" s="2" t="n">
        <v>4</v>
      </c>
    </row>
    <row r="1601">
      <c r="A1601" s="2" t="inlineStr">
        <is>
          <t>201180</t>
        </is>
      </c>
      <c r="B1601" s="2" t="inlineStr"/>
      <c r="C1601" s="2" t="inlineStr">
        <is>
          <t>ELECTROVENTILADOR  F-UNO INY/PREMIO</t>
        </is>
      </c>
      <c r="D1601" s="2" t="inlineStr">
        <is>
          <t>AUTOGAMMA</t>
        </is>
      </c>
      <c r="E1601" s="3" t="n">
        <v>32.3077</v>
      </c>
      <c r="F1601" s="4" t="n">
        <v>0.3</v>
      </c>
      <c r="G1601" s="5">
        <f>ROUND(E1601*(1+F1601),2)</f>
        <v>42.00</v>
      </c>
      <c r="H1601" s="5">
        <f>ROUND(G1601*NOTAS!$B$2,2)</f>
        <v>30296.52</v>
      </c>
      <c r="I1601" s="6">
        <f>ROUND(G1601*NOTAS!$B$3,0)</f>
        <v>136453</v>
      </c>
      <c r="J1601" s="2" t="n">
        <v>1</v>
      </c>
    </row>
    <row r="1602">
      <c r="A1602" s="2" t="inlineStr">
        <is>
          <t>GA200460</t>
        </is>
      </c>
      <c r="B1602" s="2" t="inlineStr"/>
      <c r="C1602" s="2" t="inlineStr">
        <is>
          <t>ELECTROVENTILADOR CON BASE AIRE ACONDICIONADO AVEO 05/10</t>
        </is>
      </c>
      <c r="D1602" s="2" t="inlineStr">
        <is>
          <t>AUTOGAMMA</t>
        </is>
      </c>
      <c r="E1602" s="3" t="n">
        <v>42.3077</v>
      </c>
      <c r="F1602" s="4" t="n">
        <v>0.3</v>
      </c>
      <c r="G1602" s="5">
        <f>ROUND(E1602*(1+F1602),2)</f>
        <v>55.00</v>
      </c>
      <c r="H1602" s="5">
        <f>ROUND(G1602*NOTAS!$B$2,2)</f>
        <v>39674.01</v>
      </c>
      <c r="I1602" s="6">
        <f>ROUND(G1602*NOTAS!$B$3,0)</f>
        <v>178688</v>
      </c>
      <c r="J1602" s="2" t="n">
        <v>1</v>
      </c>
    </row>
    <row r="1603">
      <c r="A1603" s="2" t="inlineStr">
        <is>
          <t>201127</t>
        </is>
      </c>
      <c r="B1603" s="2" t="inlineStr"/>
      <c r="C1603" s="2" t="inlineStr">
        <is>
          <t>ELECTROVENTILADOR CON BASE F-131/132</t>
        </is>
      </c>
      <c r="D1603" s="2" t="inlineStr">
        <is>
          <t>AUTOGAMMA</t>
        </is>
      </c>
      <c r="E1603" s="3" t="n">
        <v>30.7692</v>
      </c>
      <c r="F1603" s="4" t="n">
        <v>0.3</v>
      </c>
      <c r="G1603" s="5">
        <f>ROUND(E1603*(1+F1603),2)</f>
        <v>40.00</v>
      </c>
      <c r="H1603" s="5">
        <f>ROUND(G1603*NOTAS!$B$2,2)</f>
        <v>28853.82</v>
      </c>
      <c r="I1603" s="6">
        <f>ROUND(G1603*NOTAS!$B$3,0)</f>
        <v>129955</v>
      </c>
      <c r="J1603" s="2" t="n">
        <v>1</v>
      </c>
    </row>
    <row r="1604">
      <c r="A1604" s="2" t="inlineStr">
        <is>
          <t>96303492</t>
        </is>
      </c>
      <c r="B1604" s="2" t="inlineStr"/>
      <c r="C1604" s="2" t="inlineStr">
        <is>
          <t>EMBLEMA CAPOT DAEWOO</t>
        </is>
      </c>
      <c r="D1604" s="2" t="inlineStr">
        <is>
          <t>GM</t>
        </is>
      </c>
      <c r="E1604" s="3" t="n">
        <v>6.1538</v>
      </c>
      <c r="F1604" s="4" t="n">
        <v>0.3</v>
      </c>
      <c r="G1604" s="5">
        <f>ROUND(E1604*(1+F1604),2)</f>
        <v>8.00</v>
      </c>
      <c r="H1604" s="5">
        <f>ROUND(G1604*NOTAS!$B$2,2)</f>
        <v>5770.76</v>
      </c>
      <c r="I1604" s="6">
        <f>ROUND(G1604*NOTAS!$B$3,0)</f>
        <v>25991</v>
      </c>
      <c r="J1604" s="2" t="n">
        <v>4</v>
      </c>
    </row>
    <row r="1605">
      <c r="A1605" s="2" t="inlineStr">
        <is>
          <t>LA-6200-1</t>
        </is>
      </c>
      <c r="B1605" s="2" t="inlineStr"/>
      <c r="C1605" s="2" t="inlineStr">
        <is>
          <t>EMPAQUE BAJANTE CORSA</t>
        </is>
      </c>
      <c r="D1605" s="2" t="inlineStr">
        <is>
          <t>FRACO</t>
        </is>
      </c>
      <c r="E1605" s="3" t="n">
        <v>1</v>
      </c>
      <c r="F1605" s="4" t="n">
        <v>0.3</v>
      </c>
      <c r="G1605" s="5">
        <f>ROUND(E1605*(1+F1605),2)</f>
        <v>1.30</v>
      </c>
      <c r="H1605" s="5">
        <f>ROUND(G1605*NOTAS!$B$2,2)</f>
        <v>937.75</v>
      </c>
      <c r="I1605" s="6">
        <f>ROUND(G1605*NOTAS!$B$3,0)</f>
        <v>4224</v>
      </c>
      <c r="J1605" s="2" t="n">
        <v>13</v>
      </c>
    </row>
    <row r="1606">
      <c r="A1606" s="2" t="inlineStr">
        <is>
          <t>46774747</t>
        </is>
      </c>
      <c r="B1606" s="2" t="inlineStr"/>
      <c r="C1606" s="2" t="inlineStr">
        <is>
          <t>EMPAQUE BAJANTE F-PAL/SIE 1.3 16V FIRE</t>
        </is>
      </c>
      <c r="D1606" s="2" t="inlineStr">
        <is>
          <t>FRACO</t>
        </is>
      </c>
      <c r="E1606" s="3" t="n">
        <v>1.5</v>
      </c>
      <c r="F1606" s="4" t="n">
        <v>0.3</v>
      </c>
      <c r="G1606" s="5">
        <f>ROUND(E1606*(1+F1606),2)</f>
        <v>1.95</v>
      </c>
      <c r="H1606" s="5">
        <f>ROUND(G1606*NOTAS!$B$2,2)</f>
        <v>1406.62</v>
      </c>
      <c r="I1606" s="6">
        <f>ROUND(G1606*NOTAS!$B$3,0)</f>
        <v>6335</v>
      </c>
      <c r="J1606" s="2" t="n">
        <v>8</v>
      </c>
    </row>
    <row r="1607">
      <c r="A1607" s="2" t="inlineStr">
        <is>
          <t>66601851</t>
        </is>
      </c>
      <c r="B1607" s="2" t="inlineStr"/>
      <c r="C1607" s="2" t="inlineStr">
        <is>
          <t>EMPAQUE BAJANTE F-PAL/SIE 1.8</t>
        </is>
      </c>
      <c r="D1607" s="2" t="inlineStr">
        <is>
          <t>FRACO</t>
        </is>
      </c>
      <c r="E1607" s="3" t="n">
        <v>1.64</v>
      </c>
      <c r="F1607" s="4" t="n">
        <v>0.3</v>
      </c>
      <c r="G1607" s="5">
        <f>ROUND(E1607*(1+F1607),2)</f>
        <v>2.13</v>
      </c>
      <c r="H1607" s="5">
        <f>ROUND(G1607*NOTAS!$B$2,2)</f>
        <v>1536.47</v>
      </c>
      <c r="I1607" s="6">
        <f>ROUND(G1607*NOTAS!$B$3,0)</f>
        <v>6920</v>
      </c>
      <c r="J1607" s="2" t="n">
        <v>20</v>
      </c>
    </row>
    <row r="1608">
      <c r="A1608" s="2" t="inlineStr">
        <is>
          <t>7700679861</t>
        </is>
      </c>
      <c r="B1608" s="2" t="inlineStr"/>
      <c r="C1608" s="2" t="inlineStr">
        <is>
          <t>EMPAQUE BAJANTE R-18/FUEGO/21</t>
        </is>
      </c>
      <c r="D1608" s="2" t="inlineStr">
        <is>
          <t>FRACO</t>
        </is>
      </c>
      <c r="E1608" s="3" t="n">
        <v>1.14</v>
      </c>
      <c r="F1608" s="4" t="n">
        <v>0.3</v>
      </c>
      <c r="G1608" s="5">
        <f>ROUND(E1608*(1+F1608),2)</f>
        <v>1.48</v>
      </c>
      <c r="H1608" s="5">
        <f>ROUND(G1608*NOTAS!$B$2,2)</f>
        <v>1067.59</v>
      </c>
      <c r="I1608" s="6">
        <f>ROUND(G1608*NOTAS!$B$3,0)</f>
        <v>4808</v>
      </c>
      <c r="J1608" s="2" t="n">
        <v>2</v>
      </c>
    </row>
    <row r="1609">
      <c r="A1609" s="2" t="inlineStr">
        <is>
          <t>1696</t>
        </is>
      </c>
      <c r="B1609" s="2" t="inlineStr"/>
      <c r="C1609" s="2" t="inlineStr">
        <is>
          <t>EMPAQUE BAJANTE R-LOGAN</t>
        </is>
      </c>
      <c r="D1609" s="2" t="inlineStr"/>
      <c r="E1609" s="3" t="n">
        <v>3</v>
      </c>
      <c r="F1609" s="4" t="n">
        <v>0.3</v>
      </c>
      <c r="G1609" s="5">
        <f>ROUND(E1609*(1+F1609),2)</f>
        <v>3.90</v>
      </c>
      <c r="H1609" s="5">
        <f>ROUND(G1609*NOTAS!$B$2,2)</f>
        <v>2813.25</v>
      </c>
      <c r="I1609" s="6">
        <f>ROUND(G1609*NOTAS!$B$3,0)</f>
        <v>12671</v>
      </c>
      <c r="J1609" s="2" t="n">
        <v>2</v>
      </c>
    </row>
    <row r="1610">
      <c r="A1610" s="2" t="inlineStr">
        <is>
          <t>96378802</t>
        </is>
      </c>
      <c r="B1610" s="2" t="inlineStr"/>
      <c r="C1610" s="2" t="inlineStr">
        <is>
          <t>EMPAQUE CAMARA AVEO 1.6 1 HUECO METAL</t>
        </is>
      </c>
      <c r="D1610" s="2" t="inlineStr">
        <is>
          <t>DYG</t>
        </is>
      </c>
      <c r="E1610" s="3" t="n">
        <v>7</v>
      </c>
      <c r="F1610" s="4" t="n">
        <v>0.3</v>
      </c>
      <c r="G1610" s="5">
        <f>ROUND(E1610*(1+F1610),2)</f>
        <v>9.10</v>
      </c>
      <c r="H1610" s="5">
        <f>ROUND(G1610*NOTAS!$B$2,2)</f>
        <v>6564.24</v>
      </c>
      <c r="I1610" s="6">
        <f>ROUND(G1610*NOTAS!$B$3,0)</f>
        <v>29565</v>
      </c>
      <c r="J1610" s="2" t="n">
        <v>3</v>
      </c>
    </row>
    <row r="1611">
      <c r="A1611" s="2" t="inlineStr">
        <is>
          <t>96378802-1</t>
        </is>
      </c>
      <c r="B1611" s="2" t="inlineStr"/>
      <c r="C1611" s="2" t="inlineStr">
        <is>
          <t>EMPAQUE CAMARA AVEO 1.6 1 HUECO METAL</t>
        </is>
      </c>
      <c r="D1611" s="2" t="inlineStr">
        <is>
          <t>ANAM</t>
        </is>
      </c>
      <c r="E1611" s="3" t="n">
        <v>7</v>
      </c>
      <c r="F1611" s="4" t="n">
        <v>0.3</v>
      </c>
      <c r="G1611" s="5">
        <f>ROUND(E1611*(1+F1611),2)</f>
        <v>9.10</v>
      </c>
      <c r="H1611" s="5">
        <f>ROUND(G1611*NOTAS!$B$2,2)</f>
        <v>6564.24</v>
      </c>
      <c r="I1611" s="6">
        <f>ROUND(G1611*NOTAS!$B$3,0)</f>
        <v>29565</v>
      </c>
      <c r="J1611" s="2" t="n">
        <v>1</v>
      </c>
    </row>
    <row r="1612">
      <c r="A1612" s="2" t="inlineStr">
        <is>
          <t>HG-1286-MLS1</t>
        </is>
      </c>
      <c r="B1612" s="2" t="inlineStr"/>
      <c r="C1612" s="2" t="inlineStr">
        <is>
          <t>EMPAQUE CAMARA AVEO 1.6 1 HUECO METAL</t>
        </is>
      </c>
      <c r="D1612" s="2" t="inlineStr">
        <is>
          <t>FRACO</t>
        </is>
      </c>
      <c r="E1612" s="3" t="n">
        <v>3.44</v>
      </c>
      <c r="F1612" s="4" t="n">
        <v>0.3</v>
      </c>
      <c r="G1612" s="5">
        <f>ROUND(E1612*(1+F1612),2)</f>
        <v>4.47</v>
      </c>
      <c r="H1612" s="5">
        <f>ROUND(G1612*NOTAS!$B$2,2)</f>
        <v>3224.41</v>
      </c>
      <c r="I1612" s="6">
        <f>ROUND(G1612*NOTAS!$B$3,0)</f>
        <v>14522</v>
      </c>
      <c r="J1612" s="2" t="n">
        <v>2</v>
      </c>
    </row>
    <row r="1613">
      <c r="A1613" s="2" t="inlineStr">
        <is>
          <t>P96378802</t>
        </is>
      </c>
      <c r="B1613" s="2" t="inlineStr"/>
      <c r="C1613" s="2" t="inlineStr">
        <is>
          <t>EMPAQUE CAMARA AVEO 1.6 1 HUECO METAL</t>
        </is>
      </c>
      <c r="D1613" s="2" t="inlineStr">
        <is>
          <t>PARTS-MALL</t>
        </is>
      </c>
      <c r="E1613" s="3" t="n">
        <v>10</v>
      </c>
      <c r="F1613" s="4" t="n">
        <v>0.3</v>
      </c>
      <c r="G1613" s="5">
        <f>ROUND(E1613*(1+F1613),2)</f>
        <v>13.00</v>
      </c>
      <c r="H1613" s="5">
        <f>ROUND(G1613*NOTAS!$B$2,2)</f>
        <v>9377.49</v>
      </c>
      <c r="I1613" s="6">
        <f>ROUND(G1613*NOTAS!$B$3,0)</f>
        <v>42235</v>
      </c>
      <c r="J1613" s="2" t="n">
        <v>2</v>
      </c>
    </row>
    <row r="1614">
      <c r="A1614" s="2" t="inlineStr">
        <is>
          <t>96378802</t>
        </is>
      </c>
      <c r="B1614" s="2" t="inlineStr"/>
      <c r="C1614" s="2" t="inlineStr">
        <is>
          <t>EMPAQUE CAMARA AVEO 1.6 1 HUECO METAL</t>
        </is>
      </c>
      <c r="D1614" s="2" t="inlineStr">
        <is>
          <t>GM</t>
        </is>
      </c>
      <c r="E1614" s="3" t="n">
        <v>10</v>
      </c>
      <c r="F1614" s="4" t="n">
        <v>0.3</v>
      </c>
      <c r="G1614" s="5">
        <f>ROUND(E1614*(1+F1614),2)</f>
        <v>13.00</v>
      </c>
      <c r="H1614" s="5">
        <f>ROUND(G1614*NOTAS!$B$2,2)</f>
        <v>9377.49</v>
      </c>
      <c r="I1614" s="6">
        <f>ROUND(G1614*NOTAS!$B$3,0)</f>
        <v>42235</v>
      </c>
      <c r="J1614" s="2" t="n">
        <v>3</v>
      </c>
    </row>
    <row r="1615">
      <c r="A1615" s="2" t="inlineStr">
        <is>
          <t>96473400</t>
        </is>
      </c>
      <c r="B1615" s="2" t="inlineStr"/>
      <c r="C1615" s="2" t="inlineStr">
        <is>
          <t xml:space="preserve">EMPAQUE CAMARA AVEO 1.6 2 HUECO </t>
        </is>
      </c>
      <c r="D1615" s="2" t="inlineStr">
        <is>
          <t>NATZUKI</t>
        </is>
      </c>
      <c r="E1615" s="3" t="n">
        <v>4</v>
      </c>
      <c r="F1615" s="4" t="n">
        <v>0.3</v>
      </c>
      <c r="G1615" s="5">
        <f>ROUND(E1615*(1+F1615),2)</f>
        <v>5.20</v>
      </c>
      <c r="H1615" s="5">
        <f>ROUND(G1615*NOTAS!$B$2,2)</f>
        <v>3751.00</v>
      </c>
      <c r="I1615" s="6">
        <f>ROUND(G1615*NOTAS!$B$3,0)</f>
        <v>16894</v>
      </c>
      <c r="J1615" s="2" t="n">
        <v>2</v>
      </c>
    </row>
    <row r="1616">
      <c r="A1616" s="2" t="inlineStr">
        <is>
          <t>82687</t>
        </is>
      </c>
      <c r="B1616" s="2" t="inlineStr"/>
      <c r="C1616" s="2" t="inlineStr">
        <is>
          <t xml:space="preserve">EMPAQUE CAMARA AVEO 1.6 2 HUECO </t>
        </is>
      </c>
      <c r="D1616" s="2" t="inlineStr">
        <is>
          <t>SABO ORIG</t>
        </is>
      </c>
      <c r="E1616" s="3" t="n">
        <v>6.9</v>
      </c>
      <c r="F1616" s="4" t="n">
        <v>0.3</v>
      </c>
      <c r="G1616" s="5">
        <f>ROUND(E1616*(1+F1616),2)</f>
        <v>8.97</v>
      </c>
      <c r="H1616" s="5">
        <f>ROUND(G1616*NOTAS!$B$2,2)</f>
        <v>6470.47</v>
      </c>
      <c r="I1616" s="6">
        <f>ROUND(G1616*NOTAS!$B$3,0)</f>
        <v>29142</v>
      </c>
      <c r="J1616" s="2" t="n">
        <v>3</v>
      </c>
    </row>
    <row r="1617">
      <c r="A1617" s="2" t="inlineStr">
        <is>
          <t>96963220</t>
        </is>
      </c>
      <c r="B1617" s="2" t="inlineStr"/>
      <c r="C1617" s="2" t="inlineStr">
        <is>
          <t>EMPAQUE CAMARA AVEO 1.6 2 HUECO METAL</t>
        </is>
      </c>
      <c r="D1617" s="2" t="inlineStr">
        <is>
          <t>GM</t>
        </is>
      </c>
      <c r="E1617" s="3" t="n">
        <v>10</v>
      </c>
      <c r="F1617" s="4" t="n">
        <v>0.3</v>
      </c>
      <c r="G1617" s="5">
        <f>ROUND(E1617*(1+F1617),2)</f>
        <v>13.00</v>
      </c>
      <c r="H1617" s="5">
        <f>ROUND(G1617*NOTAS!$B$2,2)</f>
        <v>9377.49</v>
      </c>
      <c r="I1617" s="6">
        <f>ROUND(G1617*NOTAS!$B$3,0)</f>
        <v>42235</v>
      </c>
      <c r="J1617" s="2" t="n">
        <v>4</v>
      </c>
    </row>
    <row r="1618">
      <c r="A1618" s="2" t="inlineStr">
        <is>
          <t>HG-1250-SB1</t>
        </is>
      </c>
      <c r="B1618" s="2" t="inlineStr"/>
      <c r="C1618" s="2" t="inlineStr">
        <is>
          <t>EMPAQUE CAMARA CARIBE 2.0</t>
        </is>
      </c>
      <c r="D1618" s="2" t="inlineStr">
        <is>
          <t>FRACO</t>
        </is>
      </c>
      <c r="E1618" s="3" t="n">
        <v>5</v>
      </c>
      <c r="F1618" s="4" t="n">
        <v>0.3</v>
      </c>
      <c r="G1618" s="5">
        <f>ROUND(E1618*(1+F1618),2)</f>
        <v>6.50</v>
      </c>
      <c r="H1618" s="5">
        <f>ROUND(G1618*NOTAS!$B$2,2)</f>
        <v>4688.75</v>
      </c>
      <c r="I1618" s="6">
        <f>ROUND(G1618*NOTAS!$B$3,0)</f>
        <v>21118</v>
      </c>
      <c r="J1618" s="2" t="n">
        <v>3</v>
      </c>
    </row>
    <row r="1619">
      <c r="A1619" s="2" t="inlineStr">
        <is>
          <t>HG-1292-SB1</t>
        </is>
      </c>
      <c r="B1619" s="2" t="inlineStr"/>
      <c r="C1619" s="2" t="inlineStr">
        <is>
          <t>EMPAQUE CAMARA CARIBE 2.6</t>
        </is>
      </c>
      <c r="D1619" s="2" t="inlineStr">
        <is>
          <t>FRACO</t>
        </is>
      </c>
      <c r="E1619" s="3" t="n">
        <v>6</v>
      </c>
      <c r="F1619" s="4" t="n">
        <v>0.3</v>
      </c>
      <c r="G1619" s="5">
        <f>ROUND(E1619*(1+F1619),2)</f>
        <v>7.80</v>
      </c>
      <c r="H1619" s="5">
        <f>ROUND(G1619*NOTAS!$B$2,2)</f>
        <v>5626.50</v>
      </c>
      <c r="I1619" s="6">
        <f>ROUND(G1619*NOTAS!$B$3,0)</f>
        <v>25341</v>
      </c>
      <c r="J1619" s="2" t="n">
        <v>4</v>
      </c>
    </row>
    <row r="1620">
      <c r="A1620" s="2" t="inlineStr">
        <is>
          <t>8304-PS1</t>
        </is>
      </c>
      <c r="B1620" s="2" t="inlineStr"/>
      <c r="C1620" s="2" t="inlineStr">
        <is>
          <t>EMPAQUE CAMARA CARIBE 2.6</t>
        </is>
      </c>
      <c r="D1620" s="2" t="inlineStr">
        <is>
          <t>FRAVEN</t>
        </is>
      </c>
      <c r="E1620" s="3" t="n">
        <v>5</v>
      </c>
      <c r="F1620" s="4" t="n">
        <v>0.3</v>
      </c>
      <c r="G1620" s="5">
        <f>ROUND(E1620*(1+F1620),2)</f>
        <v>6.50</v>
      </c>
      <c r="H1620" s="5">
        <f>ROUND(G1620*NOTAS!$B$2,2)</f>
        <v>4688.75</v>
      </c>
      <c r="I1620" s="6">
        <f>ROUND(G1620*NOTAS!$B$3,0)</f>
        <v>21118</v>
      </c>
      <c r="J1620" s="2" t="n">
        <v>3</v>
      </c>
    </row>
    <row r="1621">
      <c r="A1621" s="2" t="inlineStr">
        <is>
          <t>3040001-SB</t>
        </is>
      </c>
      <c r="B1621" s="2" t="inlineStr"/>
      <c r="C1621" s="2" t="inlineStr">
        <is>
          <t>EMPAQUE CAMARA CHEVETTE</t>
        </is>
      </c>
      <c r="D1621" s="2" t="inlineStr">
        <is>
          <t>FRACO</t>
        </is>
      </c>
      <c r="E1621" s="3" t="n">
        <v>5</v>
      </c>
      <c r="F1621" s="4" t="n">
        <v>0.3</v>
      </c>
      <c r="G1621" s="5">
        <f>ROUND(E1621*(1+F1621),2)</f>
        <v>6.50</v>
      </c>
      <c r="H1621" s="5">
        <f>ROUND(G1621*NOTAS!$B$2,2)</f>
        <v>4688.75</v>
      </c>
      <c r="I1621" s="6">
        <f>ROUND(G1621*NOTAS!$B$3,0)</f>
        <v>21118</v>
      </c>
      <c r="J1621" s="2" t="n">
        <v>1</v>
      </c>
    </row>
    <row r="1622">
      <c r="A1622" s="2" t="inlineStr">
        <is>
          <t>200,075-VC</t>
        </is>
      </c>
      <c r="B1622" s="2" t="inlineStr"/>
      <c r="C1622" s="2" t="inlineStr">
        <is>
          <t>EMPAQUE CAMARA CHEVETTE</t>
        </is>
      </c>
      <c r="D1622" s="2" t="inlineStr">
        <is>
          <t>CORTIRIS</t>
        </is>
      </c>
      <c r="E1622" s="3" t="n">
        <v>5</v>
      </c>
      <c r="F1622" s="4" t="n">
        <v>0.3</v>
      </c>
      <c r="G1622" s="5">
        <f>ROUND(E1622*(1+F1622),2)</f>
        <v>6.50</v>
      </c>
      <c r="H1622" s="5">
        <f>ROUND(G1622*NOTAS!$B$2,2)</f>
        <v>4688.75</v>
      </c>
      <c r="I1622" s="6">
        <f>ROUND(G1622*NOTAS!$B$3,0)</f>
        <v>21118</v>
      </c>
      <c r="J1622" s="2" t="n">
        <v>7</v>
      </c>
    </row>
    <row r="1623">
      <c r="A1623" s="2" t="inlineStr">
        <is>
          <t>8081316</t>
        </is>
      </c>
      <c r="B1623" s="2" t="inlineStr"/>
      <c r="C1623" s="2" t="inlineStr">
        <is>
          <t>EMPAQUE CAMARA CORCEL</t>
        </is>
      </c>
      <c r="D1623" s="2" t="inlineStr">
        <is>
          <t>EMASA</t>
        </is>
      </c>
      <c r="E1623" s="3" t="n">
        <v>2.54</v>
      </c>
      <c r="F1623" s="4" t="n">
        <v>0.3</v>
      </c>
      <c r="G1623" s="5">
        <f>ROUND(E1623*(1+F1623),2)</f>
        <v>3.30</v>
      </c>
      <c r="H1623" s="5">
        <f>ROUND(G1623*NOTAS!$B$2,2)</f>
        <v>2380.44</v>
      </c>
      <c r="I1623" s="6">
        <f>ROUND(G1623*NOTAS!$B$3,0)</f>
        <v>10721</v>
      </c>
      <c r="J1623" s="2" t="n">
        <v>3</v>
      </c>
    </row>
    <row r="1624">
      <c r="A1624" s="2" t="inlineStr">
        <is>
          <t>82233</t>
        </is>
      </c>
      <c r="B1624" s="2" t="inlineStr"/>
      <c r="C1624" s="2" t="inlineStr">
        <is>
          <t>EMPAQUE CAMARA CORSA 1.3/1.4</t>
        </is>
      </c>
      <c r="D1624" s="2" t="inlineStr">
        <is>
          <t>SABO ORIG</t>
        </is>
      </c>
      <c r="E1624" s="3" t="n">
        <v>8</v>
      </c>
      <c r="F1624" s="4" t="n">
        <v>0.3</v>
      </c>
      <c r="G1624" s="5">
        <f>ROUND(E1624*(1+F1624),2)</f>
        <v>10.40</v>
      </c>
      <c r="H1624" s="5">
        <f>ROUND(G1624*NOTAS!$B$2,2)</f>
        <v>7501.99</v>
      </c>
      <c r="I1624" s="6">
        <f>ROUND(G1624*NOTAS!$B$3,0)</f>
        <v>33788</v>
      </c>
      <c r="J1624" s="2" t="n">
        <v>6</v>
      </c>
    </row>
    <row r="1625">
      <c r="A1625" s="2" t="inlineStr">
        <is>
          <t>WR5038</t>
        </is>
      </c>
      <c r="B1625" s="2" t="inlineStr"/>
      <c r="C1625" s="2" t="inlineStr">
        <is>
          <t>EMPAQUE CAMARA CORSA 1.6</t>
        </is>
      </c>
      <c r="D1625" s="2" t="inlineStr">
        <is>
          <t>W ROSSI</t>
        </is>
      </c>
      <c r="E1625" s="3" t="n">
        <v>4</v>
      </c>
      <c r="F1625" s="4" t="n">
        <v>0.3</v>
      </c>
      <c r="G1625" s="5">
        <f>ROUND(E1625*(1+F1625),2)</f>
        <v>5.20</v>
      </c>
      <c r="H1625" s="5">
        <f>ROUND(G1625*NOTAS!$B$2,2)</f>
        <v>3751.00</v>
      </c>
      <c r="I1625" s="6">
        <f>ROUND(G1625*NOTAS!$B$3,0)</f>
        <v>16894</v>
      </c>
      <c r="J1625" s="2" t="n">
        <v>2</v>
      </c>
    </row>
    <row r="1626">
      <c r="A1626" s="2" t="inlineStr">
        <is>
          <t>82234</t>
        </is>
      </c>
      <c r="B1626" s="2" t="inlineStr"/>
      <c r="C1626" s="2" t="inlineStr">
        <is>
          <t>EMPAQUE CAMARA CORSA 1.6</t>
        </is>
      </c>
      <c r="D1626" s="2" t="inlineStr">
        <is>
          <t>SABO ORIG</t>
        </is>
      </c>
      <c r="E1626" s="3" t="n">
        <v>7</v>
      </c>
      <c r="F1626" s="4" t="n">
        <v>0.3</v>
      </c>
      <c r="G1626" s="5">
        <f>ROUND(E1626*(1+F1626),2)</f>
        <v>9.10</v>
      </c>
      <c r="H1626" s="5">
        <f>ROUND(G1626*NOTAS!$B$2,2)</f>
        <v>6564.24</v>
      </c>
      <c r="I1626" s="6">
        <f>ROUND(G1626*NOTAS!$B$3,0)</f>
        <v>29565</v>
      </c>
      <c r="J1626" s="2" t="n">
        <v>15</v>
      </c>
    </row>
    <row r="1627">
      <c r="A1627" s="2" t="inlineStr">
        <is>
          <t>10.903-SC</t>
        </is>
      </c>
      <c r="B1627" s="2" t="inlineStr"/>
      <c r="C1627" s="2" t="inlineStr">
        <is>
          <t>EMPAQUE CAMARA CORSA 1.6</t>
        </is>
      </c>
      <c r="D1627" s="2" t="inlineStr">
        <is>
          <t>SPAAL</t>
        </is>
      </c>
      <c r="E1627" s="3" t="n">
        <v>5</v>
      </c>
      <c r="F1627" s="4" t="n">
        <v>0.3</v>
      </c>
      <c r="G1627" s="5">
        <f>ROUND(E1627*(1+F1627),2)</f>
        <v>6.50</v>
      </c>
      <c r="H1627" s="5">
        <f>ROUND(G1627*NOTAS!$B$2,2)</f>
        <v>4688.75</v>
      </c>
      <c r="I1627" s="6">
        <f>ROUND(G1627*NOTAS!$B$3,0)</f>
        <v>21118</v>
      </c>
      <c r="J1627" s="2" t="n">
        <v>2</v>
      </c>
    </row>
    <row r="1628">
      <c r="A1628" s="2" t="inlineStr">
        <is>
          <t>4119355</t>
        </is>
      </c>
      <c r="B1628" s="2" t="inlineStr">
        <is>
          <t>1S7Z6051AA</t>
        </is>
      </c>
      <c r="C1628" s="2" t="inlineStr">
        <is>
          <t>EMPAQUE CAMARA ECOSPORT/FOCUS 2,0 LATA</t>
        </is>
      </c>
      <c r="D1628" s="2" t="inlineStr">
        <is>
          <t>FORD</t>
        </is>
      </c>
      <c r="E1628" s="3" t="n">
        <v>40</v>
      </c>
      <c r="F1628" s="4" t="n">
        <v>0.3</v>
      </c>
      <c r="G1628" s="5">
        <f>ROUND(E1628*(1+F1628),2)</f>
        <v>52.00</v>
      </c>
      <c r="H1628" s="5">
        <f>ROUND(G1628*NOTAS!$B$2,2)</f>
        <v>37509.97</v>
      </c>
      <c r="I1628" s="6">
        <f>ROUND(G1628*NOTAS!$B$3,0)</f>
        <v>168941</v>
      </c>
      <c r="J1628" s="2" t="n">
        <v>3</v>
      </c>
    </row>
    <row r="1629">
      <c r="A1629" s="2" t="inlineStr">
        <is>
          <t>B301-10-271</t>
        </is>
      </c>
      <c r="B1629" s="2" t="inlineStr"/>
      <c r="C1629" s="2" t="inlineStr">
        <is>
          <t>EMPAQUE CAMARA FESTIVA</t>
        </is>
      </c>
      <c r="D1629" s="2" t="inlineStr">
        <is>
          <t>TOKEI</t>
        </is>
      </c>
      <c r="E1629" s="3" t="n">
        <v>7</v>
      </c>
      <c r="F1629" s="4" t="n">
        <v>0.3</v>
      </c>
      <c r="G1629" s="5">
        <f>ROUND(E1629*(1+F1629),2)</f>
        <v>9.10</v>
      </c>
      <c r="H1629" s="5">
        <f>ROUND(G1629*NOTAS!$B$2,2)</f>
        <v>6564.24</v>
      </c>
      <c r="I1629" s="6">
        <f>ROUND(G1629*NOTAS!$B$3,0)</f>
        <v>29565</v>
      </c>
      <c r="J1629" s="2" t="n">
        <v>4</v>
      </c>
    </row>
    <row r="1630">
      <c r="A1630" s="2" t="inlineStr">
        <is>
          <t>10001-XS6E6051BFG</t>
        </is>
      </c>
      <c r="B1630" s="2" t="inlineStr"/>
      <c r="C1630" s="2" t="inlineStr">
        <is>
          <t>EMPAQUE CAMARA FIESTA/KA 1.6</t>
        </is>
      </c>
      <c r="D1630" s="2" t="inlineStr">
        <is>
          <t>CNBF</t>
        </is>
      </c>
      <c r="E1630" s="3" t="n">
        <v>6</v>
      </c>
      <c r="F1630" s="4" t="n">
        <v>0.3</v>
      </c>
      <c r="G1630" s="5">
        <f>ROUND(E1630*(1+F1630),2)</f>
        <v>7.80</v>
      </c>
      <c r="H1630" s="5">
        <f>ROUND(G1630*NOTAS!$B$2,2)</f>
        <v>5626.50</v>
      </c>
      <c r="I1630" s="6">
        <f>ROUND(G1630*NOTAS!$B$3,0)</f>
        <v>25341</v>
      </c>
      <c r="J1630" s="2" t="n">
        <v>4</v>
      </c>
    </row>
    <row r="1631">
      <c r="A1631" s="2" t="inlineStr">
        <is>
          <t>900261</t>
        </is>
      </c>
      <c r="B1631" s="2" t="inlineStr">
        <is>
          <t>XS6E6051BF</t>
        </is>
      </c>
      <c r="C1631" s="2" t="inlineStr">
        <is>
          <t>EMPAQUE CAMARA FIESTA/KA 1.6 LATA</t>
        </is>
      </c>
      <c r="D1631" s="2" t="inlineStr">
        <is>
          <t>FORD</t>
        </is>
      </c>
      <c r="E1631" s="3" t="n">
        <v>20</v>
      </c>
      <c r="F1631" s="4" t="n">
        <v>0.3</v>
      </c>
      <c r="G1631" s="5">
        <f>ROUND(E1631*(1+F1631),2)</f>
        <v>26.00</v>
      </c>
      <c r="H1631" s="5">
        <f>ROUND(G1631*NOTAS!$B$2,2)</f>
        <v>18754.99</v>
      </c>
      <c r="I1631" s="6">
        <f>ROUND(G1631*NOTAS!$B$3,0)</f>
        <v>84471</v>
      </c>
      <c r="J1631" s="2" t="n">
        <v>10</v>
      </c>
    </row>
    <row r="1632">
      <c r="A1632" s="2" t="inlineStr">
        <is>
          <t>82268FLEX</t>
        </is>
      </c>
      <c r="B1632" s="2" t="inlineStr"/>
      <c r="C1632" s="2" t="inlineStr">
        <is>
          <t xml:space="preserve">EMPAQUE CAMARA F-PAL/SIE 1.3 16V FIRE </t>
        </is>
      </c>
      <c r="D1632" s="2" t="inlineStr">
        <is>
          <t>SABO ORIG</t>
        </is>
      </c>
      <c r="E1632" s="3" t="n">
        <v>10.84</v>
      </c>
      <c r="F1632" s="4" t="n">
        <v>0.3</v>
      </c>
      <c r="G1632" s="5">
        <f>ROUND(E1632*(1+F1632),2)</f>
        <v>14.09</v>
      </c>
      <c r="H1632" s="5">
        <f>ROUND(G1632*NOTAS!$B$2,2)</f>
        <v>10163.76</v>
      </c>
      <c r="I1632" s="6">
        <f>ROUND(G1632*NOTAS!$B$3,0)</f>
        <v>45777</v>
      </c>
      <c r="J1632" s="2" t="n">
        <v>0</v>
      </c>
    </row>
    <row r="1633">
      <c r="A1633" s="2" t="inlineStr">
        <is>
          <t>GY-FI-047</t>
        </is>
      </c>
      <c r="B1633" s="2" t="inlineStr">
        <is>
          <t>7081991</t>
        </is>
      </c>
      <c r="C1633" s="2" t="inlineStr">
        <is>
          <t xml:space="preserve">EMPAQUE CAMARA F-PAL/SIE 1.3 16V FIRE </t>
        </is>
      </c>
      <c r="D1633" s="2" t="inlineStr">
        <is>
          <t>GYA</t>
        </is>
      </c>
      <c r="E1633" s="3" t="n">
        <v>3.21</v>
      </c>
      <c r="F1633" s="4" t="n">
        <v>0.3</v>
      </c>
      <c r="G1633" s="5">
        <f>ROUND(E1633*(1+F1633),2)</f>
        <v>4.17</v>
      </c>
      <c r="H1633" s="5">
        <f>ROUND(G1633*NOTAS!$B$2,2)</f>
        <v>3008.01</v>
      </c>
      <c r="I1633" s="6">
        <f>ROUND(G1633*NOTAS!$B$3,0)</f>
        <v>13548</v>
      </c>
      <c r="J1633" s="2" t="n">
        <v>1</v>
      </c>
    </row>
    <row r="1634">
      <c r="A1634" s="2" t="inlineStr">
        <is>
          <t>55189951</t>
        </is>
      </c>
      <c r="B1634" s="2" t="inlineStr"/>
      <c r="C1634" s="2" t="inlineStr">
        <is>
          <t>EMPAQUE CAMARA F-PAL/SIE 1.3 16V FIRE LATA</t>
        </is>
      </c>
      <c r="D1634" s="2" t="inlineStr">
        <is>
          <t>FIAT</t>
        </is>
      </c>
      <c r="E1634" s="3" t="n">
        <v>6</v>
      </c>
      <c r="F1634" s="4" t="n">
        <v>0.3</v>
      </c>
      <c r="G1634" s="5">
        <f>ROUND(E1634*(1+F1634),2)</f>
        <v>7.80</v>
      </c>
      <c r="H1634" s="5">
        <f>ROUND(G1634*NOTAS!$B$2,2)</f>
        <v>5626.50</v>
      </c>
      <c r="I1634" s="6">
        <f>ROUND(G1634*NOTAS!$B$3,0)</f>
        <v>25341</v>
      </c>
      <c r="J1634" s="2" t="n">
        <v>2</v>
      </c>
    </row>
    <row r="1635">
      <c r="A1635" s="2" t="inlineStr">
        <is>
          <t>TC-726-MG</t>
        </is>
      </c>
      <c r="B1635" s="2" t="inlineStr"/>
      <c r="C1635" s="2" t="inlineStr">
        <is>
          <t>EMPAQUE CAMARA F-PAL/SIE 1.3 16V FIRE LATA</t>
        </is>
      </c>
      <c r="D1635" s="2" t="inlineStr">
        <is>
          <t>ILLINOIS</t>
        </is>
      </c>
      <c r="E1635" s="3" t="n">
        <v>6</v>
      </c>
      <c r="F1635" s="4" t="n">
        <v>0.3</v>
      </c>
      <c r="G1635" s="5">
        <f>ROUND(E1635*(1+F1635),2)</f>
        <v>7.80</v>
      </c>
      <c r="H1635" s="5">
        <f>ROUND(G1635*NOTAS!$B$2,2)</f>
        <v>5626.50</v>
      </c>
      <c r="I1635" s="6">
        <f>ROUND(G1635*NOTAS!$B$3,0)</f>
        <v>25341</v>
      </c>
      <c r="J1635" s="2" t="n">
        <v>2</v>
      </c>
    </row>
    <row r="1636">
      <c r="A1636" s="2" t="inlineStr">
        <is>
          <t>CH50025TG</t>
        </is>
      </c>
      <c r="B1636" s="2" t="inlineStr"/>
      <c r="C1636" s="2" t="inlineStr">
        <is>
          <t>EMPAQUE CAMARA F-PAL/SIE 1.6 16V</t>
        </is>
      </c>
      <c r="D1636" s="2" t="inlineStr">
        <is>
          <t>NOVA</t>
        </is>
      </c>
      <c r="E1636" s="3" t="n">
        <v>5</v>
      </c>
      <c r="F1636" s="4" t="n">
        <v>0.3</v>
      </c>
      <c r="G1636" s="5">
        <f>ROUND(E1636*(1+F1636),2)</f>
        <v>6.50</v>
      </c>
      <c r="H1636" s="5">
        <f>ROUND(G1636*NOTAS!$B$2,2)</f>
        <v>4688.75</v>
      </c>
      <c r="I1636" s="6">
        <f>ROUND(G1636*NOTAS!$B$3,0)</f>
        <v>21118</v>
      </c>
      <c r="J1636" s="2" t="n">
        <v>1</v>
      </c>
    </row>
    <row r="1637">
      <c r="A1637" s="2" t="inlineStr">
        <is>
          <t>HG-2108-SB</t>
        </is>
      </c>
      <c r="B1637" s="2" t="inlineStr"/>
      <c r="C1637" s="2" t="inlineStr">
        <is>
          <t>EMPAQUE CAMARA F-PAL/SIE 1.6 16V</t>
        </is>
      </c>
      <c r="D1637" s="2" t="inlineStr">
        <is>
          <t>FRACO</t>
        </is>
      </c>
      <c r="E1637" s="3" t="n">
        <v>5</v>
      </c>
      <c r="F1637" s="4" t="n">
        <v>0.3</v>
      </c>
      <c r="G1637" s="5">
        <f>ROUND(E1637*(1+F1637),2)</f>
        <v>6.50</v>
      </c>
      <c r="H1637" s="5">
        <f>ROUND(G1637*NOTAS!$B$2,2)</f>
        <v>4688.75</v>
      </c>
      <c r="I1637" s="6">
        <f>ROUND(G1637*NOTAS!$B$3,0)</f>
        <v>21118</v>
      </c>
      <c r="J1637" s="2" t="n">
        <v>5</v>
      </c>
    </row>
    <row r="1638">
      <c r="A1638" s="2" t="inlineStr">
        <is>
          <t>CH50015TE</t>
        </is>
      </c>
      <c r="B1638" s="2" t="inlineStr"/>
      <c r="C1638" s="2" t="inlineStr">
        <is>
          <t>EMPAQUE CAMARA F-PREMIO 1.5</t>
        </is>
      </c>
      <c r="D1638" s="2" t="inlineStr">
        <is>
          <t>NOVA</t>
        </is>
      </c>
      <c r="E1638" s="3" t="n">
        <v>5</v>
      </c>
      <c r="F1638" s="4" t="n">
        <v>0.3</v>
      </c>
      <c r="G1638" s="5">
        <f>ROUND(E1638*(1+F1638),2)</f>
        <v>6.50</v>
      </c>
      <c r="H1638" s="5">
        <f>ROUND(G1638*NOTAS!$B$2,2)</f>
        <v>4688.75</v>
      </c>
      <c r="I1638" s="6">
        <f>ROUND(G1638*NOTAS!$B$3,0)</f>
        <v>21118</v>
      </c>
      <c r="J1638" s="2" t="n">
        <v>7</v>
      </c>
    </row>
    <row r="1639">
      <c r="A1639" s="2" t="inlineStr">
        <is>
          <t>250605</t>
        </is>
      </c>
      <c r="B1639" s="2" t="inlineStr"/>
      <c r="C1639" s="2" t="inlineStr">
        <is>
          <t>EMPAQUE CAMARA F-PREMIO 1.5/REGATA AUT</t>
        </is>
      </c>
      <c r="D1639" s="2" t="inlineStr">
        <is>
          <t>TARANTO</t>
        </is>
      </c>
      <c r="E1639" s="3" t="n">
        <v>5</v>
      </c>
      <c r="F1639" s="4" t="n">
        <v>0.3</v>
      </c>
      <c r="G1639" s="5">
        <f>ROUND(E1639*(1+F1639),2)</f>
        <v>6.50</v>
      </c>
      <c r="H1639" s="5">
        <f>ROUND(G1639*NOTAS!$B$2,2)</f>
        <v>4688.75</v>
      </c>
      <c r="I1639" s="6">
        <f>ROUND(G1639*NOTAS!$B$3,0)</f>
        <v>21118</v>
      </c>
      <c r="J1639" s="2" t="n">
        <v>3</v>
      </c>
    </row>
    <row r="1640">
      <c r="A1640" s="2" t="inlineStr">
        <is>
          <t>GY-FI-013-C</t>
        </is>
      </c>
      <c r="B1640" s="2" t="inlineStr">
        <is>
          <t>80232</t>
        </is>
      </c>
      <c r="C1640" s="2" t="inlineStr">
        <is>
          <t xml:space="preserve">EMPAQUE CAMARA F-UNO FIRE/PALIO/SIENA 1.4 8V </t>
        </is>
      </c>
      <c r="D1640" s="2" t="inlineStr">
        <is>
          <t>GYA</t>
        </is>
      </c>
      <c r="E1640" s="3" t="n">
        <v>3.61</v>
      </c>
      <c r="F1640" s="4" t="n">
        <v>0.3</v>
      </c>
      <c r="G1640" s="5">
        <f>ROUND(E1640*(1+F1640),2)</f>
        <v>4.69</v>
      </c>
      <c r="H1640" s="5">
        <f>ROUND(G1640*NOTAS!$B$2,2)</f>
        <v>3383.11</v>
      </c>
      <c r="I1640" s="6">
        <f>ROUND(G1640*NOTAS!$B$3,0)</f>
        <v>15237</v>
      </c>
      <c r="J1640" s="2" t="n">
        <v>1</v>
      </c>
    </row>
    <row r="1641">
      <c r="A1641" s="2" t="inlineStr">
        <is>
          <t>55190882</t>
        </is>
      </c>
      <c r="B1641" s="2" t="inlineStr"/>
      <c r="C1641" s="2" t="inlineStr">
        <is>
          <t xml:space="preserve">EMPAQUE CAMARA F-UNO FIRE/PALIO/SIENA 1.4 8V </t>
        </is>
      </c>
      <c r="D1641" s="2" t="inlineStr">
        <is>
          <t>GPC</t>
        </is>
      </c>
      <c r="E1641" s="3" t="n">
        <v>4</v>
      </c>
      <c r="F1641" s="4" t="n">
        <v>0.3</v>
      </c>
      <c r="G1641" s="5">
        <f>ROUND(E1641*(1+F1641),2)</f>
        <v>5.20</v>
      </c>
      <c r="H1641" s="5">
        <f>ROUND(G1641*NOTAS!$B$2,2)</f>
        <v>3751.00</v>
      </c>
      <c r="I1641" s="6">
        <f>ROUND(G1641*NOTAS!$B$3,0)</f>
        <v>16894</v>
      </c>
      <c r="J1641" s="2" t="n">
        <v>1</v>
      </c>
    </row>
    <row r="1642">
      <c r="A1642" s="2" t="inlineStr">
        <is>
          <t>82321FLEX</t>
        </is>
      </c>
      <c r="B1642" s="2" t="inlineStr"/>
      <c r="C1642" s="2" t="inlineStr">
        <is>
          <t xml:space="preserve">EMPAQUE CAMARA F-UNO FIRE/PALIO/SIENA 1.4 8V </t>
        </is>
      </c>
      <c r="D1642" s="2" t="inlineStr">
        <is>
          <t>SABO</t>
        </is>
      </c>
      <c r="E1642" s="3" t="n">
        <v>6</v>
      </c>
      <c r="F1642" s="4" t="n">
        <v>0.3</v>
      </c>
      <c r="G1642" s="5">
        <f>ROUND(E1642*(1+F1642),2)</f>
        <v>7.80</v>
      </c>
      <c r="H1642" s="5">
        <f>ROUND(G1642*NOTAS!$B$2,2)</f>
        <v>5626.50</v>
      </c>
      <c r="I1642" s="6">
        <f>ROUND(G1642*NOTAS!$B$3,0)</f>
        <v>25341</v>
      </c>
      <c r="J1642" s="2" t="n">
        <v>2</v>
      </c>
    </row>
    <row r="1643">
      <c r="A1643" s="2" t="inlineStr">
        <is>
          <t>55190882</t>
        </is>
      </c>
      <c r="B1643" s="2" t="inlineStr"/>
      <c r="C1643" s="2" t="inlineStr">
        <is>
          <t>EMPAQUE CAMARA F-UNO FIRE/PALIO/SIENA 1.4 8V LATA</t>
        </is>
      </c>
      <c r="D1643" s="2" t="inlineStr">
        <is>
          <t>FIAT</t>
        </is>
      </c>
      <c r="E1643" s="3" t="n">
        <v>10</v>
      </c>
      <c r="F1643" s="4" t="n">
        <v>0.3</v>
      </c>
      <c r="G1643" s="5">
        <f>ROUND(E1643*(1+F1643),2)</f>
        <v>13.00</v>
      </c>
      <c r="H1643" s="5">
        <f>ROUND(G1643*NOTAS!$B$2,2)</f>
        <v>9377.49</v>
      </c>
      <c r="I1643" s="6">
        <f>ROUND(G1643*NOTAS!$B$3,0)</f>
        <v>42235</v>
      </c>
      <c r="J1643" s="2" t="n">
        <v>1</v>
      </c>
    </row>
    <row r="1644">
      <c r="A1644" s="2" t="inlineStr">
        <is>
          <t>55190882</t>
        </is>
      </c>
      <c r="B1644" s="2" t="inlineStr"/>
      <c r="C1644" s="2" t="inlineStr">
        <is>
          <t>EMPAQUE CAMARA F-UNO FIRE/PALIO/SIENA 1.4 8V LATA</t>
        </is>
      </c>
      <c r="D1644" s="2" t="inlineStr">
        <is>
          <t>GYA</t>
        </is>
      </c>
      <c r="E1644" s="3" t="n">
        <v>6</v>
      </c>
      <c r="F1644" s="4" t="n">
        <v>0.3</v>
      </c>
      <c r="G1644" s="5">
        <f>ROUND(E1644*(1+F1644),2)</f>
        <v>7.80</v>
      </c>
      <c r="H1644" s="5">
        <f>ROUND(G1644*NOTAS!$B$2,2)</f>
        <v>5626.50</v>
      </c>
      <c r="I1644" s="6">
        <f>ROUND(G1644*NOTAS!$B$3,0)</f>
        <v>25341</v>
      </c>
      <c r="J1644" s="2" t="n">
        <v>1</v>
      </c>
    </row>
    <row r="1645">
      <c r="A1645" s="2" t="inlineStr">
        <is>
          <t>82235</t>
        </is>
      </c>
      <c r="B1645" s="2" t="inlineStr"/>
      <c r="C1645" s="2" t="inlineStr">
        <is>
          <t>EMPAQUE CAMARA F-UNO MEJORADO/PALIO/SIENA 1.3 8V MPI</t>
        </is>
      </c>
      <c r="D1645" s="2" t="inlineStr">
        <is>
          <t>SABO ORIG</t>
        </is>
      </c>
      <c r="E1645" s="3" t="n">
        <v>9</v>
      </c>
      <c r="F1645" s="4" t="n">
        <v>0.3</v>
      </c>
      <c r="G1645" s="5">
        <f>ROUND(E1645*(1+F1645),2)</f>
        <v>11.70</v>
      </c>
      <c r="H1645" s="5">
        <f>ROUND(G1645*NOTAS!$B$2,2)</f>
        <v>8439.74</v>
      </c>
      <c r="I1645" s="6">
        <f>ROUND(G1645*NOTAS!$B$3,0)</f>
        <v>38012</v>
      </c>
      <c r="J1645" s="2" t="n">
        <v>1</v>
      </c>
    </row>
    <row r="1646">
      <c r="A1646" s="2" t="inlineStr">
        <is>
          <t>51001FPSG2</t>
        </is>
      </c>
      <c r="B1646" s="2" t="inlineStr"/>
      <c r="C1646" s="2" t="inlineStr">
        <is>
          <t>EMPAQUE CAMARA F-UNO/147 1.3</t>
        </is>
      </c>
      <c r="D1646" s="2" t="inlineStr">
        <is>
          <t>SABO ORIG</t>
        </is>
      </c>
      <c r="E1646" s="3" t="n">
        <v>8.1</v>
      </c>
      <c r="F1646" s="4" t="n">
        <v>0.3</v>
      </c>
      <c r="G1646" s="5">
        <f>ROUND(E1646*(1+F1646),2)</f>
        <v>10.53</v>
      </c>
      <c r="H1646" s="5">
        <f>ROUND(G1646*NOTAS!$B$2,2)</f>
        <v>7595.77</v>
      </c>
      <c r="I1646" s="6">
        <f>ROUND(G1646*NOTAS!$B$3,0)</f>
        <v>34211</v>
      </c>
      <c r="J1646" s="2" t="n">
        <v>9</v>
      </c>
    </row>
    <row r="1647">
      <c r="A1647" s="2" t="inlineStr">
        <is>
          <t>51501-FPSG</t>
        </is>
      </c>
      <c r="B1647" s="2" t="inlineStr"/>
      <c r="C1647" s="2" t="inlineStr">
        <is>
          <t>EMPAQUE CAMARA F-UNO/PREMIO 1.5</t>
        </is>
      </c>
      <c r="D1647" s="2" t="inlineStr">
        <is>
          <t>SABO ORIG</t>
        </is>
      </c>
      <c r="E1647" s="3" t="n">
        <v>9</v>
      </c>
      <c r="F1647" s="4" t="n">
        <v>0.3</v>
      </c>
      <c r="G1647" s="5">
        <f>ROUND(E1647*(1+F1647),2)</f>
        <v>11.70</v>
      </c>
      <c r="H1647" s="5">
        <f>ROUND(G1647*NOTAS!$B$2,2)</f>
        <v>8439.74</v>
      </c>
      <c r="I1647" s="6">
        <f>ROUND(G1647*NOTAS!$B$3,0)</f>
        <v>38012</v>
      </c>
      <c r="J1647" s="2" t="n">
        <v>2</v>
      </c>
    </row>
    <row r="1648">
      <c r="A1648" s="2" t="inlineStr">
        <is>
          <t>82169</t>
        </is>
      </c>
      <c r="B1648" s="2" t="inlineStr"/>
      <c r="C1648" s="2" t="inlineStr">
        <is>
          <t>EMPAQUE CAMARA F-UNO/PREMIO/SIENA 1.6 8V</t>
        </is>
      </c>
      <c r="D1648" s="2" t="inlineStr">
        <is>
          <t>SABO ORIG</t>
        </is>
      </c>
      <c r="E1648" s="3" t="n">
        <v>9</v>
      </c>
      <c r="F1648" s="4" t="n">
        <v>0.3</v>
      </c>
      <c r="G1648" s="5">
        <f>ROUND(E1648*(1+F1648),2)</f>
        <v>11.70</v>
      </c>
      <c r="H1648" s="5">
        <f>ROUND(G1648*NOTAS!$B$2,2)</f>
        <v>8439.74</v>
      </c>
      <c r="I1648" s="6">
        <f>ROUND(G1648*NOTAS!$B$3,0)</f>
        <v>38012</v>
      </c>
      <c r="J1648" s="2" t="n">
        <v>2</v>
      </c>
    </row>
    <row r="1649">
      <c r="A1649" s="2" t="inlineStr">
        <is>
          <t>22311-22300</t>
        </is>
      </c>
      <c r="B1649" s="2" t="inlineStr">
        <is>
          <t>PGA-A02</t>
        </is>
      </c>
      <c r="C1649" s="2" t="inlineStr">
        <is>
          <t>EMPAQUE CAMARA HYUNDAI ACCENT 1.3/GETZ 1.3</t>
        </is>
      </c>
      <c r="D1649" s="2" t="inlineStr">
        <is>
          <t>PARTS-MALL</t>
        </is>
      </c>
      <c r="E1649" s="3" t="n">
        <v>4</v>
      </c>
      <c r="F1649" s="4" t="n">
        <v>0.3</v>
      </c>
      <c r="G1649" s="5">
        <f>ROUND(E1649*(1+F1649),2)</f>
        <v>5.20</v>
      </c>
      <c r="H1649" s="5">
        <f>ROUND(G1649*NOTAS!$B$2,2)</f>
        <v>3751.00</v>
      </c>
      <c r="I1649" s="6">
        <f>ROUND(G1649*NOTAS!$B$3,0)</f>
        <v>16894</v>
      </c>
      <c r="J1649" s="2" t="n">
        <v>2</v>
      </c>
    </row>
    <row r="1650">
      <c r="A1650" s="2" t="inlineStr">
        <is>
          <t>223112X200</t>
        </is>
      </c>
      <c r="B1650" s="2" t="inlineStr"/>
      <c r="C1650" s="2" t="inlineStr">
        <is>
          <t>EMPAQUE CAMARA KIA RIO 1.5 METAL</t>
        </is>
      </c>
      <c r="D1650" s="2" t="inlineStr">
        <is>
          <t>PARTS-MALL</t>
        </is>
      </c>
      <c r="E1650" s="3" t="n">
        <v>5</v>
      </c>
      <c r="F1650" s="4" t="n">
        <v>0.3</v>
      </c>
      <c r="G1650" s="5">
        <f>ROUND(E1650*(1+F1650),2)</f>
        <v>6.50</v>
      </c>
      <c r="H1650" s="5">
        <f>ROUND(G1650*NOTAS!$B$2,2)</f>
        <v>4688.75</v>
      </c>
      <c r="I1650" s="6">
        <f>ROUND(G1650*NOTAS!$B$3,0)</f>
        <v>21118</v>
      </c>
      <c r="J1650" s="2" t="n">
        <v>2</v>
      </c>
    </row>
    <row r="1651">
      <c r="A1651" s="2" t="inlineStr">
        <is>
          <t>HG-2201-SB1</t>
        </is>
      </c>
      <c r="B1651" s="2" t="inlineStr"/>
      <c r="C1651" s="2" t="inlineStr">
        <is>
          <t>EMPAQUE CAMARA LADA BASICO MOTOR 79 91/94</t>
        </is>
      </c>
      <c r="D1651" s="2" t="inlineStr">
        <is>
          <t>FRACO</t>
        </is>
      </c>
      <c r="E1651" s="3" t="n">
        <v>4</v>
      </c>
      <c r="F1651" s="4" t="n">
        <v>0.3</v>
      </c>
      <c r="G1651" s="5">
        <f>ROUND(E1651*(1+F1651),2)</f>
        <v>5.20</v>
      </c>
      <c r="H1651" s="5">
        <f>ROUND(G1651*NOTAS!$B$2,2)</f>
        <v>3751.00</v>
      </c>
      <c r="I1651" s="6">
        <f>ROUND(G1651*NOTAS!$B$3,0)</f>
        <v>16894</v>
      </c>
      <c r="J1651" s="2" t="n">
        <v>2</v>
      </c>
    </row>
    <row r="1652">
      <c r="A1652" s="2" t="inlineStr">
        <is>
          <t>330497</t>
        </is>
      </c>
      <c r="B1652" s="2" t="inlineStr"/>
      <c r="C1652" s="2" t="inlineStr">
        <is>
          <t>EMPAQUE CAMARA LADA NIVA</t>
        </is>
      </c>
      <c r="D1652" s="2" t="inlineStr">
        <is>
          <t>VICTORY</t>
        </is>
      </c>
      <c r="E1652" s="3" t="n">
        <v>4</v>
      </c>
      <c r="F1652" s="4" t="n">
        <v>0.3</v>
      </c>
      <c r="G1652" s="5">
        <f>ROUND(E1652*(1+F1652),2)</f>
        <v>5.20</v>
      </c>
      <c r="H1652" s="5">
        <f>ROUND(G1652*NOTAS!$B$2,2)</f>
        <v>3751.00</v>
      </c>
      <c r="I1652" s="6">
        <f>ROUND(G1652*NOTAS!$B$3,0)</f>
        <v>16894</v>
      </c>
      <c r="J1652" s="2" t="n">
        <v>1</v>
      </c>
    </row>
    <row r="1653">
      <c r="A1653" s="2" t="inlineStr">
        <is>
          <t>970605</t>
        </is>
      </c>
      <c r="B1653" s="2" t="inlineStr"/>
      <c r="C1653" s="2" t="inlineStr">
        <is>
          <t>EMPAQUE CAMARA LADA NIVA</t>
        </is>
      </c>
      <c r="D1653" s="2" t="inlineStr">
        <is>
          <t>TARANTO</t>
        </is>
      </c>
      <c r="E1653" s="3" t="n">
        <v>5</v>
      </c>
      <c r="F1653" s="4" t="n">
        <v>0.3</v>
      </c>
      <c r="G1653" s="5">
        <f>ROUND(E1653*(1+F1653),2)</f>
        <v>6.50</v>
      </c>
      <c r="H1653" s="5">
        <f>ROUND(G1653*NOTAS!$B$2,2)</f>
        <v>4688.75</v>
      </c>
      <c r="I1653" s="6">
        <f>ROUND(G1653*NOTAS!$B$3,0)</f>
        <v>21118</v>
      </c>
      <c r="J1653" s="2" t="n">
        <v>2</v>
      </c>
    </row>
    <row r="1654">
      <c r="A1654" s="2" t="inlineStr">
        <is>
          <t>HG-1288-MLS1</t>
        </is>
      </c>
      <c r="B1654" s="2" t="inlineStr"/>
      <c r="C1654" s="2" t="inlineStr">
        <is>
          <t>EMPAQUE CAMARA OPTRA DESIGN 1.8 METAL</t>
        </is>
      </c>
      <c r="D1654" s="2" t="inlineStr">
        <is>
          <t>FRACO</t>
        </is>
      </c>
      <c r="E1654" s="3" t="n">
        <v>6</v>
      </c>
      <c r="F1654" s="4" t="n">
        <v>0.3</v>
      </c>
      <c r="G1654" s="5">
        <f>ROUND(E1654*(1+F1654),2)</f>
        <v>7.80</v>
      </c>
      <c r="H1654" s="5">
        <f>ROUND(G1654*NOTAS!$B$2,2)</f>
        <v>5626.50</v>
      </c>
      <c r="I1654" s="6">
        <f>ROUND(G1654*NOTAS!$B$3,0)</f>
        <v>25341</v>
      </c>
      <c r="J1654" s="2" t="n">
        <v>2</v>
      </c>
    </row>
    <row r="1655">
      <c r="A1655" s="2" t="inlineStr">
        <is>
          <t>90411937-A</t>
        </is>
      </c>
      <c r="B1655" s="2" t="inlineStr"/>
      <c r="C1655" s="2" t="inlineStr">
        <is>
          <t>EMPAQUE CAMARA OPTRA LIMITED</t>
        </is>
      </c>
      <c r="D1655" s="2" t="inlineStr">
        <is>
          <t>KOREA</t>
        </is>
      </c>
      <c r="E1655" s="3" t="n">
        <v>5</v>
      </c>
      <c r="F1655" s="4" t="n">
        <v>0.3</v>
      </c>
      <c r="G1655" s="5">
        <f>ROUND(E1655*(1+F1655),2)</f>
        <v>6.50</v>
      </c>
      <c r="H1655" s="5">
        <f>ROUND(G1655*NOTAS!$B$2,2)</f>
        <v>4688.75</v>
      </c>
      <c r="I1655" s="6">
        <f>ROUND(G1655*NOTAS!$B$3,0)</f>
        <v>21118</v>
      </c>
      <c r="J1655" s="2" t="n">
        <v>1</v>
      </c>
    </row>
    <row r="1656">
      <c r="A1656" s="2" t="inlineStr">
        <is>
          <t>92062605</t>
        </is>
      </c>
      <c r="B1656" s="2" t="inlineStr"/>
      <c r="C1656" s="2" t="inlineStr">
        <is>
          <t>EMPAQUE CAMARA OPTRA LIMITED</t>
        </is>
      </c>
      <c r="D1656" s="2" t="inlineStr">
        <is>
          <t>ONNURI</t>
        </is>
      </c>
      <c r="E1656" s="3" t="n">
        <v>5</v>
      </c>
      <c r="F1656" s="4" t="n">
        <v>0.3</v>
      </c>
      <c r="G1656" s="5">
        <f>ROUND(E1656*(1+F1656),2)</f>
        <v>6.50</v>
      </c>
      <c r="H1656" s="5">
        <f>ROUND(G1656*NOTAS!$B$2,2)</f>
        <v>4688.75</v>
      </c>
      <c r="I1656" s="6">
        <f>ROUND(G1656*NOTAS!$B$3,0)</f>
        <v>21118</v>
      </c>
      <c r="J1656" s="2" t="n">
        <v>2</v>
      </c>
    </row>
    <row r="1657">
      <c r="A1657" s="2" t="inlineStr">
        <is>
          <t>481H-1003080</t>
        </is>
      </c>
      <c r="B1657" s="2" t="inlineStr"/>
      <c r="C1657" s="2" t="inlineStr">
        <is>
          <t>EMPAQUE CAMARA ORINOCO TIGGO</t>
        </is>
      </c>
      <c r="D1657" s="2" t="inlineStr">
        <is>
          <t>CHERY</t>
        </is>
      </c>
      <c r="E1657" s="3" t="n">
        <v>4</v>
      </c>
      <c r="F1657" s="4" t="n">
        <v>0.3</v>
      </c>
      <c r="G1657" s="5">
        <f>ROUND(E1657*(1+F1657),2)</f>
        <v>5.20</v>
      </c>
      <c r="H1657" s="5">
        <f>ROUND(G1657*NOTAS!$B$2,2)</f>
        <v>3751.00</v>
      </c>
      <c r="I1657" s="6">
        <f>ROUND(G1657*NOTAS!$B$3,0)</f>
        <v>16894</v>
      </c>
      <c r="J1657" s="2" t="n">
        <v>1</v>
      </c>
    </row>
    <row r="1658">
      <c r="A1658" s="2" t="inlineStr">
        <is>
          <t>GY-RE-003-B</t>
        </is>
      </c>
      <c r="B1658" s="2" t="inlineStr">
        <is>
          <t>33728</t>
        </is>
      </c>
      <c r="C1658" s="2" t="inlineStr">
        <is>
          <t>EMPAQUE CAMARA R-11</t>
        </is>
      </c>
      <c r="D1658" s="2" t="inlineStr">
        <is>
          <t>GYA</t>
        </is>
      </c>
      <c r="E1658" s="3" t="n">
        <v>3.6</v>
      </c>
      <c r="F1658" s="4" t="n">
        <v>0.3</v>
      </c>
      <c r="G1658" s="5">
        <f>ROUND(E1658*(1+F1658),2)</f>
        <v>4.68</v>
      </c>
      <c r="H1658" s="5">
        <f>ROUND(G1658*NOTAS!$B$2,2)</f>
        <v>3375.90</v>
      </c>
      <c r="I1658" s="6">
        <f>ROUND(G1658*NOTAS!$B$3,0)</f>
        <v>15205</v>
      </c>
      <c r="J1658" s="2" t="n">
        <v>2</v>
      </c>
    </row>
    <row r="1659">
      <c r="A1659" s="2" t="inlineStr">
        <is>
          <t>GY-RE-061</t>
        </is>
      </c>
      <c r="B1659" s="2" t="inlineStr">
        <is>
          <t>315718</t>
        </is>
      </c>
      <c r="C1659" s="2" t="inlineStr">
        <is>
          <t>EMPAQUE CAMARA R-19 1.4</t>
        </is>
      </c>
      <c r="D1659" s="2" t="inlineStr">
        <is>
          <t>GYA</t>
        </is>
      </c>
      <c r="E1659" s="3" t="n">
        <v>3.5</v>
      </c>
      <c r="F1659" s="4" t="n">
        <v>0.3</v>
      </c>
      <c r="G1659" s="5">
        <f>ROUND(E1659*(1+F1659),2)</f>
        <v>4.55</v>
      </c>
      <c r="H1659" s="5">
        <f>ROUND(G1659*NOTAS!$B$2,2)</f>
        <v>3282.12</v>
      </c>
      <c r="I1659" s="6">
        <f>ROUND(G1659*NOTAS!$B$3,0)</f>
        <v>14782</v>
      </c>
      <c r="J1659" s="2" t="n">
        <v>0</v>
      </c>
    </row>
    <row r="1660">
      <c r="A1660" s="2" t="inlineStr">
        <is>
          <t>560107</t>
        </is>
      </c>
      <c r="B1660" s="2" t="inlineStr"/>
      <c r="C1660" s="2" t="inlineStr">
        <is>
          <t>EMPAQUE CAMARA R-19 1.7/1.8</t>
        </is>
      </c>
      <c r="D1660" s="2" t="inlineStr">
        <is>
          <t>TARANTO</t>
        </is>
      </c>
      <c r="E1660" s="3" t="n">
        <v>5</v>
      </c>
      <c r="F1660" s="4" t="n">
        <v>0.3</v>
      </c>
      <c r="G1660" s="5">
        <f>ROUND(E1660*(1+F1660),2)</f>
        <v>6.50</v>
      </c>
      <c r="H1660" s="5">
        <f>ROUND(G1660*NOTAS!$B$2,2)</f>
        <v>4688.75</v>
      </c>
      <c r="I1660" s="6">
        <f>ROUND(G1660*NOTAS!$B$3,0)</f>
        <v>21118</v>
      </c>
      <c r="J1660" s="2" t="n">
        <v>2</v>
      </c>
    </row>
    <row r="1661">
      <c r="A1661" s="2" t="inlineStr">
        <is>
          <t>550405</t>
        </is>
      </c>
      <c r="B1661" s="2" t="inlineStr"/>
      <c r="C1661" s="2" t="inlineStr">
        <is>
          <t>EMPAQUE CAMARA R-5 1.3/12</t>
        </is>
      </c>
      <c r="D1661" s="2" t="inlineStr">
        <is>
          <t>TARANTO</t>
        </is>
      </c>
      <c r="E1661" s="3" t="n">
        <v>5</v>
      </c>
      <c r="F1661" s="4" t="n">
        <v>0.3</v>
      </c>
      <c r="G1661" s="5">
        <f>ROUND(E1661*(1+F1661),2)</f>
        <v>6.50</v>
      </c>
      <c r="H1661" s="5">
        <f>ROUND(G1661*NOTAS!$B$2,2)</f>
        <v>4688.75</v>
      </c>
      <c r="I1661" s="6">
        <f>ROUND(G1661*NOTAS!$B$3,0)</f>
        <v>21118</v>
      </c>
      <c r="J1661" s="2" t="n">
        <v>10</v>
      </c>
    </row>
    <row r="1662">
      <c r="A1662" s="2" t="inlineStr">
        <is>
          <t>HG-3100-SB1</t>
        </is>
      </c>
      <c r="B1662" s="2" t="inlineStr"/>
      <c r="C1662" s="2" t="inlineStr">
        <is>
          <t>EMPAQUE CAMARA R-5 1.3/12</t>
        </is>
      </c>
      <c r="D1662" s="2" t="inlineStr">
        <is>
          <t>FRACO</t>
        </is>
      </c>
      <c r="E1662" s="3" t="n">
        <v>4</v>
      </c>
      <c r="F1662" s="4" t="n">
        <v>0.3</v>
      </c>
      <c r="G1662" s="5">
        <f>ROUND(E1662*(1+F1662),2)</f>
        <v>5.20</v>
      </c>
      <c r="H1662" s="5">
        <f>ROUND(G1662*NOTAS!$B$2,2)</f>
        <v>3751.00</v>
      </c>
      <c r="I1662" s="6">
        <f>ROUND(G1662*NOTAS!$B$3,0)</f>
        <v>16894</v>
      </c>
      <c r="J1662" s="2" t="n">
        <v>14</v>
      </c>
    </row>
    <row r="1663">
      <c r="A1663" s="2" t="inlineStr">
        <is>
          <t>580007</t>
        </is>
      </c>
      <c r="B1663" s="2" t="inlineStr"/>
      <c r="C1663" s="2" t="inlineStr">
        <is>
          <t>EMPAQUE CAMARA R-MEGANE II/LAGUNA/SCENIC 2.0</t>
        </is>
      </c>
      <c r="D1663" s="2" t="inlineStr">
        <is>
          <t>TARANTO</t>
        </is>
      </c>
      <c r="E1663" s="3" t="n">
        <v>8</v>
      </c>
      <c r="F1663" s="4" t="n">
        <v>0.3</v>
      </c>
      <c r="G1663" s="5">
        <f>ROUND(E1663*(1+F1663),2)</f>
        <v>10.40</v>
      </c>
      <c r="H1663" s="5">
        <f>ROUND(G1663*NOTAS!$B$2,2)</f>
        <v>7501.99</v>
      </c>
      <c r="I1663" s="6">
        <f>ROUND(G1663*NOTAS!$B$3,0)</f>
        <v>33788</v>
      </c>
      <c r="J1663" s="2" t="n">
        <v>6</v>
      </c>
    </row>
    <row r="1664">
      <c r="A1664" s="2" t="inlineStr">
        <is>
          <t>8200296969</t>
        </is>
      </c>
      <c r="B1664" s="2" t="inlineStr"/>
      <c r="C1664" s="2" t="inlineStr">
        <is>
          <t xml:space="preserve">EMPAQUE CAMARA R-SYMBOL/LOGAN 8V </t>
        </is>
      </c>
      <c r="D1664" s="2" t="inlineStr">
        <is>
          <t>GPC</t>
        </is>
      </c>
      <c r="E1664" s="3" t="n">
        <v>5</v>
      </c>
      <c r="F1664" s="4" t="n">
        <v>0.3</v>
      </c>
      <c r="G1664" s="5">
        <f>ROUND(E1664*(1+F1664),2)</f>
        <v>6.50</v>
      </c>
      <c r="H1664" s="5">
        <f>ROUND(G1664*NOTAS!$B$2,2)</f>
        <v>4688.75</v>
      </c>
      <c r="I1664" s="6">
        <f>ROUND(G1664*NOTAS!$B$3,0)</f>
        <v>21118</v>
      </c>
      <c r="J1664" s="2" t="n">
        <v>1</v>
      </c>
    </row>
    <row r="1665">
      <c r="A1665" s="2" t="inlineStr">
        <is>
          <t>14031001</t>
        </is>
      </c>
      <c r="B1665" s="2" t="inlineStr"/>
      <c r="C1665" s="2" t="inlineStr">
        <is>
          <t>EMPAQUE CAMARA R-SYMBOL/LOGAN 8V 1.6MM</t>
        </is>
      </c>
      <c r="D1665" s="2" t="inlineStr">
        <is>
          <t>TAMAYO</t>
        </is>
      </c>
      <c r="E1665" s="3" t="n">
        <v>6</v>
      </c>
      <c r="F1665" s="4" t="n">
        <v>0.3</v>
      </c>
      <c r="G1665" s="5">
        <f>ROUND(E1665*(1+F1665),2)</f>
        <v>7.80</v>
      </c>
      <c r="H1665" s="5">
        <f>ROUND(G1665*NOTAS!$B$2,2)</f>
        <v>5626.50</v>
      </c>
      <c r="I1665" s="6">
        <f>ROUND(G1665*NOTAS!$B$3,0)</f>
        <v>25341</v>
      </c>
      <c r="J1665" s="2" t="n">
        <v>2</v>
      </c>
    </row>
    <row r="1666">
      <c r="A1666" s="2" t="inlineStr">
        <is>
          <t>14031009</t>
        </is>
      </c>
      <c r="B1666" s="2" t="inlineStr"/>
      <c r="C1666" s="2" t="inlineStr">
        <is>
          <t>EMPAQUE CAMARA R-SYMBOL/LOGAN 8V 2.0MM SOBREMEDIDA</t>
        </is>
      </c>
      <c r="D1666" s="2" t="inlineStr">
        <is>
          <t>TAMAYO</t>
        </is>
      </c>
      <c r="E1666" s="3" t="n">
        <v>8</v>
      </c>
      <c r="F1666" s="4" t="n">
        <v>0.3</v>
      </c>
      <c r="G1666" s="5">
        <f>ROUND(E1666*(1+F1666),2)</f>
        <v>10.40</v>
      </c>
      <c r="H1666" s="5">
        <f>ROUND(G1666*NOTAS!$B$2,2)</f>
        <v>7501.99</v>
      </c>
      <c r="I1666" s="6">
        <f>ROUND(G1666*NOTAS!$B$3,0)</f>
        <v>33788</v>
      </c>
      <c r="J1666" s="2" t="n">
        <v>1</v>
      </c>
    </row>
    <row r="1667">
      <c r="A1667" s="2" t="inlineStr">
        <is>
          <t>10119600</t>
        </is>
      </c>
      <c r="B1667" s="2" t="inlineStr"/>
      <c r="C1667" s="2" t="inlineStr">
        <is>
          <t>EMPAQUE CAMARA R-SYMBOL/MEG METAL</t>
        </is>
      </c>
      <c r="D1667" s="2" t="inlineStr">
        <is>
          <t>AJUSA</t>
        </is>
      </c>
      <c r="E1667" s="3" t="n">
        <v>10</v>
      </c>
      <c r="F1667" s="4" t="n">
        <v>0.3</v>
      </c>
      <c r="G1667" s="5">
        <f>ROUND(E1667*(1+F1667),2)</f>
        <v>13.00</v>
      </c>
      <c r="H1667" s="5">
        <f>ROUND(G1667*NOTAS!$B$2,2)</f>
        <v>9377.49</v>
      </c>
      <c r="I1667" s="6">
        <f>ROUND(G1667*NOTAS!$B$3,0)</f>
        <v>42235</v>
      </c>
      <c r="J1667" s="2" t="n">
        <v>2</v>
      </c>
    </row>
    <row r="1668">
      <c r="A1668" s="2" t="inlineStr">
        <is>
          <t>82320</t>
        </is>
      </c>
      <c r="B1668" s="2" t="inlineStr"/>
      <c r="C1668" s="2" t="inlineStr">
        <is>
          <t>EMPAQUE CAMARA R-SYMBOL/MEGANE 1.6 16V</t>
        </is>
      </c>
      <c r="D1668" s="2" t="inlineStr">
        <is>
          <t>SABO ORIG</t>
        </is>
      </c>
      <c r="E1668" s="3" t="n">
        <v>10.33</v>
      </c>
      <c r="F1668" s="4" t="n">
        <v>0.3</v>
      </c>
      <c r="G1668" s="5">
        <f>ROUND(E1668*(1+F1668),2)</f>
        <v>13.43</v>
      </c>
      <c r="H1668" s="5">
        <f>ROUND(G1668*NOTAS!$B$2,2)</f>
        <v>9687.67</v>
      </c>
      <c r="I1668" s="6">
        <f>ROUND(G1668*NOTAS!$B$3,0)</f>
        <v>43632</v>
      </c>
      <c r="J1668" s="2" t="n">
        <v>6</v>
      </c>
    </row>
    <row r="1669">
      <c r="A1669" s="2" t="inlineStr">
        <is>
          <t>HG-1272-SB3</t>
        </is>
      </c>
      <c r="B1669" s="2" t="inlineStr"/>
      <c r="C1669" s="2" t="inlineStr">
        <is>
          <t>EMPAQUE CAMARA R-TWINGO 1.2 96/99</t>
        </is>
      </c>
      <c r="D1669" s="2" t="inlineStr">
        <is>
          <t>FRACO</t>
        </is>
      </c>
      <c r="E1669" s="3" t="n">
        <v>4</v>
      </c>
      <c r="F1669" s="4" t="n">
        <v>0.3</v>
      </c>
      <c r="G1669" s="5">
        <f>ROUND(E1669*(1+F1669),2)</f>
        <v>5.20</v>
      </c>
      <c r="H1669" s="5">
        <f>ROUND(G1669*NOTAS!$B$2,2)</f>
        <v>3751.00</v>
      </c>
      <c r="I1669" s="6">
        <f>ROUND(G1669*NOTAS!$B$3,0)</f>
        <v>16894</v>
      </c>
      <c r="J1669" s="2" t="n">
        <v>14</v>
      </c>
    </row>
    <row r="1670">
      <c r="A1670" s="2" t="inlineStr">
        <is>
          <t>GY-RE-057-B</t>
        </is>
      </c>
      <c r="B1670" s="2" t="inlineStr">
        <is>
          <t>14011027</t>
        </is>
      </c>
      <c r="C1670" s="2" t="inlineStr">
        <is>
          <t>EMPAQUE CAMARA R-TWINGO 16V</t>
        </is>
      </c>
      <c r="D1670" s="2" t="inlineStr">
        <is>
          <t>GYA</t>
        </is>
      </c>
      <c r="E1670" s="3" t="n">
        <v>3.41</v>
      </c>
      <c r="F1670" s="4" t="n">
        <v>0.3</v>
      </c>
      <c r="G1670" s="5">
        <f>ROUND(E1670*(1+F1670),2)</f>
        <v>4.43</v>
      </c>
      <c r="H1670" s="5">
        <f>ROUND(G1670*NOTAS!$B$2,2)</f>
        <v>3195.56</v>
      </c>
      <c r="I1670" s="6">
        <f>ROUND(G1670*NOTAS!$B$3,0)</f>
        <v>14392</v>
      </c>
      <c r="J1670" s="2" t="n">
        <v>1</v>
      </c>
    </row>
    <row r="1671">
      <c r="A1671" s="2" t="inlineStr">
        <is>
          <t>CH30048MLS</t>
        </is>
      </c>
      <c r="B1671" s="2" t="inlineStr"/>
      <c r="C1671" s="2" t="inlineStr">
        <is>
          <t>EMPAQUE CAMARA R-TWINGO 16V</t>
        </is>
      </c>
      <c r="D1671" s="2" t="inlineStr">
        <is>
          <t>PEVISA</t>
        </is>
      </c>
      <c r="E1671" s="3" t="n">
        <v>6</v>
      </c>
      <c r="F1671" s="4" t="n">
        <v>0.3</v>
      </c>
      <c r="G1671" s="5">
        <f>ROUND(E1671*(1+F1671),2)</f>
        <v>7.80</v>
      </c>
      <c r="H1671" s="5">
        <f>ROUND(G1671*NOTAS!$B$2,2)</f>
        <v>5626.50</v>
      </c>
      <c r="I1671" s="6">
        <f>ROUND(G1671*NOTAS!$B$3,0)</f>
        <v>25341</v>
      </c>
      <c r="J1671" s="2" t="n">
        <v>1</v>
      </c>
    </row>
    <row r="1672">
      <c r="A1672" s="2" t="inlineStr">
        <is>
          <t>GY-RE-060</t>
        </is>
      </c>
      <c r="B1672" s="2" t="inlineStr">
        <is>
          <t>1699</t>
        </is>
      </c>
      <c r="C1672" s="2" t="inlineStr">
        <is>
          <t>EMPAQUE CAMARA R-TWINGO 8V</t>
        </is>
      </c>
      <c r="D1672" s="2" t="inlineStr">
        <is>
          <t>GYA</t>
        </is>
      </c>
      <c r="E1672" s="3" t="n">
        <v>3.41</v>
      </c>
      <c r="F1672" s="4" t="n">
        <v>0.3</v>
      </c>
      <c r="G1672" s="5">
        <f>ROUND(E1672*(1+F1672),2)</f>
        <v>4.43</v>
      </c>
      <c r="H1672" s="5">
        <f>ROUND(G1672*NOTAS!$B$2,2)</f>
        <v>3195.56</v>
      </c>
      <c r="I1672" s="6">
        <f>ROUND(G1672*NOTAS!$B$3,0)</f>
        <v>14392</v>
      </c>
      <c r="J1672" s="2" t="n">
        <v>1</v>
      </c>
    </row>
    <row r="1673">
      <c r="A1673" s="2" t="inlineStr">
        <is>
          <t>570507</t>
        </is>
      </c>
      <c r="B1673" s="2" t="inlineStr"/>
      <c r="C1673" s="2" t="inlineStr">
        <is>
          <t>EMPAQUE CAMARA R-TWINGO 8V</t>
        </is>
      </c>
      <c r="D1673" s="2" t="inlineStr">
        <is>
          <t>TARANTO</t>
        </is>
      </c>
      <c r="E1673" s="3" t="n">
        <v>6</v>
      </c>
      <c r="F1673" s="4" t="n">
        <v>0.3</v>
      </c>
      <c r="G1673" s="5">
        <f>ROUND(E1673*(1+F1673),2)</f>
        <v>7.80</v>
      </c>
      <c r="H1673" s="5">
        <f>ROUND(G1673*NOTAS!$B$2,2)</f>
        <v>5626.50</v>
      </c>
      <c r="I1673" s="6">
        <f>ROUND(G1673*NOTAS!$B$3,0)</f>
        <v>25341</v>
      </c>
      <c r="J1673" s="2" t="n">
        <v>1</v>
      </c>
    </row>
    <row r="1674">
      <c r="A1674" s="2" t="inlineStr">
        <is>
          <t>96325170</t>
        </is>
      </c>
      <c r="B1674" s="2" t="inlineStr"/>
      <c r="C1674" s="2" t="inlineStr">
        <is>
          <t>EMPAQUE CAMARA SPARK</t>
        </is>
      </c>
      <c r="D1674" s="2" t="inlineStr">
        <is>
          <t>GM</t>
        </is>
      </c>
      <c r="E1674" s="3" t="n">
        <v>4</v>
      </c>
      <c r="F1674" s="4" t="n">
        <v>0.3</v>
      </c>
      <c r="G1674" s="5">
        <f>ROUND(E1674*(1+F1674),2)</f>
        <v>5.20</v>
      </c>
      <c r="H1674" s="5">
        <f>ROUND(G1674*NOTAS!$B$2,2)</f>
        <v>3751.00</v>
      </c>
      <c r="I1674" s="6">
        <f>ROUND(G1674*NOTAS!$B$3,0)</f>
        <v>16894</v>
      </c>
      <c r="J1674" s="2" t="n">
        <v>1</v>
      </c>
    </row>
    <row r="1675">
      <c r="A1675" s="2" t="inlineStr">
        <is>
          <t>P96325170</t>
        </is>
      </c>
      <c r="B1675" s="2" t="inlineStr"/>
      <c r="C1675" s="2" t="inlineStr">
        <is>
          <t>EMPAQUE CAMARA SPARK</t>
        </is>
      </c>
      <c r="D1675" s="2" t="inlineStr">
        <is>
          <t>PARTS-MALL</t>
        </is>
      </c>
      <c r="E1675" s="3" t="n">
        <v>5.4</v>
      </c>
      <c r="F1675" s="4" t="n">
        <v>0.3</v>
      </c>
      <c r="G1675" s="5">
        <f>ROUND(E1675*(1+F1675),2)</f>
        <v>7.02</v>
      </c>
      <c r="H1675" s="5">
        <f>ROUND(G1675*NOTAS!$B$2,2)</f>
        <v>5063.85</v>
      </c>
      <c r="I1675" s="6">
        <f>ROUND(G1675*NOTAS!$B$3,0)</f>
        <v>22807</v>
      </c>
      <c r="J1675" s="2" t="n">
        <v>1</v>
      </c>
    </row>
    <row r="1676">
      <c r="A1676" s="2" t="inlineStr">
        <is>
          <t>HG-1296-SB1</t>
        </is>
      </c>
      <c r="B1676" s="2" t="inlineStr"/>
      <c r="C1676" s="2" t="inlineStr">
        <is>
          <t>EMPAQUE CAMARA SWIFT 1.6</t>
        </is>
      </c>
      <c r="D1676" s="2" t="inlineStr">
        <is>
          <t>FRACO</t>
        </is>
      </c>
      <c r="E1676" s="3" t="n">
        <v>6</v>
      </c>
      <c r="F1676" s="4" t="n">
        <v>0.3</v>
      </c>
      <c r="G1676" s="5">
        <f>ROUND(E1676*(1+F1676),2)</f>
        <v>7.80</v>
      </c>
      <c r="H1676" s="5">
        <f>ROUND(G1676*NOTAS!$B$2,2)</f>
        <v>5626.50</v>
      </c>
      <c r="I1676" s="6">
        <f>ROUND(G1676*NOTAS!$B$3,0)</f>
        <v>25341</v>
      </c>
      <c r="J1676" s="2" t="n">
        <v>2</v>
      </c>
    </row>
    <row r="1677">
      <c r="A1677" s="2" t="inlineStr">
        <is>
          <t>OS-578</t>
        </is>
      </c>
      <c r="B1677" s="2" t="inlineStr"/>
      <c r="C1677" s="2" t="inlineStr">
        <is>
          <t>EMPAQUE CARTER CHEVETTE</t>
        </is>
      </c>
      <c r="D1677" s="2" t="inlineStr">
        <is>
          <t>FRACO</t>
        </is>
      </c>
      <c r="E1677" s="3" t="n">
        <v>2.3</v>
      </c>
      <c r="F1677" s="4" t="n">
        <v>0.3</v>
      </c>
      <c r="G1677" s="5">
        <f>ROUND(E1677*(1+F1677),2)</f>
        <v>2.99</v>
      </c>
      <c r="H1677" s="5">
        <f>ROUND(G1677*NOTAS!$B$2,2)</f>
        <v>2156.82</v>
      </c>
      <c r="I1677" s="6">
        <f>ROUND(G1677*NOTAS!$B$3,0)</f>
        <v>9714</v>
      </c>
      <c r="J1677" s="2" t="n">
        <v>5</v>
      </c>
    </row>
    <row r="1678">
      <c r="A1678" s="2" t="inlineStr">
        <is>
          <t>10816EF</t>
        </is>
      </c>
      <c r="B1678" s="2" t="inlineStr"/>
      <c r="C1678" s="2" t="inlineStr">
        <is>
          <t>EMPAQUE CARTER CHEVETTE</t>
        </is>
      </c>
      <c r="D1678" s="2" t="inlineStr">
        <is>
          <t>SABO ORIG</t>
        </is>
      </c>
      <c r="E1678" s="3" t="n">
        <v>5</v>
      </c>
      <c r="F1678" s="4" t="n">
        <v>0.3</v>
      </c>
      <c r="G1678" s="5">
        <f>ROUND(E1678*(1+F1678),2)</f>
        <v>6.50</v>
      </c>
      <c r="H1678" s="5">
        <f>ROUND(G1678*NOTAS!$B$2,2)</f>
        <v>4688.75</v>
      </c>
      <c r="I1678" s="6">
        <f>ROUND(G1678*NOTAS!$B$3,0)</f>
        <v>21118</v>
      </c>
      <c r="J1678" s="2" t="n">
        <v>6</v>
      </c>
    </row>
    <row r="1679">
      <c r="A1679" s="2" t="inlineStr">
        <is>
          <t>OS-30413-0</t>
        </is>
      </c>
      <c r="B1679" s="2" t="inlineStr"/>
      <c r="C1679" s="2" t="inlineStr">
        <is>
          <t>EMPAQUE CARTER CORSA</t>
        </is>
      </c>
      <c r="D1679" s="2" t="inlineStr">
        <is>
          <t>FRACO</t>
        </is>
      </c>
      <c r="E1679" s="3" t="n">
        <v>2.5</v>
      </c>
      <c r="F1679" s="4" t="n">
        <v>0.3</v>
      </c>
      <c r="G1679" s="5">
        <f>ROUND(E1679*(1+F1679),2)</f>
        <v>3.25</v>
      </c>
      <c r="H1679" s="5">
        <f>ROUND(G1679*NOTAS!$B$2,2)</f>
        <v>2344.37</v>
      </c>
      <c r="I1679" s="6">
        <f>ROUND(G1679*NOTAS!$B$3,0)</f>
        <v>10559</v>
      </c>
      <c r="J1679" s="2" t="n">
        <v>1</v>
      </c>
    </row>
    <row r="1680">
      <c r="A1680" s="2" t="inlineStr">
        <is>
          <t>86271</t>
        </is>
      </c>
      <c r="B1680" s="2" t="inlineStr"/>
      <c r="C1680" s="2" t="inlineStr">
        <is>
          <t>EMPAQUE CARTER CORSA</t>
        </is>
      </c>
      <c r="D1680" s="2" t="inlineStr">
        <is>
          <t>SABO ORIG</t>
        </is>
      </c>
      <c r="E1680" s="3" t="n">
        <v>5.15</v>
      </c>
      <c r="F1680" s="4" t="n">
        <v>0.3</v>
      </c>
      <c r="G1680" s="5">
        <f>ROUND(E1680*(1+F1680),2)</f>
        <v>6.70</v>
      </c>
      <c r="H1680" s="5">
        <f>ROUND(G1680*NOTAS!$B$2,2)</f>
        <v>4833.02</v>
      </c>
      <c r="I1680" s="6">
        <f>ROUND(G1680*NOTAS!$B$3,0)</f>
        <v>21767</v>
      </c>
      <c r="J1680" s="2" t="n">
        <v>31</v>
      </c>
    </row>
    <row r="1681">
      <c r="A1681" s="2" t="inlineStr">
        <is>
          <t>93335433</t>
        </is>
      </c>
      <c r="B1681" s="2" t="inlineStr"/>
      <c r="C1681" s="2" t="inlineStr">
        <is>
          <t>EMPAQUE CARTER CORSA</t>
        </is>
      </c>
      <c r="D1681" s="2" t="inlineStr">
        <is>
          <t>GM</t>
        </is>
      </c>
      <c r="E1681" s="3" t="n">
        <v>6</v>
      </c>
      <c r="F1681" s="4" t="n">
        <v>0.3</v>
      </c>
      <c r="G1681" s="5">
        <f>ROUND(E1681*(1+F1681),2)</f>
        <v>7.80</v>
      </c>
      <c r="H1681" s="5">
        <f>ROUND(G1681*NOTAS!$B$2,2)</f>
        <v>5626.50</v>
      </c>
      <c r="I1681" s="6">
        <f>ROUND(G1681*NOTAS!$B$3,0)</f>
        <v>25341</v>
      </c>
      <c r="J1681" s="2" t="n">
        <v>12</v>
      </c>
    </row>
    <row r="1682">
      <c r="A1682" s="2" t="inlineStr">
        <is>
          <t>OS-62100</t>
        </is>
      </c>
      <c r="B1682" s="2" t="inlineStr"/>
      <c r="C1682" s="2" t="inlineStr">
        <is>
          <t>EMPAQUE CARTER F-147/UNO 1.3</t>
        </is>
      </c>
      <c r="D1682" s="2" t="inlineStr">
        <is>
          <t>FRACO</t>
        </is>
      </c>
      <c r="E1682" s="3" t="n">
        <v>2.18</v>
      </c>
      <c r="F1682" s="4" t="n">
        <v>0.3</v>
      </c>
      <c r="G1682" s="5">
        <f>ROUND(E1682*(1+F1682),2)</f>
        <v>2.83</v>
      </c>
      <c r="H1682" s="5">
        <f>ROUND(G1682*NOTAS!$B$2,2)</f>
        <v>2041.41</v>
      </c>
      <c r="I1682" s="6">
        <f>ROUND(G1682*NOTAS!$B$3,0)</f>
        <v>9194</v>
      </c>
      <c r="J1682" s="2" t="n">
        <v>35</v>
      </c>
    </row>
    <row r="1683">
      <c r="A1683" s="2" t="inlineStr">
        <is>
          <t>MB630-10-431A</t>
        </is>
      </c>
      <c r="B1683" s="2" t="inlineStr"/>
      <c r="C1683" s="2" t="inlineStr">
        <is>
          <t>EMPAQUE CARTER FESTIVA</t>
        </is>
      </c>
      <c r="D1683" s="2" t="inlineStr">
        <is>
          <t>KOREA</t>
        </is>
      </c>
      <c r="E1683" s="3" t="n">
        <v>5</v>
      </c>
      <c r="F1683" s="4" t="n">
        <v>0.3</v>
      </c>
      <c r="G1683" s="5">
        <f>ROUND(E1683*(1+F1683),2)</f>
        <v>6.50</v>
      </c>
      <c r="H1683" s="5">
        <f>ROUND(G1683*NOTAS!$B$2,2)</f>
        <v>4688.75</v>
      </c>
      <c r="I1683" s="6">
        <f>ROUND(G1683*NOTAS!$B$3,0)</f>
        <v>21118</v>
      </c>
      <c r="J1683" s="2" t="n">
        <v>3</v>
      </c>
    </row>
    <row r="1684">
      <c r="A1684" s="2" t="inlineStr">
        <is>
          <t>1089838</t>
        </is>
      </c>
      <c r="B1684" s="2" t="inlineStr">
        <is>
          <t>XS6E6710A2B</t>
        </is>
      </c>
      <c r="C1684" s="2" t="inlineStr">
        <is>
          <t>EMPAQUE CARTER FIESTA/KA</t>
        </is>
      </c>
      <c r="D1684" s="2" t="inlineStr">
        <is>
          <t>FORD</t>
        </is>
      </c>
      <c r="E1684" s="3" t="n">
        <v>13</v>
      </c>
      <c r="F1684" s="4" t="n">
        <v>0.3</v>
      </c>
      <c r="G1684" s="5">
        <f>ROUND(E1684*(1+F1684),2)</f>
        <v>16.90</v>
      </c>
      <c r="H1684" s="5">
        <f>ROUND(G1684*NOTAS!$B$2,2)</f>
        <v>12190.74</v>
      </c>
      <c r="I1684" s="6">
        <f>ROUND(G1684*NOTAS!$B$3,0)</f>
        <v>54906</v>
      </c>
      <c r="J1684" s="2" t="n">
        <v>6</v>
      </c>
    </row>
    <row r="1685">
      <c r="A1685" s="2" t="inlineStr"/>
      <c r="B1685" s="2" t="inlineStr"/>
      <c r="C1685" s="2" t="inlineStr">
        <is>
          <t>EMPAQUE CARTER F-PAL/SIE 1.3 16V FIRE</t>
        </is>
      </c>
      <c r="D1685" s="2" t="inlineStr">
        <is>
          <t>FRACO</t>
        </is>
      </c>
      <c r="E1685" s="3" t="n">
        <v>3</v>
      </c>
      <c r="F1685" s="4" t="n">
        <v>0.3</v>
      </c>
      <c r="G1685" s="5">
        <f>ROUND(E1685*(1+F1685),2)</f>
        <v>3.90</v>
      </c>
      <c r="H1685" s="5">
        <f>ROUND(G1685*NOTAS!$B$2,2)</f>
        <v>2813.25</v>
      </c>
      <c r="I1685" s="6">
        <f>ROUND(G1685*NOTAS!$B$3,0)</f>
        <v>12671</v>
      </c>
      <c r="J1685" s="2" t="n">
        <v>5</v>
      </c>
    </row>
    <row r="1686">
      <c r="A1686" s="2" t="inlineStr">
        <is>
          <t>86278</t>
        </is>
      </c>
      <c r="B1686" s="2" t="inlineStr"/>
      <c r="C1686" s="2" t="inlineStr">
        <is>
          <t>EMPAQUE CARTER F-UNO FIRE</t>
        </is>
      </c>
      <c r="D1686" s="2" t="inlineStr"/>
      <c r="E1686" s="3" t="n">
        <v>1.65</v>
      </c>
      <c r="F1686" s="4" t="n">
        <v>0.3</v>
      </c>
      <c r="G1686" s="5">
        <f>ROUND(E1686*(1+F1686),2)</f>
        <v>2.15</v>
      </c>
      <c r="H1686" s="5">
        <f>ROUND(G1686*NOTAS!$B$2,2)</f>
        <v>1550.89</v>
      </c>
      <c r="I1686" s="6">
        <f>ROUND(G1686*NOTAS!$B$3,0)</f>
        <v>6985</v>
      </c>
      <c r="J1686" s="2" t="n">
        <v>1</v>
      </c>
    </row>
    <row r="1687">
      <c r="A1687" s="2" t="inlineStr">
        <is>
          <t>550711</t>
        </is>
      </c>
      <c r="B1687" s="2" t="inlineStr"/>
      <c r="C1687" s="2" t="inlineStr">
        <is>
          <t>EMPAQUE CARTER R-11 1.4</t>
        </is>
      </c>
      <c r="D1687" s="2" t="inlineStr">
        <is>
          <t>TARANTO</t>
        </is>
      </c>
      <c r="E1687" s="3" t="n">
        <v>4</v>
      </c>
      <c r="F1687" s="4" t="n">
        <v>0.3</v>
      </c>
      <c r="G1687" s="5">
        <f>ROUND(E1687*(1+F1687),2)</f>
        <v>5.20</v>
      </c>
      <c r="H1687" s="5">
        <f>ROUND(G1687*NOTAS!$B$2,2)</f>
        <v>3751.00</v>
      </c>
      <c r="I1687" s="6">
        <f>ROUND(G1687*NOTAS!$B$3,0)</f>
        <v>16894</v>
      </c>
      <c r="J1687" s="2" t="n">
        <v>1</v>
      </c>
    </row>
    <row r="1688">
      <c r="A1688" s="2" t="inlineStr">
        <is>
          <t>OS-24101</t>
        </is>
      </c>
      <c r="B1688" s="2" t="inlineStr"/>
      <c r="C1688" s="2" t="inlineStr">
        <is>
          <t>EMPAQUE CARTER R-12 1.3</t>
        </is>
      </c>
      <c r="D1688" s="2" t="inlineStr">
        <is>
          <t>FRACO</t>
        </is>
      </c>
      <c r="E1688" s="3" t="n">
        <v>2</v>
      </c>
      <c r="F1688" s="4" t="n">
        <v>0.3</v>
      </c>
      <c r="G1688" s="5">
        <f>ROUND(E1688*(1+F1688),2)</f>
        <v>2.60</v>
      </c>
      <c r="H1688" s="5">
        <f>ROUND(G1688*NOTAS!$B$2,2)</f>
        <v>1875.50</v>
      </c>
      <c r="I1688" s="6">
        <f>ROUND(G1688*NOTAS!$B$3,0)</f>
        <v>8447</v>
      </c>
      <c r="J1688" s="2" t="n">
        <v>8</v>
      </c>
    </row>
    <row r="1689">
      <c r="A1689" s="2" t="inlineStr">
        <is>
          <t>OS-24102</t>
        </is>
      </c>
      <c r="B1689" s="2" t="inlineStr"/>
      <c r="C1689" s="2" t="inlineStr">
        <is>
          <t>EMPAQUE CARTER R-18 1.6</t>
        </is>
      </c>
      <c r="D1689" s="2" t="inlineStr">
        <is>
          <t>FRACO</t>
        </is>
      </c>
      <c r="E1689" s="3" t="n">
        <v>2</v>
      </c>
      <c r="F1689" s="4" t="n">
        <v>0.3</v>
      </c>
      <c r="G1689" s="5">
        <f>ROUND(E1689*(1+F1689),2)</f>
        <v>2.60</v>
      </c>
      <c r="H1689" s="5">
        <f>ROUND(G1689*NOTAS!$B$2,2)</f>
        <v>1875.50</v>
      </c>
      <c r="I1689" s="6">
        <f>ROUND(G1689*NOTAS!$B$3,0)</f>
        <v>8447</v>
      </c>
      <c r="J1689" s="2" t="n">
        <v>6</v>
      </c>
    </row>
    <row r="1690">
      <c r="A1690" s="2" t="inlineStr">
        <is>
          <t>OS-24105</t>
        </is>
      </c>
      <c r="B1690" s="2" t="inlineStr"/>
      <c r="C1690" s="2" t="inlineStr">
        <is>
          <t>EMPAQUE CARTER R-19 1.4</t>
        </is>
      </c>
      <c r="D1690" s="2" t="inlineStr">
        <is>
          <t>FRACO</t>
        </is>
      </c>
      <c r="E1690" s="3" t="n">
        <v>4</v>
      </c>
      <c r="F1690" s="4" t="n">
        <v>0.3</v>
      </c>
      <c r="G1690" s="5">
        <f>ROUND(E1690*(1+F1690),2)</f>
        <v>5.20</v>
      </c>
      <c r="H1690" s="5">
        <f>ROUND(G1690*NOTAS!$B$2,2)</f>
        <v>3751.00</v>
      </c>
      <c r="I1690" s="6">
        <f>ROUND(G1690*NOTAS!$B$3,0)</f>
        <v>16894</v>
      </c>
      <c r="J1690" s="2" t="n">
        <v>2</v>
      </c>
    </row>
    <row r="1691">
      <c r="A1691" s="2" t="inlineStr">
        <is>
          <t>OS-24100</t>
        </is>
      </c>
      <c r="B1691" s="2" t="inlineStr"/>
      <c r="C1691" s="2" t="inlineStr">
        <is>
          <t>EMPAQUE CARTER R-5 1.3/11</t>
        </is>
      </c>
      <c r="D1691" s="2" t="inlineStr">
        <is>
          <t>FRACO</t>
        </is>
      </c>
      <c r="E1691" s="3" t="n">
        <v>2</v>
      </c>
      <c r="F1691" s="4" t="n">
        <v>0.3</v>
      </c>
      <c r="G1691" s="5">
        <f>ROUND(E1691*(1+F1691),2)</f>
        <v>2.60</v>
      </c>
      <c r="H1691" s="5">
        <f>ROUND(G1691*NOTAS!$B$2,2)</f>
        <v>1875.50</v>
      </c>
      <c r="I1691" s="6">
        <f>ROUND(G1691*NOTAS!$B$3,0)</f>
        <v>8447</v>
      </c>
      <c r="J1691" s="2" t="n">
        <v>4</v>
      </c>
    </row>
    <row r="1692">
      <c r="A1692" s="2" t="inlineStr">
        <is>
          <t>75615</t>
        </is>
      </c>
      <c r="B1692" s="2" t="inlineStr"/>
      <c r="C1692" s="2" t="inlineStr">
        <is>
          <t>EMPAQUE CARTER R-SYMBOL/LOGAN/CL</t>
        </is>
      </c>
      <c r="D1692" s="2" t="inlineStr">
        <is>
          <t>SABO ORIG</t>
        </is>
      </c>
      <c r="E1692" s="3" t="n">
        <v>9</v>
      </c>
      <c r="F1692" s="4" t="n">
        <v>0.3</v>
      </c>
      <c r="G1692" s="5">
        <f>ROUND(E1692*(1+F1692),2)</f>
        <v>11.70</v>
      </c>
      <c r="H1692" s="5">
        <f>ROUND(G1692*NOTAS!$B$2,2)</f>
        <v>8439.74</v>
      </c>
      <c r="I1692" s="6">
        <f>ROUND(G1692*NOTAS!$B$3,0)</f>
        <v>38012</v>
      </c>
      <c r="J1692" s="2" t="n">
        <v>7</v>
      </c>
    </row>
    <row r="1693">
      <c r="A1693" s="2" t="inlineStr">
        <is>
          <t>JC-322-15</t>
        </is>
      </c>
      <c r="B1693" s="2" t="inlineStr"/>
      <c r="C1693" s="2" t="inlineStr">
        <is>
          <t>EMPAQUE CARTER R-TWINGO</t>
        </is>
      </c>
      <c r="D1693" s="2" t="inlineStr">
        <is>
          <t>ILLINOIS</t>
        </is>
      </c>
      <c r="E1693" s="3" t="n">
        <v>5</v>
      </c>
      <c r="F1693" s="4" t="n">
        <v>0.3</v>
      </c>
      <c r="G1693" s="5">
        <f>ROUND(E1693*(1+F1693),2)</f>
        <v>6.50</v>
      </c>
      <c r="H1693" s="5">
        <f>ROUND(G1693*NOTAS!$B$2,2)</f>
        <v>4688.75</v>
      </c>
      <c r="I1693" s="6">
        <f>ROUND(G1693*NOTAS!$B$3,0)</f>
        <v>21118</v>
      </c>
      <c r="J1693" s="2" t="n">
        <v>3</v>
      </c>
    </row>
    <row r="1694">
      <c r="A1694" s="2" t="inlineStr"/>
      <c r="B1694" s="2" t="inlineStr"/>
      <c r="C1694" s="2" t="inlineStr">
        <is>
          <t>EMPAQUE CARTER R-TWINGO</t>
        </is>
      </c>
      <c r="D1694" s="2" t="inlineStr">
        <is>
          <t>CNBF</t>
        </is>
      </c>
      <c r="E1694" s="3" t="n">
        <v>5</v>
      </c>
      <c r="F1694" s="4" t="n">
        <v>0.3</v>
      </c>
      <c r="G1694" s="5">
        <f>ROUND(E1694*(1+F1694),2)</f>
        <v>6.50</v>
      </c>
      <c r="H1694" s="5">
        <f>ROUND(G1694*NOTAS!$B$2,2)</f>
        <v>4688.75</v>
      </c>
      <c r="I1694" s="6">
        <f>ROUND(G1694*NOTAS!$B$3,0)</f>
        <v>21118</v>
      </c>
      <c r="J1694" s="2" t="n">
        <v>1</v>
      </c>
    </row>
    <row r="1695">
      <c r="A1695" s="2" t="inlineStr">
        <is>
          <t>75633</t>
        </is>
      </c>
      <c r="B1695" s="2" t="inlineStr"/>
      <c r="C1695" s="2" t="inlineStr">
        <is>
          <t>EMPAQUE MULTIPLE ADMISION AVEO 1.6</t>
        </is>
      </c>
      <c r="D1695" s="2" t="inlineStr">
        <is>
          <t>SABO ORIG</t>
        </is>
      </c>
      <c r="E1695" s="3" t="n">
        <v>3.86</v>
      </c>
      <c r="F1695" s="4" t="n">
        <v>0.3</v>
      </c>
      <c r="G1695" s="5">
        <f>ROUND(E1695*(1+F1695),2)</f>
        <v>5.02</v>
      </c>
      <c r="H1695" s="5">
        <f>ROUND(G1695*NOTAS!$B$2,2)</f>
        <v>3621.15</v>
      </c>
      <c r="I1695" s="6">
        <f>ROUND(G1695*NOTAS!$B$3,0)</f>
        <v>16309</v>
      </c>
      <c r="J1695" s="2" t="n">
        <v>1</v>
      </c>
    </row>
    <row r="1696">
      <c r="A1696" s="2" t="inlineStr">
        <is>
          <t>MS-576</t>
        </is>
      </c>
      <c r="B1696" s="2" t="inlineStr"/>
      <c r="C1696" s="2" t="inlineStr">
        <is>
          <t>EMPAQUE MULTIPLE ADMISION CHEVETTE</t>
        </is>
      </c>
      <c r="D1696" s="2" t="inlineStr">
        <is>
          <t>FRACO</t>
        </is>
      </c>
      <c r="E1696" s="3" t="n">
        <v>2.64</v>
      </c>
      <c r="F1696" s="4" t="n">
        <v>0.3</v>
      </c>
      <c r="G1696" s="5">
        <f>ROUND(E1696*(1+F1696),2)</f>
        <v>3.43</v>
      </c>
      <c r="H1696" s="5">
        <f>ROUND(G1696*NOTAS!$B$2,2)</f>
        <v>2474.22</v>
      </c>
      <c r="I1696" s="6">
        <f>ROUND(G1696*NOTAS!$B$3,0)</f>
        <v>11144</v>
      </c>
      <c r="J1696" s="2" t="n">
        <v>3</v>
      </c>
    </row>
    <row r="1697">
      <c r="A1697" s="2" t="inlineStr">
        <is>
          <t>99591</t>
        </is>
      </c>
      <c r="B1697" s="2" t="inlineStr"/>
      <c r="C1697" s="2" t="inlineStr">
        <is>
          <t>EMPAQUE MULTIPLE ADMISION CIELO CUADRADO</t>
        </is>
      </c>
      <c r="D1697" s="2" t="inlineStr">
        <is>
          <t>KOREA</t>
        </is>
      </c>
      <c r="E1697" s="3" t="n">
        <v>2</v>
      </c>
      <c r="F1697" s="4" t="n">
        <v>0.3</v>
      </c>
      <c r="G1697" s="5">
        <f>ROUND(E1697*(1+F1697),2)</f>
        <v>2.60</v>
      </c>
      <c r="H1697" s="5">
        <f>ROUND(G1697*NOTAS!$B$2,2)</f>
        <v>1875.50</v>
      </c>
      <c r="I1697" s="6">
        <f>ROUND(G1697*NOTAS!$B$3,0)</f>
        <v>8447</v>
      </c>
      <c r="J1697" s="2" t="n">
        <v>8</v>
      </c>
    </row>
    <row r="1698">
      <c r="A1698" s="2" t="inlineStr">
        <is>
          <t>84615</t>
        </is>
      </c>
      <c r="B1698" s="2" t="inlineStr"/>
      <c r="C1698" s="2" t="inlineStr">
        <is>
          <t>EMPAQUE MULTIPLE ADMISION ESCAPE F-PAL/SIE 1.3 8V MPI</t>
        </is>
      </c>
      <c r="D1698" s="2" t="inlineStr">
        <is>
          <t>SABO ORIG</t>
        </is>
      </c>
      <c r="E1698" s="3" t="n">
        <v>1.8</v>
      </c>
      <c r="F1698" s="4" t="n">
        <v>0.3</v>
      </c>
      <c r="G1698" s="5">
        <f>ROUND(E1698*(1+F1698),2)</f>
        <v>2.34</v>
      </c>
      <c r="H1698" s="5">
        <f>ROUND(G1698*NOTAS!$B$2,2)</f>
        <v>1687.95</v>
      </c>
      <c r="I1698" s="6">
        <f>ROUND(G1698*NOTAS!$B$3,0)</f>
        <v>7602</v>
      </c>
      <c r="J1698" s="2" t="n">
        <v>5</v>
      </c>
    </row>
    <row r="1699">
      <c r="A1699" s="2" t="inlineStr">
        <is>
          <t>MS-94028-C</t>
        </is>
      </c>
      <c r="B1699" s="2" t="inlineStr"/>
      <c r="C1699" s="2" t="inlineStr">
        <is>
          <t>EMPAQUE MULTIPLE ADMISION FESTIVA</t>
        </is>
      </c>
      <c r="D1699" s="2" t="inlineStr">
        <is>
          <t>FRACO</t>
        </is>
      </c>
      <c r="E1699" s="3" t="n">
        <v>2.78</v>
      </c>
      <c r="F1699" s="4" t="n">
        <v>0.3</v>
      </c>
      <c r="G1699" s="5">
        <f>ROUND(E1699*(1+F1699),2)</f>
        <v>3.61</v>
      </c>
      <c r="H1699" s="5">
        <f>ROUND(G1699*NOTAS!$B$2,2)</f>
        <v>2604.06</v>
      </c>
      <c r="I1699" s="6">
        <f>ROUND(G1699*NOTAS!$B$3,0)</f>
        <v>11728</v>
      </c>
      <c r="J1699" s="2" t="n">
        <v>2</v>
      </c>
    </row>
    <row r="1700">
      <c r="A1700" s="2" t="inlineStr">
        <is>
          <t>76632</t>
        </is>
      </c>
      <c r="B1700" s="2" t="inlineStr"/>
      <c r="C1700" s="2" t="inlineStr">
        <is>
          <t>EMPAQUE MULTIPLE ADMISION FIESTA/KA 1.6</t>
        </is>
      </c>
      <c r="D1700" s="2" t="inlineStr">
        <is>
          <t>SABO ORIG</t>
        </is>
      </c>
      <c r="E1700" s="3" t="n">
        <v>5.54</v>
      </c>
      <c r="F1700" s="4" t="n">
        <v>0.3</v>
      </c>
      <c r="G1700" s="5">
        <f>ROUND(E1700*(1+F1700),2)</f>
        <v>7.20</v>
      </c>
      <c r="H1700" s="5">
        <f>ROUND(G1700*NOTAS!$B$2,2)</f>
        <v>5193.69</v>
      </c>
      <c r="I1700" s="6">
        <f>ROUND(G1700*NOTAS!$B$3,0)</f>
        <v>23392</v>
      </c>
      <c r="J1700" s="2" t="n">
        <v>4</v>
      </c>
    </row>
    <row r="1701">
      <c r="A1701" s="2" t="inlineStr">
        <is>
          <t>76762</t>
        </is>
      </c>
      <c r="B1701" s="2" t="inlineStr"/>
      <c r="C1701" s="2" t="inlineStr">
        <is>
          <t>EMPAQUE MULTIPLE ADMISION F-PAL/SIE 1.3 16V FIRE</t>
        </is>
      </c>
      <c r="D1701" s="2" t="inlineStr">
        <is>
          <t>SABO ORIG</t>
        </is>
      </c>
      <c r="E1701" s="3" t="n">
        <v>2.64</v>
      </c>
      <c r="F1701" s="4" t="n">
        <v>0.3</v>
      </c>
      <c r="G1701" s="5">
        <f>ROUND(E1701*(1+F1701),2)</f>
        <v>3.43</v>
      </c>
      <c r="H1701" s="5">
        <f>ROUND(G1701*NOTAS!$B$2,2)</f>
        <v>2474.22</v>
      </c>
      <c r="I1701" s="6">
        <f>ROUND(G1701*NOTAS!$B$3,0)</f>
        <v>11144</v>
      </c>
      <c r="J1701" s="2" t="n">
        <v>3</v>
      </c>
    </row>
    <row r="1702">
      <c r="A1702" s="2" t="inlineStr">
        <is>
          <t>76614</t>
        </is>
      </c>
      <c r="B1702" s="2" t="inlineStr"/>
      <c r="C1702" s="2" t="inlineStr">
        <is>
          <t>EMPAQUE MULTIPLE ADMISION F-PAL/SIE 1.4 UNO FIRE 8V</t>
        </is>
      </c>
      <c r="D1702" s="2" t="inlineStr">
        <is>
          <t>SABO ORIG</t>
        </is>
      </c>
      <c r="E1702" s="3" t="n">
        <v>3.3</v>
      </c>
      <c r="F1702" s="4" t="n">
        <v>0.3</v>
      </c>
      <c r="G1702" s="5">
        <f>ROUND(E1702*(1+F1702),2)</f>
        <v>4.29</v>
      </c>
      <c r="H1702" s="5">
        <f>ROUND(G1702*NOTAS!$B$2,2)</f>
        <v>3094.57</v>
      </c>
      <c r="I1702" s="6">
        <f>ROUND(G1702*NOTAS!$B$3,0)</f>
        <v>13938</v>
      </c>
      <c r="J1702" s="2" t="n">
        <v>2</v>
      </c>
    </row>
    <row r="1703">
      <c r="A1703" s="2" t="inlineStr">
        <is>
          <t>MS-12103</t>
        </is>
      </c>
      <c r="B1703" s="2" t="inlineStr"/>
      <c r="C1703" s="2" t="inlineStr">
        <is>
          <t>EMPAQUE MULTIPLE ADMISION F-PAL/SIE 1.6 16V</t>
        </is>
      </c>
      <c r="D1703" s="2" t="inlineStr">
        <is>
          <t>FRACO</t>
        </is>
      </c>
      <c r="E1703" s="3" t="n">
        <v>2.2</v>
      </c>
      <c r="F1703" s="4" t="n">
        <v>0.3</v>
      </c>
      <c r="G1703" s="5">
        <f>ROUND(E1703*(1+F1703),2)</f>
        <v>2.86</v>
      </c>
      <c r="H1703" s="5">
        <f>ROUND(G1703*NOTAS!$B$2,2)</f>
        <v>2063.05</v>
      </c>
      <c r="I1703" s="6">
        <f>ROUND(G1703*NOTAS!$B$3,0)</f>
        <v>9292</v>
      </c>
      <c r="J1703" s="2" t="n">
        <v>1</v>
      </c>
    </row>
    <row r="1704">
      <c r="A1704" s="2" t="inlineStr">
        <is>
          <t>75357</t>
        </is>
      </c>
      <c r="B1704" s="2" t="inlineStr"/>
      <c r="C1704" s="2" t="inlineStr">
        <is>
          <t>EMPAQUE MULTIPLE ADMISION F-PAL/SIE 1.8</t>
        </is>
      </c>
      <c r="D1704" s="2" t="inlineStr">
        <is>
          <t>SABO ORIG</t>
        </is>
      </c>
      <c r="E1704" s="3" t="n">
        <v>4.52</v>
      </c>
      <c r="F1704" s="4" t="n">
        <v>0.3</v>
      </c>
      <c r="G1704" s="5">
        <f>ROUND(E1704*(1+F1704),2)</f>
        <v>5.88</v>
      </c>
      <c r="H1704" s="5">
        <f>ROUND(G1704*NOTAS!$B$2,2)</f>
        <v>4241.51</v>
      </c>
      <c r="I1704" s="6">
        <f>ROUND(G1704*NOTAS!$B$3,0)</f>
        <v>19103</v>
      </c>
      <c r="J1704" s="2" t="n">
        <v>1</v>
      </c>
    </row>
    <row r="1705">
      <c r="A1705" s="2" t="inlineStr">
        <is>
          <t>MS-16107-3</t>
        </is>
      </c>
      <c r="B1705" s="2" t="inlineStr"/>
      <c r="C1705" s="2" t="inlineStr">
        <is>
          <t>EMPAQUE MULTIPLE ADMISION F-TEMPRA 1.8/2.0</t>
        </is>
      </c>
      <c r="D1705" s="2" t="inlineStr">
        <is>
          <t>FRAVEN</t>
        </is>
      </c>
      <c r="E1705" s="3" t="n">
        <v>2</v>
      </c>
      <c r="F1705" s="4" t="n">
        <v>0.3</v>
      </c>
      <c r="G1705" s="5">
        <f>ROUND(E1705*(1+F1705),2)</f>
        <v>2.60</v>
      </c>
      <c r="H1705" s="5">
        <f>ROUND(G1705*NOTAS!$B$2,2)</f>
        <v>1875.50</v>
      </c>
      <c r="I1705" s="6">
        <f>ROUND(G1705*NOTAS!$B$3,0)</f>
        <v>8447</v>
      </c>
      <c r="J1705" s="2" t="n">
        <v>1</v>
      </c>
    </row>
    <row r="1706">
      <c r="A1706" s="2" t="inlineStr"/>
      <c r="B1706" s="2" t="inlineStr"/>
      <c r="C1706" s="2" t="inlineStr">
        <is>
          <t xml:space="preserve">EMPAQUE MULTIPLE ADMISION MONZA </t>
        </is>
      </c>
      <c r="D1706" s="2" t="inlineStr">
        <is>
          <t>FRACO</t>
        </is>
      </c>
      <c r="E1706" s="3" t="n">
        <v>2</v>
      </c>
      <c r="F1706" s="4" t="n">
        <v>0.3</v>
      </c>
      <c r="G1706" s="5">
        <f>ROUND(E1706*(1+F1706),2)</f>
        <v>2.60</v>
      </c>
      <c r="H1706" s="5">
        <f>ROUND(G1706*NOTAS!$B$2,2)</f>
        <v>1875.50</v>
      </c>
      <c r="I1706" s="6">
        <f>ROUND(G1706*NOTAS!$B$3,0)</f>
        <v>8447</v>
      </c>
      <c r="J1706" s="2" t="n">
        <v>8</v>
      </c>
    </row>
    <row r="1707">
      <c r="A1707" s="2" t="inlineStr">
        <is>
          <t>GY-RM-20</t>
        </is>
      </c>
      <c r="B1707" s="2" t="inlineStr">
        <is>
          <t>23000</t>
        </is>
      </c>
      <c r="C1707" s="2" t="inlineStr">
        <is>
          <t>EMPAQUE MULTIPLE ADMISION R-19 1.4</t>
        </is>
      </c>
      <c r="D1707" s="2" t="inlineStr">
        <is>
          <t>GYA</t>
        </is>
      </c>
      <c r="E1707" s="3" t="n">
        <v>1.67</v>
      </c>
      <c r="F1707" s="4" t="n">
        <v>0.3</v>
      </c>
      <c r="G1707" s="5">
        <f>ROUND(E1707*(1+F1707),2)</f>
        <v>2.17</v>
      </c>
      <c r="H1707" s="5">
        <f>ROUND(G1707*NOTAS!$B$2,2)</f>
        <v>1565.32</v>
      </c>
      <c r="I1707" s="6">
        <f>ROUND(G1707*NOTAS!$B$3,0)</f>
        <v>7050</v>
      </c>
      <c r="J1707" s="2" t="n">
        <v>3</v>
      </c>
    </row>
    <row r="1708">
      <c r="A1708" s="2" t="inlineStr">
        <is>
          <t>85392</t>
        </is>
      </c>
      <c r="B1708" s="2" t="inlineStr"/>
      <c r="C1708" s="2" t="inlineStr">
        <is>
          <t>EMPAQUE MULTIPLE ADMISION R-LOGAN/CLIO</t>
        </is>
      </c>
      <c r="D1708" s="2" t="inlineStr">
        <is>
          <t>SABO ORIG</t>
        </is>
      </c>
      <c r="E1708" s="3" t="n">
        <v>2.89</v>
      </c>
      <c r="F1708" s="4" t="n">
        <v>0.3</v>
      </c>
      <c r="G1708" s="5">
        <f>ROUND(E1708*(1+F1708),2)</f>
        <v>3.76</v>
      </c>
      <c r="H1708" s="5">
        <f>ROUND(G1708*NOTAS!$B$2,2)</f>
        <v>2712.26</v>
      </c>
      <c r="I1708" s="6">
        <f>ROUND(G1708*NOTAS!$B$3,0)</f>
        <v>12216</v>
      </c>
      <c r="J1708" s="2" t="n">
        <v>4</v>
      </c>
    </row>
    <row r="1709">
      <c r="A1709" s="2" t="inlineStr">
        <is>
          <t>MA30013R</t>
        </is>
      </c>
      <c r="B1709" s="2" t="inlineStr"/>
      <c r="C1709" s="2" t="inlineStr">
        <is>
          <t>EMPAQUE MULTIPLE ADMISION R-SYMBOL/CL</t>
        </is>
      </c>
      <c r="D1709" s="2" t="inlineStr">
        <is>
          <t>RAMFOR</t>
        </is>
      </c>
      <c r="E1709" s="3" t="n">
        <v>11.5385</v>
      </c>
      <c r="F1709" s="4" t="n">
        <v>0.3</v>
      </c>
      <c r="G1709" s="5">
        <f>ROUND(E1709*(1+F1709),2)</f>
        <v>15.00</v>
      </c>
      <c r="H1709" s="5">
        <f>ROUND(G1709*NOTAS!$B$2,2)</f>
        <v>10820.18</v>
      </c>
      <c r="I1709" s="6">
        <f>ROUND(G1709*NOTAS!$B$3,0)</f>
        <v>48733</v>
      </c>
      <c r="J1709" s="2" t="n">
        <v>3</v>
      </c>
    </row>
    <row r="1710">
      <c r="A1710" s="2" t="inlineStr">
        <is>
          <t>7700274026</t>
        </is>
      </c>
      <c r="B1710" s="2" t="inlineStr"/>
      <c r="C1710" s="2" t="inlineStr">
        <is>
          <t>EMPAQUE MULTIPLE ADMISION R-SYMBOL/CL</t>
        </is>
      </c>
      <c r="D1710" s="2" t="inlineStr">
        <is>
          <t>AEQUIPE</t>
        </is>
      </c>
      <c r="E1710" s="3" t="n">
        <v>11.5385</v>
      </c>
      <c r="F1710" s="4" t="n">
        <v>0.3</v>
      </c>
      <c r="G1710" s="5">
        <f>ROUND(E1710*(1+F1710),2)</f>
        <v>15.00</v>
      </c>
      <c r="H1710" s="5">
        <f>ROUND(G1710*NOTAS!$B$2,2)</f>
        <v>10820.18</v>
      </c>
      <c r="I1710" s="6">
        <f>ROUND(G1710*NOTAS!$B$3,0)</f>
        <v>48733</v>
      </c>
      <c r="J1710" s="2" t="n">
        <v>1</v>
      </c>
    </row>
    <row r="1711">
      <c r="A1711" s="2" t="inlineStr">
        <is>
          <t>8200052311</t>
        </is>
      </c>
      <c r="B1711" s="2" t="inlineStr"/>
      <c r="C1711" s="2" t="inlineStr">
        <is>
          <t>EMPAQUE MULTIPLE ADMISION R-SYMBOL/CL 1.6 16V</t>
        </is>
      </c>
      <c r="D1711" s="2" t="inlineStr">
        <is>
          <t>RENAULT GROUP</t>
        </is>
      </c>
      <c r="E1711" s="3" t="n">
        <v>4</v>
      </c>
      <c r="F1711" s="4" t="n">
        <v>0.3</v>
      </c>
      <c r="G1711" s="5">
        <f>ROUND(E1711*(1+F1711),2)</f>
        <v>5.20</v>
      </c>
      <c r="H1711" s="5">
        <f>ROUND(G1711*NOTAS!$B$2,2)</f>
        <v>3751.00</v>
      </c>
      <c r="I1711" s="6">
        <f>ROUND(G1711*NOTAS!$B$3,0)</f>
        <v>16894</v>
      </c>
      <c r="J1711" s="2" t="n">
        <v>2</v>
      </c>
    </row>
    <row r="1712">
      <c r="A1712" s="2" t="inlineStr">
        <is>
          <t>75430</t>
        </is>
      </c>
      <c r="B1712" s="2" t="inlineStr"/>
      <c r="C1712" s="2" t="inlineStr">
        <is>
          <t>EMPAQUE MULTIPLE ADMISION SPARK</t>
        </is>
      </c>
      <c r="D1712" s="2" t="inlineStr">
        <is>
          <t>SABO ORIG</t>
        </is>
      </c>
      <c r="E1712" s="3" t="n">
        <v>2.73</v>
      </c>
      <c r="F1712" s="4" t="n">
        <v>0.3</v>
      </c>
      <c r="G1712" s="5">
        <f>ROUND(E1712*(1+F1712),2)</f>
        <v>3.55</v>
      </c>
      <c r="H1712" s="5">
        <f>ROUND(G1712*NOTAS!$B$2,2)</f>
        <v>2560.78</v>
      </c>
      <c r="I1712" s="6">
        <f>ROUND(G1712*NOTAS!$B$3,0)</f>
        <v>11533</v>
      </c>
      <c r="J1712" s="2" t="n">
        <v>2</v>
      </c>
    </row>
    <row r="1713">
      <c r="A1713" s="2" t="inlineStr">
        <is>
          <t>MS-1285-A</t>
        </is>
      </c>
      <c r="B1713" s="2" t="inlineStr"/>
      <c r="C1713" s="2" t="inlineStr">
        <is>
          <t>EMPAQUE MULTIPLE ADMISION SPARK</t>
        </is>
      </c>
      <c r="D1713" s="2" t="inlineStr">
        <is>
          <t>FRACO</t>
        </is>
      </c>
      <c r="E1713" s="3" t="n">
        <v>3</v>
      </c>
      <c r="F1713" s="4" t="n">
        <v>0.3</v>
      </c>
      <c r="G1713" s="5">
        <f>ROUND(E1713*(1+F1713),2)</f>
        <v>3.90</v>
      </c>
      <c r="H1713" s="5">
        <f>ROUND(G1713*NOTAS!$B$2,2)</f>
        <v>2813.25</v>
      </c>
      <c r="I1713" s="6">
        <f>ROUND(G1713*NOTAS!$B$3,0)</f>
        <v>12671</v>
      </c>
      <c r="J1713" s="2" t="n">
        <v>8</v>
      </c>
    </row>
    <row r="1714">
      <c r="A1714" s="2" t="inlineStr">
        <is>
          <t>MS-82601</t>
        </is>
      </c>
      <c r="B1714" s="2" t="inlineStr"/>
      <c r="C1714" s="2" t="inlineStr">
        <is>
          <t>EMPAQUE MULTIPLE ADMISION SWIFT 1.3</t>
        </is>
      </c>
      <c r="D1714" s="2" t="inlineStr">
        <is>
          <t>FRACO</t>
        </is>
      </c>
      <c r="E1714" s="3" t="n">
        <v>1.6</v>
      </c>
      <c r="F1714" s="4" t="n">
        <v>0.3</v>
      </c>
      <c r="G1714" s="5">
        <f>ROUND(E1714*(1+F1714),2)</f>
        <v>2.08</v>
      </c>
      <c r="H1714" s="5">
        <f>ROUND(G1714*NOTAS!$B$2,2)</f>
        <v>1500.40</v>
      </c>
      <c r="I1714" s="6">
        <f>ROUND(G1714*NOTAS!$B$3,0)</f>
        <v>6758</v>
      </c>
      <c r="J1714" s="2" t="n">
        <v>6</v>
      </c>
    </row>
    <row r="1715">
      <c r="A1715" s="2" t="inlineStr"/>
      <c r="B1715" s="2" t="inlineStr"/>
      <c r="C1715" s="2" t="inlineStr">
        <is>
          <t>EMPAQUE MULTIPLE ESCAPE AVEO</t>
        </is>
      </c>
      <c r="D1715" s="2" t="inlineStr"/>
      <c r="E1715" s="3" t="n">
        <v>2.5</v>
      </c>
      <c r="F1715" s="4" t="n">
        <v>0.3</v>
      </c>
      <c r="G1715" s="5">
        <f>ROUND(E1715*(1+F1715),2)</f>
        <v>3.25</v>
      </c>
      <c r="H1715" s="5">
        <f>ROUND(G1715*NOTAS!$B$2,2)</f>
        <v>2344.37</v>
      </c>
      <c r="I1715" s="6">
        <f>ROUND(G1715*NOTAS!$B$3,0)</f>
        <v>10559</v>
      </c>
      <c r="J1715" s="2" t="n">
        <v>2</v>
      </c>
    </row>
    <row r="1716">
      <c r="A1716" s="2" t="inlineStr">
        <is>
          <t>96378805</t>
        </is>
      </c>
      <c r="B1716" s="2" t="inlineStr"/>
      <c r="C1716" s="2" t="inlineStr">
        <is>
          <t>EMPAQUE MULTIPLE ESCAPE AVEO</t>
        </is>
      </c>
      <c r="D1716" s="2" t="inlineStr">
        <is>
          <t>KURUMA</t>
        </is>
      </c>
      <c r="E1716" s="3" t="n">
        <v>2.5</v>
      </c>
      <c r="F1716" s="4" t="n">
        <v>0.3</v>
      </c>
      <c r="G1716" s="5">
        <f>ROUND(E1716*(1+F1716),2)</f>
        <v>3.25</v>
      </c>
      <c r="H1716" s="5">
        <f>ROUND(G1716*NOTAS!$B$2,2)</f>
        <v>2344.37</v>
      </c>
      <c r="I1716" s="6">
        <f>ROUND(G1716*NOTAS!$B$3,0)</f>
        <v>10559</v>
      </c>
      <c r="J1716" s="2" t="n">
        <v>4</v>
      </c>
    </row>
    <row r="1717">
      <c r="A1717" s="2" t="inlineStr">
        <is>
          <t>10821F</t>
        </is>
      </c>
      <c r="B1717" s="2" t="inlineStr"/>
      <c r="C1717" s="2" t="inlineStr">
        <is>
          <t>EMPAQUE MULTIPLE ESCAPE CHEVETTE</t>
        </is>
      </c>
      <c r="D1717" s="2" t="inlineStr">
        <is>
          <t>SABO ORIG</t>
        </is>
      </c>
      <c r="E1717" s="3" t="n">
        <v>3.6</v>
      </c>
      <c r="F1717" s="4" t="n">
        <v>0.3</v>
      </c>
      <c r="G1717" s="5">
        <f>ROUND(E1717*(1+F1717),2)</f>
        <v>4.68</v>
      </c>
      <c r="H1717" s="5">
        <f>ROUND(G1717*NOTAS!$B$2,2)</f>
        <v>3375.90</v>
      </c>
      <c r="I1717" s="6">
        <f>ROUND(G1717*NOTAS!$B$3,0)</f>
        <v>15205</v>
      </c>
      <c r="J1717" s="2" t="n">
        <v>9</v>
      </c>
    </row>
    <row r="1718">
      <c r="A1718" s="2" t="inlineStr">
        <is>
          <t>MS-27403</t>
        </is>
      </c>
      <c r="B1718" s="2" t="inlineStr"/>
      <c r="C1718" s="2" t="inlineStr">
        <is>
          <t>EMPAQUE MULTIPLE ESCAPE FESTIVA</t>
        </is>
      </c>
      <c r="D1718" s="2" t="inlineStr">
        <is>
          <t>FRAVEN</t>
        </is>
      </c>
      <c r="E1718" s="3" t="n">
        <v>2</v>
      </c>
      <c r="F1718" s="4" t="n">
        <v>0.3</v>
      </c>
      <c r="G1718" s="5">
        <f>ROUND(E1718*(1+F1718),2)</f>
        <v>2.60</v>
      </c>
      <c r="H1718" s="5">
        <f>ROUND(G1718*NOTAS!$B$2,2)</f>
        <v>1875.50</v>
      </c>
      <c r="I1718" s="6">
        <f>ROUND(G1718*NOTAS!$B$3,0)</f>
        <v>8447</v>
      </c>
      <c r="J1718" s="2" t="n">
        <v>2</v>
      </c>
    </row>
    <row r="1719">
      <c r="A1719" s="2" t="inlineStr">
        <is>
          <t>MS-94027-F</t>
        </is>
      </c>
      <c r="B1719" s="2" t="inlineStr"/>
      <c r="C1719" s="2" t="inlineStr">
        <is>
          <t>EMPAQUE MULTIPLE ESCAPE FESTIVA</t>
        </is>
      </c>
      <c r="D1719" s="2" t="inlineStr">
        <is>
          <t>FRACO</t>
        </is>
      </c>
      <c r="E1719" s="3" t="n">
        <v>2.74</v>
      </c>
      <c r="F1719" s="4" t="n">
        <v>0.3</v>
      </c>
      <c r="G1719" s="5">
        <f>ROUND(E1719*(1+F1719),2)</f>
        <v>3.56</v>
      </c>
      <c r="H1719" s="5">
        <f>ROUND(G1719*NOTAS!$B$2,2)</f>
        <v>2567.99</v>
      </c>
      <c r="I1719" s="6">
        <f>ROUND(G1719*NOTAS!$B$3,0)</f>
        <v>11566</v>
      </c>
      <c r="J1719" s="2" t="n">
        <v>2</v>
      </c>
    </row>
    <row r="1720">
      <c r="A1720" s="2" t="inlineStr"/>
      <c r="B1720" s="2" t="inlineStr"/>
      <c r="C1720" s="2" t="inlineStr">
        <is>
          <t>EMPAQUE MULTIPLE ESCAPE FIESTA/KA</t>
        </is>
      </c>
      <c r="D1720" s="2" t="inlineStr">
        <is>
          <t>FRACO</t>
        </is>
      </c>
      <c r="E1720" s="3" t="n">
        <v>2.72</v>
      </c>
      <c r="F1720" s="4" t="n">
        <v>0.3</v>
      </c>
      <c r="G1720" s="5">
        <f>ROUND(E1720*(1+F1720),2)</f>
        <v>3.54</v>
      </c>
      <c r="H1720" s="5">
        <f>ROUND(G1720*NOTAS!$B$2,2)</f>
        <v>2553.56</v>
      </c>
      <c r="I1720" s="6">
        <f>ROUND(G1720*NOTAS!$B$3,0)</f>
        <v>11501</v>
      </c>
      <c r="J1720" s="2" t="n">
        <v>1</v>
      </c>
    </row>
    <row r="1721">
      <c r="A1721" s="2" t="inlineStr">
        <is>
          <t>99573</t>
        </is>
      </c>
      <c r="B1721" s="2" t="inlineStr"/>
      <c r="C1721" s="2" t="inlineStr">
        <is>
          <t>EMPAQUE MULTIPLE ESCAPE FIESTA/KA</t>
        </is>
      </c>
      <c r="D1721" s="2" t="inlineStr">
        <is>
          <t>SABO ORIG</t>
        </is>
      </c>
      <c r="E1721" s="3" t="n">
        <v>4.83</v>
      </c>
      <c r="F1721" s="4" t="n">
        <v>0.3</v>
      </c>
      <c r="G1721" s="5">
        <f>ROUND(E1721*(1+F1721),2)</f>
        <v>6.28</v>
      </c>
      <c r="H1721" s="5">
        <f>ROUND(G1721*NOTAS!$B$2,2)</f>
        <v>4530.05</v>
      </c>
      <c r="I1721" s="6">
        <f>ROUND(G1721*NOTAS!$B$3,0)</f>
        <v>20403</v>
      </c>
      <c r="J1721" s="2" t="n">
        <v>8</v>
      </c>
    </row>
    <row r="1722">
      <c r="A1722" s="2" t="inlineStr">
        <is>
          <t>MS-22113</t>
        </is>
      </c>
      <c r="B1722" s="2" t="inlineStr"/>
      <c r="C1722" s="2" t="inlineStr">
        <is>
          <t>EMPAQUE MULTIPLE ESCAPE F-PAL/SIE 1.3 16V FIRE</t>
        </is>
      </c>
      <c r="D1722" s="2" t="inlineStr">
        <is>
          <t>FRACO</t>
        </is>
      </c>
      <c r="E1722" s="3" t="n">
        <v>1.63</v>
      </c>
      <c r="F1722" s="4" t="n">
        <v>0.3</v>
      </c>
      <c r="G1722" s="5">
        <f>ROUND(E1722*(1+F1722),2)</f>
        <v>2.12</v>
      </c>
      <c r="H1722" s="5">
        <f>ROUND(G1722*NOTAS!$B$2,2)</f>
        <v>1529.25</v>
      </c>
      <c r="I1722" s="6">
        <f>ROUND(G1722*NOTAS!$B$3,0)</f>
        <v>6888</v>
      </c>
      <c r="J1722" s="2" t="n">
        <v>7</v>
      </c>
    </row>
    <row r="1723">
      <c r="A1723" s="2" t="inlineStr">
        <is>
          <t>84612J</t>
        </is>
      </c>
      <c r="B1723" s="2" t="inlineStr"/>
      <c r="C1723" s="2" t="inlineStr">
        <is>
          <t>EMPAQUE MULTIPLE ESCAPE F-PAL/SIE 1.4 UNO FIRE</t>
        </is>
      </c>
      <c r="D1723" s="2" t="inlineStr">
        <is>
          <t>SABO ORIG</t>
        </is>
      </c>
      <c r="E1723" s="3" t="n">
        <v>2.83</v>
      </c>
      <c r="F1723" s="4" t="n">
        <v>0.3</v>
      </c>
      <c r="G1723" s="5">
        <f>ROUND(E1723*(1+F1723),2)</f>
        <v>3.68</v>
      </c>
      <c r="H1723" s="5">
        <f>ROUND(G1723*NOTAS!$B$2,2)</f>
        <v>2654.55</v>
      </c>
      <c r="I1723" s="6">
        <f>ROUND(G1723*NOTAS!$B$3,0)</f>
        <v>11956</v>
      </c>
      <c r="J1723" s="2" t="n">
        <v>2</v>
      </c>
    </row>
    <row r="1724">
      <c r="A1724" s="2" t="inlineStr">
        <is>
          <t>MS50025E</t>
        </is>
      </c>
      <c r="B1724" s="2" t="inlineStr"/>
      <c r="C1724" s="2" t="inlineStr">
        <is>
          <t>EMPAQUE MULTIPLE ESCAPE F-PAL/SIE 1.6 16V</t>
        </is>
      </c>
      <c r="D1724" s="2" t="inlineStr">
        <is>
          <t>FRACO</t>
        </is>
      </c>
      <c r="E1724" s="3" t="n">
        <v>2</v>
      </c>
      <c r="F1724" s="4" t="n">
        <v>0.3</v>
      </c>
      <c r="G1724" s="5">
        <f>ROUND(E1724*(1+F1724),2)</f>
        <v>2.60</v>
      </c>
      <c r="H1724" s="5">
        <f>ROUND(G1724*NOTAS!$B$2,2)</f>
        <v>1875.50</v>
      </c>
      <c r="I1724" s="6">
        <f>ROUND(G1724*NOTAS!$B$3,0)</f>
        <v>8447</v>
      </c>
      <c r="J1724" s="2" t="n">
        <v>3</v>
      </c>
    </row>
    <row r="1725">
      <c r="A1725" s="2" t="inlineStr"/>
      <c r="B1725" s="2" t="inlineStr"/>
      <c r="C1725" s="2" t="inlineStr">
        <is>
          <t>EMPAQUE MULTIPLE ESCAPE HYUNDAI ACCENT</t>
        </is>
      </c>
      <c r="D1725" s="2" t="inlineStr">
        <is>
          <t>KOREA</t>
        </is>
      </c>
      <c r="E1725" s="3" t="n">
        <v>2</v>
      </c>
      <c r="F1725" s="4" t="n">
        <v>0.3</v>
      </c>
      <c r="G1725" s="5">
        <f>ROUND(E1725*(1+F1725),2)</f>
        <v>2.60</v>
      </c>
      <c r="H1725" s="5">
        <f>ROUND(G1725*NOTAS!$B$2,2)</f>
        <v>1875.50</v>
      </c>
      <c r="I1725" s="6">
        <f>ROUND(G1725*NOTAS!$B$3,0)</f>
        <v>8447</v>
      </c>
      <c r="J1725" s="2" t="n">
        <v>3</v>
      </c>
    </row>
    <row r="1726">
      <c r="A1726" s="2" t="inlineStr">
        <is>
          <t>96353036</t>
        </is>
      </c>
      <c r="B1726" s="2" t="inlineStr"/>
      <c r="C1726" s="2" t="inlineStr">
        <is>
          <t>EMPAQUE MULTIPLE ESCAPE MATIZ</t>
        </is>
      </c>
      <c r="D1726" s="2" t="inlineStr">
        <is>
          <t>KOREA</t>
        </is>
      </c>
      <c r="E1726" s="3" t="n">
        <v>2</v>
      </c>
      <c r="F1726" s="4" t="n">
        <v>0.3</v>
      </c>
      <c r="G1726" s="5">
        <f>ROUND(E1726*(1+F1726),2)</f>
        <v>2.60</v>
      </c>
      <c r="H1726" s="5">
        <f>ROUND(G1726*NOTAS!$B$2,2)</f>
        <v>1875.50</v>
      </c>
      <c r="I1726" s="6">
        <f>ROUND(G1726*NOTAS!$B$3,0)</f>
        <v>8447</v>
      </c>
      <c r="J1726" s="2" t="n">
        <v>1</v>
      </c>
    </row>
    <row r="1727">
      <c r="A1727" s="2" t="inlineStr"/>
      <c r="B1727" s="2" t="inlineStr"/>
      <c r="C1727" s="2" t="inlineStr">
        <is>
          <t>EMPAQUE MULTIPLE ESCAPE MONZA</t>
        </is>
      </c>
      <c r="D1727" s="2" t="inlineStr">
        <is>
          <t>FRACO</t>
        </is>
      </c>
      <c r="E1727" s="3" t="n">
        <v>2</v>
      </c>
      <c r="F1727" s="4" t="n">
        <v>0.3</v>
      </c>
      <c r="G1727" s="5">
        <f>ROUND(E1727*(1+F1727),2)</f>
        <v>2.60</v>
      </c>
      <c r="H1727" s="5">
        <f>ROUND(G1727*NOTAS!$B$2,2)</f>
        <v>1875.50</v>
      </c>
      <c r="I1727" s="6">
        <f>ROUND(G1727*NOTAS!$B$3,0)</f>
        <v>8447</v>
      </c>
      <c r="J1727" s="2" t="n">
        <v>4</v>
      </c>
    </row>
    <row r="1728">
      <c r="A1728" s="2" t="inlineStr">
        <is>
          <t>MS-12893-E</t>
        </is>
      </c>
      <c r="B1728" s="2" t="inlineStr"/>
      <c r="C1728" s="2" t="inlineStr">
        <is>
          <t>EMPAQUE MULTIPLE ESCAPE OPTRA</t>
        </is>
      </c>
      <c r="D1728" s="2" t="inlineStr">
        <is>
          <t>FRACO</t>
        </is>
      </c>
      <c r="E1728" s="3" t="n">
        <v>3.5</v>
      </c>
      <c r="F1728" s="4" t="n">
        <v>0.3</v>
      </c>
      <c r="G1728" s="5">
        <f>ROUND(E1728*(1+F1728),2)</f>
        <v>4.55</v>
      </c>
      <c r="H1728" s="5">
        <f>ROUND(G1728*NOTAS!$B$2,2)</f>
        <v>3282.12</v>
      </c>
      <c r="I1728" s="6">
        <f>ROUND(G1728*NOTAS!$B$3,0)</f>
        <v>14782</v>
      </c>
      <c r="J1728" s="2" t="n">
        <v>5</v>
      </c>
    </row>
    <row r="1729">
      <c r="A1729" s="2" t="inlineStr">
        <is>
          <t>7733100</t>
        </is>
      </c>
      <c r="B1729" s="2" t="inlineStr"/>
      <c r="C1729" s="2" t="inlineStr">
        <is>
          <t>EMPAQUE MULTIPLE ESCAPE R-18/FUEGO/21</t>
        </is>
      </c>
      <c r="D1729" s="2" t="inlineStr">
        <is>
          <t>FRACO</t>
        </is>
      </c>
      <c r="E1729" s="3" t="n">
        <v>2.37</v>
      </c>
      <c r="F1729" s="4" t="n">
        <v>0.3</v>
      </c>
      <c r="G1729" s="5">
        <f>ROUND(E1729*(1+F1729),2)</f>
        <v>3.08</v>
      </c>
      <c r="H1729" s="5">
        <f>ROUND(G1729*NOTAS!$B$2,2)</f>
        <v>2221.74</v>
      </c>
      <c r="I1729" s="6">
        <f>ROUND(G1729*NOTAS!$B$3,0)</f>
        <v>10007</v>
      </c>
      <c r="J1729" s="2" t="n">
        <v>4</v>
      </c>
    </row>
    <row r="1730">
      <c r="A1730" s="2" t="inlineStr">
        <is>
          <t>MS30015SE</t>
        </is>
      </c>
      <c r="B1730" s="2" t="inlineStr"/>
      <c r="C1730" s="2" t="inlineStr">
        <is>
          <t>EMPAQUE MULTIPLE ESCAPE R-SYMBOL/MEG</t>
        </is>
      </c>
      <c r="D1730" s="2" t="inlineStr">
        <is>
          <t>NOVA</t>
        </is>
      </c>
      <c r="E1730" s="3" t="n">
        <v>3</v>
      </c>
      <c r="F1730" s="4" t="n">
        <v>0.3</v>
      </c>
      <c r="G1730" s="5">
        <f>ROUND(E1730*(1+F1730),2)</f>
        <v>3.90</v>
      </c>
      <c r="H1730" s="5">
        <f>ROUND(G1730*NOTAS!$B$2,2)</f>
        <v>2813.25</v>
      </c>
      <c r="I1730" s="6">
        <f>ROUND(G1730*NOTAS!$B$3,0)</f>
        <v>12671</v>
      </c>
      <c r="J1730" s="2" t="n">
        <v>2</v>
      </c>
    </row>
    <row r="1731">
      <c r="A1731" s="2" t="inlineStr">
        <is>
          <t>570515</t>
        </is>
      </c>
      <c r="B1731" s="2" t="inlineStr"/>
      <c r="C1731" s="2" t="inlineStr">
        <is>
          <t>EMPAQUE MULTIPLE ESCAPE R-TWINGO</t>
        </is>
      </c>
      <c r="D1731" s="2" t="inlineStr">
        <is>
          <t>TARANTO</t>
        </is>
      </c>
      <c r="E1731" s="3" t="n">
        <v>3</v>
      </c>
      <c r="F1731" s="4" t="n">
        <v>0.3</v>
      </c>
      <c r="G1731" s="5">
        <f>ROUND(E1731*(1+F1731),2)</f>
        <v>3.90</v>
      </c>
      <c r="H1731" s="5">
        <f>ROUND(G1731*NOTAS!$B$2,2)</f>
        <v>2813.25</v>
      </c>
      <c r="I1731" s="6">
        <f>ROUND(G1731*NOTAS!$B$3,0)</f>
        <v>12671</v>
      </c>
      <c r="J1731" s="2" t="n">
        <v>2</v>
      </c>
    </row>
    <row r="1732">
      <c r="A1732" s="2" t="inlineStr">
        <is>
          <t>MS30050SE</t>
        </is>
      </c>
      <c r="B1732" s="2" t="inlineStr"/>
      <c r="C1732" s="2" t="inlineStr">
        <is>
          <t>EMPAQUE MULTIPLE ESCAPE R-TWINGO</t>
        </is>
      </c>
      <c r="D1732" s="2" t="inlineStr">
        <is>
          <t>NOVA</t>
        </is>
      </c>
      <c r="E1732" s="3" t="n">
        <v>3</v>
      </c>
      <c r="F1732" s="4" t="n">
        <v>0.3</v>
      </c>
      <c r="G1732" s="5">
        <f>ROUND(E1732*(1+F1732),2)</f>
        <v>3.90</v>
      </c>
      <c r="H1732" s="5">
        <f>ROUND(G1732*NOTAS!$B$2,2)</f>
        <v>2813.25</v>
      </c>
      <c r="I1732" s="6">
        <f>ROUND(G1732*NOTAS!$B$3,0)</f>
        <v>12671</v>
      </c>
      <c r="J1732" s="2" t="n">
        <v>1</v>
      </c>
    </row>
    <row r="1733">
      <c r="A1733" s="2" t="inlineStr">
        <is>
          <t>MS-1285-E</t>
        </is>
      </c>
      <c r="B1733" s="2" t="inlineStr"/>
      <c r="C1733" s="2" t="inlineStr">
        <is>
          <t>EMPAQUE MULTIPLE ESCAPE SPARK</t>
        </is>
      </c>
      <c r="D1733" s="2" t="inlineStr">
        <is>
          <t>FRACO</t>
        </is>
      </c>
      <c r="E1733" s="3" t="n">
        <v>2.78</v>
      </c>
      <c r="F1733" s="4" t="n">
        <v>0.3</v>
      </c>
      <c r="G1733" s="5">
        <f>ROUND(E1733*(1+F1733),2)</f>
        <v>3.61</v>
      </c>
      <c r="H1733" s="5">
        <f>ROUND(G1733*NOTAS!$B$2,2)</f>
        <v>2604.06</v>
      </c>
      <c r="I1733" s="6">
        <f>ROUND(G1733*NOTAS!$B$3,0)</f>
        <v>11728</v>
      </c>
      <c r="J1733" s="2" t="n">
        <v>5</v>
      </c>
    </row>
    <row r="1734">
      <c r="A1734" s="2" t="inlineStr"/>
      <c r="B1734" s="2" t="inlineStr"/>
      <c r="C1734" s="2" t="inlineStr">
        <is>
          <t>EMPAQUE MULTIPLE ESCAPE SWIFT 1.3</t>
        </is>
      </c>
      <c r="D1734" s="2" t="inlineStr">
        <is>
          <t>FRACO</t>
        </is>
      </c>
      <c r="E1734" s="3" t="n">
        <v>2</v>
      </c>
      <c r="F1734" s="4" t="n">
        <v>0.3</v>
      </c>
      <c r="G1734" s="5">
        <f>ROUND(E1734*(1+F1734),2)</f>
        <v>2.60</v>
      </c>
      <c r="H1734" s="5">
        <f>ROUND(G1734*NOTAS!$B$2,2)</f>
        <v>1875.50</v>
      </c>
      <c r="I1734" s="6">
        <f>ROUND(G1734*NOTAS!$B$3,0)</f>
        <v>8447</v>
      </c>
      <c r="J1734" s="2" t="n">
        <v>1</v>
      </c>
    </row>
    <row r="1735">
      <c r="A1735" s="2" t="inlineStr">
        <is>
          <t>MS-12100</t>
        </is>
      </c>
      <c r="B1735" s="2" t="inlineStr"/>
      <c r="C1735" s="2" t="inlineStr">
        <is>
          <t>EMPAQUE MULTIPLE F-147/UNO 1.3</t>
        </is>
      </c>
      <c r="D1735" s="2" t="inlineStr">
        <is>
          <t>FRACO</t>
        </is>
      </c>
      <c r="E1735" s="3" t="n">
        <v>2.28</v>
      </c>
      <c r="F1735" s="4" t="n">
        <v>0.3</v>
      </c>
      <c r="G1735" s="5">
        <f>ROUND(E1735*(1+F1735),2)</f>
        <v>2.96</v>
      </c>
      <c r="H1735" s="5">
        <f>ROUND(G1735*NOTAS!$B$2,2)</f>
        <v>2135.18</v>
      </c>
      <c r="I1735" s="6">
        <f>ROUND(G1735*NOTAS!$B$3,0)</f>
        <v>9617</v>
      </c>
      <c r="J1735" s="2" t="n">
        <v>17</v>
      </c>
    </row>
    <row r="1736">
      <c r="A1736" s="2" t="inlineStr">
        <is>
          <t>MS-12102</t>
        </is>
      </c>
      <c r="B1736" s="2" t="inlineStr"/>
      <c r="C1736" s="2" t="inlineStr">
        <is>
          <t>EMPAQUE MULTIPLE F-UNO/PREMIO 1.5</t>
        </is>
      </c>
      <c r="D1736" s="2" t="inlineStr">
        <is>
          <t>FRACO</t>
        </is>
      </c>
      <c r="E1736" s="3" t="n">
        <v>2.41</v>
      </c>
      <c r="F1736" s="4" t="n">
        <v>0.3</v>
      </c>
      <c r="G1736" s="5">
        <f>ROUND(E1736*(1+F1736),2)</f>
        <v>3.13</v>
      </c>
      <c r="H1736" s="5">
        <f>ROUND(G1736*NOTAS!$B$2,2)</f>
        <v>2257.81</v>
      </c>
      <c r="I1736" s="6">
        <f>ROUND(G1736*NOTAS!$B$3,0)</f>
        <v>10169</v>
      </c>
      <c r="J1736" s="2" t="n">
        <v>12</v>
      </c>
    </row>
    <row r="1737">
      <c r="A1737" s="2" t="inlineStr">
        <is>
          <t>MS-26105</t>
        </is>
      </c>
      <c r="B1737" s="2" t="inlineStr"/>
      <c r="C1737" s="2" t="inlineStr">
        <is>
          <t>EMPAQUE MULTIPLE F-UNO/PREMIO 1.5/REGATA AUT</t>
        </is>
      </c>
      <c r="D1737" s="2" t="inlineStr">
        <is>
          <t>FRAVEN</t>
        </is>
      </c>
      <c r="E1737" s="3" t="n">
        <v>2</v>
      </c>
      <c r="F1737" s="4" t="n">
        <v>0.3</v>
      </c>
      <c r="G1737" s="5">
        <f>ROUND(E1737*(1+F1737),2)</f>
        <v>2.60</v>
      </c>
      <c r="H1737" s="5">
        <f>ROUND(G1737*NOTAS!$B$2,2)</f>
        <v>1875.50</v>
      </c>
      <c r="I1737" s="6">
        <f>ROUND(G1737*NOTAS!$B$3,0)</f>
        <v>8447</v>
      </c>
      <c r="J1737" s="2" t="n">
        <v>8</v>
      </c>
    </row>
    <row r="1738">
      <c r="A1738" s="2" t="inlineStr"/>
      <c r="B1738" s="2" t="inlineStr"/>
      <c r="C1738" s="2" t="inlineStr">
        <is>
          <t>EMPAQUE MULTIPLE R-11 1.4</t>
        </is>
      </c>
      <c r="D1738" s="2" t="inlineStr">
        <is>
          <t>FRACO</t>
        </is>
      </c>
      <c r="E1738" s="3" t="n">
        <v>2</v>
      </c>
      <c r="F1738" s="4" t="n">
        <v>0.3</v>
      </c>
      <c r="G1738" s="5">
        <f>ROUND(E1738*(1+F1738),2)</f>
        <v>2.60</v>
      </c>
      <c r="H1738" s="5">
        <f>ROUND(G1738*NOTAS!$B$2,2)</f>
        <v>1875.50</v>
      </c>
      <c r="I1738" s="6">
        <f>ROUND(G1738*NOTAS!$B$3,0)</f>
        <v>8447</v>
      </c>
      <c r="J1738" s="2" t="n">
        <v>14</v>
      </c>
    </row>
    <row r="1739">
      <c r="A1739" s="2" t="inlineStr">
        <is>
          <t>TCS-575</t>
        </is>
      </c>
      <c r="B1739" s="2" t="inlineStr"/>
      <c r="C1739" s="2" t="inlineStr">
        <is>
          <t>EMPAQUE TAPA CADENA CHEVETTE</t>
        </is>
      </c>
      <c r="D1739" s="2" t="inlineStr">
        <is>
          <t>FRACO</t>
        </is>
      </c>
      <c r="E1739" s="3" t="n">
        <v>4.5</v>
      </c>
      <c r="F1739" s="4" t="n">
        <v>0.3</v>
      </c>
      <c r="G1739" s="5">
        <f>ROUND(E1739*(1+F1739),2)</f>
        <v>5.85</v>
      </c>
      <c r="H1739" s="5">
        <f>ROUND(G1739*NOTAS!$B$2,2)</f>
        <v>4219.87</v>
      </c>
      <c r="I1739" s="6">
        <f>ROUND(G1739*NOTAS!$B$3,0)</f>
        <v>19006</v>
      </c>
      <c r="J1739" s="2" t="n">
        <v>2</v>
      </c>
    </row>
    <row r="1740">
      <c r="A1740" s="2" t="inlineStr">
        <is>
          <t>96353002</t>
        </is>
      </c>
      <c r="B1740" s="2" t="inlineStr"/>
      <c r="C1740" s="2" t="inlineStr">
        <is>
          <t>EMPAQUE TAPA VALVULA AVEO 1.6</t>
        </is>
      </c>
      <c r="D1740" s="2" t="inlineStr">
        <is>
          <t>GM</t>
        </is>
      </c>
      <c r="E1740" s="3" t="n">
        <v>9.2308</v>
      </c>
      <c r="F1740" s="4" t="n">
        <v>0.3</v>
      </c>
      <c r="G1740" s="5">
        <f>ROUND(E1740*(1+F1740),2)</f>
        <v>12.00</v>
      </c>
      <c r="H1740" s="5">
        <f>ROUND(G1740*NOTAS!$B$2,2)</f>
        <v>8656.15</v>
      </c>
      <c r="I1740" s="6">
        <f>ROUND(G1740*NOTAS!$B$3,0)</f>
        <v>38986</v>
      </c>
      <c r="J1740" s="2" t="n">
        <v>1</v>
      </c>
    </row>
    <row r="1741">
      <c r="A1741" s="2" t="inlineStr">
        <is>
          <t>VS-575</t>
        </is>
      </c>
      <c r="B1741" s="2" t="inlineStr"/>
      <c r="C1741" s="2" t="inlineStr">
        <is>
          <t>EMPAQUE TAPA VALVULA CHEVETTE</t>
        </is>
      </c>
      <c r="D1741" s="2" t="inlineStr">
        <is>
          <t>FRACO</t>
        </is>
      </c>
      <c r="E1741" s="3" t="n">
        <v>2.06</v>
      </c>
      <c r="F1741" s="4" t="n">
        <v>0.3</v>
      </c>
      <c r="G1741" s="5">
        <f>ROUND(E1741*(1+F1741),2)</f>
        <v>2.68</v>
      </c>
      <c r="H1741" s="5">
        <f>ROUND(G1741*NOTAS!$B$2,2)</f>
        <v>1933.21</v>
      </c>
      <c r="I1741" s="6">
        <f>ROUND(G1741*NOTAS!$B$3,0)</f>
        <v>8707</v>
      </c>
      <c r="J1741" s="2" t="n">
        <v>3</v>
      </c>
    </row>
    <row r="1742">
      <c r="A1742" s="2" t="inlineStr">
        <is>
          <t>10837F1</t>
        </is>
      </c>
      <c r="B1742" s="2" t="inlineStr"/>
      <c r="C1742" s="2" t="inlineStr">
        <is>
          <t>EMPAQUE TAPA VALVULA CHEVETTE GOMAS TORNILLO</t>
        </is>
      </c>
      <c r="D1742" s="2" t="inlineStr">
        <is>
          <t>SABO ORIG</t>
        </is>
      </c>
      <c r="E1742" s="3" t="n">
        <v>3</v>
      </c>
      <c r="F1742" s="4" t="n">
        <v>0.3</v>
      </c>
      <c r="G1742" s="5">
        <f>ROUND(E1742*(1+F1742),2)</f>
        <v>3.90</v>
      </c>
      <c r="H1742" s="5">
        <f>ROUND(G1742*NOTAS!$B$2,2)</f>
        <v>2813.25</v>
      </c>
      <c r="I1742" s="6">
        <f>ROUND(G1742*NOTAS!$B$3,0)</f>
        <v>12671</v>
      </c>
      <c r="J1742" s="2" t="n">
        <v>2</v>
      </c>
    </row>
    <row r="1743">
      <c r="A1743" s="2" t="inlineStr">
        <is>
          <t>75635</t>
        </is>
      </c>
      <c r="B1743" s="2" t="inlineStr"/>
      <c r="C1743" s="2" t="inlineStr">
        <is>
          <t>EMPAQUE TAPA VALVULA COROLLA NEW SENSATION 03/08</t>
        </is>
      </c>
      <c r="D1743" s="2" t="inlineStr">
        <is>
          <t>SABO</t>
        </is>
      </c>
      <c r="E1743" s="3" t="n">
        <v>6.05</v>
      </c>
      <c r="F1743" s="4" t="n">
        <v>0.3</v>
      </c>
      <c r="G1743" s="5">
        <f>ROUND(E1743*(1+F1743),2)</f>
        <v>7.87</v>
      </c>
      <c r="H1743" s="5">
        <f>ROUND(G1743*NOTAS!$B$2,2)</f>
        <v>5676.99</v>
      </c>
      <c r="I1743" s="6">
        <f>ROUND(G1743*NOTAS!$B$3,0)</f>
        <v>25569</v>
      </c>
      <c r="J1743" s="2" t="n">
        <v>1</v>
      </c>
    </row>
    <row r="1744">
      <c r="A1744" s="2" t="inlineStr"/>
      <c r="B1744" s="2" t="inlineStr"/>
      <c r="C1744" s="2" t="inlineStr">
        <is>
          <t>EMPAQUE TAPA VALVULA CORSA CORCHO</t>
        </is>
      </c>
      <c r="D1744" s="2" t="inlineStr">
        <is>
          <t>SABO ORIG</t>
        </is>
      </c>
      <c r="E1744" s="3" t="n">
        <v>2</v>
      </c>
      <c r="F1744" s="4" t="n">
        <v>0.3</v>
      </c>
      <c r="G1744" s="5">
        <f>ROUND(E1744*(1+F1744),2)</f>
        <v>2.60</v>
      </c>
      <c r="H1744" s="5">
        <f>ROUND(G1744*NOTAS!$B$2,2)</f>
        <v>1875.50</v>
      </c>
      <c r="I1744" s="6">
        <f>ROUND(G1744*NOTAS!$B$3,0)</f>
        <v>8447</v>
      </c>
      <c r="J1744" s="2" t="n">
        <v>12</v>
      </c>
    </row>
    <row r="1745">
      <c r="A1745" s="2" t="inlineStr">
        <is>
          <t>VS-50347-0</t>
        </is>
      </c>
      <c r="B1745" s="2" t="inlineStr"/>
      <c r="C1745" s="2" t="inlineStr">
        <is>
          <t>EMPAQUE TAPA VALVULA CORSA CORCHO</t>
        </is>
      </c>
      <c r="D1745" s="2" t="inlineStr">
        <is>
          <t>FRACO</t>
        </is>
      </c>
      <c r="E1745" s="3" t="n">
        <v>1</v>
      </c>
      <c r="F1745" s="4" t="n">
        <v>0.3</v>
      </c>
      <c r="G1745" s="5">
        <f>ROUND(E1745*(1+F1745),2)</f>
        <v>1.30</v>
      </c>
      <c r="H1745" s="5">
        <f>ROUND(G1745*NOTAS!$B$2,2)</f>
        <v>937.75</v>
      </c>
      <c r="I1745" s="6">
        <f>ROUND(G1745*NOTAS!$B$3,0)</f>
        <v>4224</v>
      </c>
      <c r="J1745" s="2" t="n">
        <v>6</v>
      </c>
    </row>
    <row r="1746">
      <c r="A1746" s="2" t="inlineStr">
        <is>
          <t>90409594</t>
        </is>
      </c>
      <c r="B1746" s="2" t="inlineStr"/>
      <c r="C1746" s="2" t="inlineStr">
        <is>
          <t xml:space="preserve">EMPAQUE TAPA VALVULA CORSA GOMA </t>
        </is>
      </c>
      <c r="D1746" s="2" t="inlineStr">
        <is>
          <t>GM</t>
        </is>
      </c>
      <c r="E1746" s="3" t="n">
        <v>1.24</v>
      </c>
      <c r="F1746" s="4" t="n">
        <v>0.3</v>
      </c>
      <c r="G1746" s="5">
        <f>ROUND(E1746*(1+F1746),2)</f>
        <v>1.61</v>
      </c>
      <c r="H1746" s="5">
        <f>ROUND(G1746*NOTAS!$B$2,2)</f>
        <v>1161.37</v>
      </c>
      <c r="I1746" s="6">
        <f>ROUND(G1746*NOTAS!$B$3,0)</f>
        <v>5231</v>
      </c>
      <c r="J1746" s="2" t="n">
        <v>2</v>
      </c>
    </row>
    <row r="1747">
      <c r="A1747" s="2" t="inlineStr">
        <is>
          <t>VS-50347-2G</t>
        </is>
      </c>
      <c r="B1747" s="2" t="inlineStr"/>
      <c r="C1747" s="2" t="inlineStr">
        <is>
          <t xml:space="preserve">EMPAQUE TAPA VALVULA CORSA GOMA </t>
        </is>
      </c>
      <c r="D1747" s="2" t="inlineStr">
        <is>
          <t>FRACO</t>
        </is>
      </c>
      <c r="E1747" s="3" t="n">
        <v>2.74</v>
      </c>
      <c r="F1747" s="4" t="n">
        <v>0.3</v>
      </c>
      <c r="G1747" s="5">
        <f>ROUND(E1747*(1+F1747),2)</f>
        <v>3.56</v>
      </c>
      <c r="H1747" s="5">
        <f>ROUND(G1747*NOTAS!$B$2,2)</f>
        <v>2567.99</v>
      </c>
      <c r="I1747" s="6">
        <f>ROUND(G1747*NOTAS!$B$3,0)</f>
        <v>11566</v>
      </c>
      <c r="J1747" s="2" t="n">
        <v>1</v>
      </c>
    </row>
    <row r="1748">
      <c r="A1748" s="2" t="inlineStr">
        <is>
          <t>P96181318</t>
        </is>
      </c>
      <c r="B1748" s="2" t="inlineStr"/>
      <c r="C1748" s="2" t="inlineStr">
        <is>
          <t xml:space="preserve">EMPAQUE TAPA VALVULA CORSA GOMA </t>
        </is>
      </c>
      <c r="D1748" s="2" t="inlineStr">
        <is>
          <t>PARTS-MALL</t>
        </is>
      </c>
      <c r="E1748" s="3" t="n">
        <v>1</v>
      </c>
      <c r="F1748" s="4" t="n">
        <v>0.3</v>
      </c>
      <c r="G1748" s="5">
        <f>ROUND(E1748*(1+F1748),2)</f>
        <v>1.30</v>
      </c>
      <c r="H1748" s="5">
        <f>ROUND(G1748*NOTAS!$B$2,2)</f>
        <v>937.75</v>
      </c>
      <c r="I1748" s="6">
        <f>ROUND(G1748*NOTAS!$B$3,0)</f>
        <v>4224</v>
      </c>
      <c r="J1748" s="2" t="n">
        <v>66</v>
      </c>
    </row>
    <row r="1749">
      <c r="A1749" s="2" t="inlineStr">
        <is>
          <t>76351</t>
        </is>
      </c>
      <c r="B1749" s="2" t="inlineStr"/>
      <c r="C1749" s="2" t="inlineStr">
        <is>
          <t xml:space="preserve">EMPAQUE TAPA VALVULA CORSA GOMA </t>
        </is>
      </c>
      <c r="D1749" s="2" t="inlineStr">
        <is>
          <t>SABO ORIG</t>
        </is>
      </c>
      <c r="E1749" s="3" t="n">
        <v>2</v>
      </c>
      <c r="F1749" s="4" t="n">
        <v>0.3</v>
      </c>
      <c r="G1749" s="5">
        <f>ROUND(E1749*(1+F1749),2)</f>
        <v>2.60</v>
      </c>
      <c r="H1749" s="5">
        <f>ROUND(G1749*NOTAS!$B$2,2)</f>
        <v>1875.50</v>
      </c>
      <c r="I1749" s="6">
        <f>ROUND(G1749*NOTAS!$B$3,0)</f>
        <v>8447</v>
      </c>
      <c r="J1749" s="2" t="n">
        <v>27</v>
      </c>
    </row>
    <row r="1750">
      <c r="A1750" s="2" t="inlineStr">
        <is>
          <t>1220025</t>
        </is>
      </c>
      <c r="B1750" s="2" t="inlineStr"/>
      <c r="C1750" s="2" t="inlineStr">
        <is>
          <t>EMPAQUE TAPA VALVULA ECOSPORT /FOCUS2.0</t>
        </is>
      </c>
      <c r="D1750" s="2" t="inlineStr">
        <is>
          <t>FORD</t>
        </is>
      </c>
      <c r="E1750" s="3" t="n">
        <v>25</v>
      </c>
      <c r="F1750" s="4" t="n">
        <v>0.3</v>
      </c>
      <c r="G1750" s="5">
        <f>ROUND(E1750*(1+F1750),2)</f>
        <v>32.50</v>
      </c>
      <c r="H1750" s="5">
        <f>ROUND(G1750*NOTAS!$B$2,2)</f>
        <v>23443.73</v>
      </c>
      <c r="I1750" s="6">
        <f>ROUND(G1750*NOTAS!$B$3,0)</f>
        <v>105588</v>
      </c>
      <c r="J1750" s="2" t="n">
        <v>2</v>
      </c>
    </row>
    <row r="1751">
      <c r="A1751" s="2" t="inlineStr">
        <is>
          <t>75641FLEX</t>
        </is>
      </c>
      <c r="B1751" s="2" t="inlineStr"/>
      <c r="C1751" s="2" t="inlineStr">
        <is>
          <t>EMPAQUE TAPA VALVULA ECOSPORT/FOCUS 2.0</t>
        </is>
      </c>
      <c r="D1751" s="2" t="inlineStr">
        <is>
          <t>SABO ORIG</t>
        </is>
      </c>
      <c r="E1751" s="3" t="n">
        <v>15</v>
      </c>
      <c r="F1751" s="4" t="n">
        <v>0.3</v>
      </c>
      <c r="G1751" s="5">
        <f>ROUND(E1751*(1+F1751),2)</f>
        <v>19.50</v>
      </c>
      <c r="H1751" s="5">
        <f>ROUND(G1751*NOTAS!$B$2,2)</f>
        <v>14066.24</v>
      </c>
      <c r="I1751" s="6">
        <f>ROUND(G1751*NOTAS!$B$3,0)</f>
        <v>63353</v>
      </c>
      <c r="J1751" s="2" t="n">
        <v>1</v>
      </c>
    </row>
    <row r="1752">
      <c r="A1752" s="2" t="inlineStr">
        <is>
          <t>VS-42100-C</t>
        </is>
      </c>
      <c r="B1752" s="2" t="inlineStr"/>
      <c r="C1752" s="2" t="inlineStr">
        <is>
          <t>EMPAQUE TAPA VALVULA F-147/UNO 1.3 CORCHO</t>
        </is>
      </c>
      <c r="D1752" s="2" t="inlineStr">
        <is>
          <t>FRACO</t>
        </is>
      </c>
      <c r="E1752" s="3" t="n">
        <v>1.8</v>
      </c>
      <c r="F1752" s="4" t="n">
        <v>0.3</v>
      </c>
      <c r="G1752" s="5">
        <f>ROUND(E1752*(1+F1752),2)</f>
        <v>2.34</v>
      </c>
      <c r="H1752" s="5">
        <f>ROUND(G1752*NOTAS!$B$2,2)</f>
        <v>1687.95</v>
      </c>
      <c r="I1752" s="6">
        <f>ROUND(G1752*NOTAS!$B$3,0)</f>
        <v>7602</v>
      </c>
      <c r="J1752" s="2" t="n">
        <v>10</v>
      </c>
    </row>
    <row r="1753">
      <c r="A1753" s="2" t="inlineStr">
        <is>
          <t>B630-10-235T</t>
        </is>
      </c>
      <c r="B1753" s="2" t="inlineStr"/>
      <c r="C1753" s="2" t="inlineStr">
        <is>
          <t>EMPAQUE TAPA VALVULA FESTIVA</t>
        </is>
      </c>
      <c r="D1753" s="2" t="inlineStr">
        <is>
          <t>KOREA</t>
        </is>
      </c>
      <c r="E1753" s="3" t="n">
        <v>4</v>
      </c>
      <c r="F1753" s="4" t="n">
        <v>0.3</v>
      </c>
      <c r="G1753" s="5">
        <f>ROUND(E1753*(1+F1753),2)</f>
        <v>5.20</v>
      </c>
      <c r="H1753" s="5">
        <f>ROUND(G1753*NOTAS!$B$2,2)</f>
        <v>3751.00</v>
      </c>
      <c r="I1753" s="6">
        <f>ROUND(G1753*NOTAS!$B$3,0)</f>
        <v>16894</v>
      </c>
      <c r="J1753" s="2" t="n">
        <v>2</v>
      </c>
    </row>
    <row r="1754">
      <c r="A1754" s="2" t="inlineStr">
        <is>
          <t>340110</t>
        </is>
      </c>
      <c r="B1754" s="2" t="inlineStr"/>
      <c r="C1754" s="2" t="inlineStr">
        <is>
          <t>EMPAQUE TAPA VALVULA FIESTA/KA</t>
        </is>
      </c>
      <c r="D1754" s="2" t="inlineStr">
        <is>
          <t>TARANTO</t>
        </is>
      </c>
      <c r="E1754" s="3" t="n">
        <v>3</v>
      </c>
      <c r="F1754" s="4" t="n">
        <v>0.3</v>
      </c>
      <c r="G1754" s="5">
        <f>ROUND(E1754*(1+F1754),2)</f>
        <v>3.90</v>
      </c>
      <c r="H1754" s="5">
        <f>ROUND(G1754*NOTAS!$B$2,2)</f>
        <v>2813.25</v>
      </c>
      <c r="I1754" s="6">
        <f>ROUND(G1754*NOTAS!$B$3,0)</f>
        <v>12671</v>
      </c>
      <c r="J1754" s="2" t="n">
        <v>2</v>
      </c>
    </row>
    <row r="1755">
      <c r="A1755" s="2" t="inlineStr">
        <is>
          <t>75022</t>
        </is>
      </c>
      <c r="B1755" s="2" t="inlineStr"/>
      <c r="C1755" s="2" t="inlineStr">
        <is>
          <t>EMPAQUE TAPA VALVULA FIESTA/KA</t>
        </is>
      </c>
      <c r="D1755" s="2" t="inlineStr">
        <is>
          <t>SABO ORIG</t>
        </is>
      </c>
      <c r="E1755" s="3" t="n">
        <v>3.36</v>
      </c>
      <c r="F1755" s="4" t="n">
        <v>0.3</v>
      </c>
      <c r="G1755" s="5">
        <f>ROUND(E1755*(1+F1755),2)</f>
        <v>4.37</v>
      </c>
      <c r="H1755" s="5">
        <f>ROUND(G1755*NOTAS!$B$2,2)</f>
        <v>3152.28</v>
      </c>
      <c r="I1755" s="6">
        <f>ROUND(G1755*NOTAS!$B$3,0)</f>
        <v>14198</v>
      </c>
      <c r="J1755" s="2" t="n">
        <v>30</v>
      </c>
    </row>
    <row r="1756">
      <c r="A1756" s="2" t="inlineStr">
        <is>
          <t>VS-42100</t>
        </is>
      </c>
      <c r="B1756" s="2" t="inlineStr"/>
      <c r="C1756" s="2" t="inlineStr">
        <is>
          <t>EMPAQUE TAPA VALVULA F-PAL/SIE 1.3</t>
        </is>
      </c>
      <c r="D1756" s="2" t="inlineStr">
        <is>
          <t>FRACO</t>
        </is>
      </c>
      <c r="E1756" s="3" t="n">
        <v>1.8</v>
      </c>
      <c r="F1756" s="4" t="n">
        <v>0.3</v>
      </c>
      <c r="G1756" s="5">
        <f>ROUND(E1756*(1+F1756),2)</f>
        <v>2.34</v>
      </c>
      <c r="H1756" s="5">
        <f>ROUND(G1756*NOTAS!$B$2,2)</f>
        <v>1687.95</v>
      </c>
      <c r="I1756" s="6">
        <f>ROUND(G1756*NOTAS!$B$3,0)</f>
        <v>7602</v>
      </c>
      <c r="J1756" s="2" t="n">
        <v>95</v>
      </c>
    </row>
    <row r="1757">
      <c r="A1757" s="2" t="inlineStr">
        <is>
          <t>VS-2113-M</t>
        </is>
      </c>
      <c r="B1757" s="2" t="inlineStr"/>
      <c r="C1757" s="2" t="inlineStr">
        <is>
          <t>EMPAQUE TAPA VALVULA F-PAL/SIE 1.3 16V FIRE</t>
        </is>
      </c>
      <c r="D1757" s="2" t="inlineStr">
        <is>
          <t>FRACO</t>
        </is>
      </c>
      <c r="E1757" s="3" t="n">
        <v>3</v>
      </c>
      <c r="F1757" s="4" t="n">
        <v>0.3</v>
      </c>
      <c r="G1757" s="5">
        <f>ROUND(E1757*(1+F1757),2)</f>
        <v>3.90</v>
      </c>
      <c r="H1757" s="5">
        <f>ROUND(G1757*NOTAS!$B$2,2)</f>
        <v>2813.25</v>
      </c>
      <c r="I1757" s="6">
        <f>ROUND(G1757*NOTAS!$B$3,0)</f>
        <v>12671</v>
      </c>
      <c r="J1757" s="2" t="n">
        <v>18</v>
      </c>
    </row>
    <row r="1758">
      <c r="A1758" s="2" t="inlineStr"/>
      <c r="B1758" s="2" t="inlineStr"/>
      <c r="C1758" s="2" t="inlineStr">
        <is>
          <t>EMPAQUE TAPA VALVULA F-PAL/SIE 1.6</t>
        </is>
      </c>
      <c r="D1758" s="2" t="inlineStr">
        <is>
          <t>FRACO</t>
        </is>
      </c>
      <c r="E1758" s="3" t="n">
        <v>2</v>
      </c>
      <c r="F1758" s="4" t="n">
        <v>0.3</v>
      </c>
      <c r="G1758" s="5">
        <f>ROUND(E1758*(1+F1758),2)</f>
        <v>2.60</v>
      </c>
      <c r="H1758" s="5">
        <f>ROUND(G1758*NOTAS!$B$2,2)</f>
        <v>1875.50</v>
      </c>
      <c r="I1758" s="6">
        <f>ROUND(G1758*NOTAS!$B$3,0)</f>
        <v>8447</v>
      </c>
      <c r="J1758" s="2" t="n">
        <v>10</v>
      </c>
    </row>
    <row r="1759">
      <c r="A1759" s="2" t="inlineStr"/>
      <c r="B1759" s="2" t="inlineStr"/>
      <c r="C1759" s="2" t="inlineStr">
        <is>
          <t>EMPAQUE TAPA VALVULA HYUNDAI ACCENT 1.6</t>
        </is>
      </c>
      <c r="D1759" s="2" t="inlineStr">
        <is>
          <t>PARTS-MALL</t>
        </is>
      </c>
      <c r="E1759" s="3" t="n">
        <v>3</v>
      </c>
      <c r="F1759" s="4" t="n">
        <v>0.3</v>
      </c>
      <c r="G1759" s="5">
        <f>ROUND(E1759*(1+F1759),2)</f>
        <v>3.90</v>
      </c>
      <c r="H1759" s="5">
        <f>ROUND(G1759*NOTAS!$B$2,2)</f>
        <v>2813.25</v>
      </c>
      <c r="I1759" s="6">
        <f>ROUND(G1759*NOTAS!$B$3,0)</f>
        <v>12671</v>
      </c>
      <c r="J1759" s="2" t="n">
        <v>10</v>
      </c>
    </row>
    <row r="1760">
      <c r="A1760" s="2" t="inlineStr">
        <is>
          <t>OK30E10235</t>
        </is>
      </c>
      <c r="B1760" s="2" t="inlineStr"/>
      <c r="C1760" s="2" t="inlineStr">
        <is>
          <t>EMPAQUE TAPA VALVULA KIA RIO 1.5</t>
        </is>
      </c>
      <c r="D1760" s="2" t="inlineStr">
        <is>
          <t>PARTS-MALL</t>
        </is>
      </c>
      <c r="E1760" s="3" t="n">
        <v>2.7</v>
      </c>
      <c r="F1760" s="4" t="n">
        <v>0.3</v>
      </c>
      <c r="G1760" s="5">
        <f>ROUND(E1760*(1+F1760),2)</f>
        <v>3.51</v>
      </c>
      <c r="H1760" s="5">
        <f>ROUND(G1760*NOTAS!$B$2,2)</f>
        <v>2531.92</v>
      </c>
      <c r="I1760" s="6">
        <f>ROUND(G1760*NOTAS!$B$3,0)</f>
        <v>11404</v>
      </c>
      <c r="J1760" s="2" t="n">
        <v>2</v>
      </c>
    </row>
    <row r="1761">
      <c r="A1761" s="2" t="inlineStr">
        <is>
          <t>90573498</t>
        </is>
      </c>
      <c r="B1761" s="2" t="inlineStr"/>
      <c r="C1761" s="2" t="inlineStr">
        <is>
          <t>EMPAQUE TAPA VALVULA OPTRA DESIGN</t>
        </is>
      </c>
      <c r="D1761" s="2" t="inlineStr">
        <is>
          <t>GM</t>
        </is>
      </c>
      <c r="E1761" s="3" t="n">
        <v>1.9</v>
      </c>
      <c r="F1761" s="4" t="n">
        <v>0.3</v>
      </c>
      <c r="G1761" s="5">
        <f>ROUND(E1761*(1+F1761),2)</f>
        <v>2.47</v>
      </c>
      <c r="H1761" s="5">
        <f>ROUND(G1761*NOTAS!$B$2,2)</f>
        <v>1781.72</v>
      </c>
      <c r="I1761" s="6">
        <f>ROUND(G1761*NOTAS!$B$3,0)</f>
        <v>8025</v>
      </c>
      <c r="J1761" s="2" t="n">
        <v>2</v>
      </c>
    </row>
    <row r="1762">
      <c r="A1762" s="2" t="inlineStr">
        <is>
          <t>90501944</t>
        </is>
      </c>
      <c r="B1762" s="2" t="inlineStr"/>
      <c r="C1762" s="2" t="inlineStr">
        <is>
          <t>EMPAQUE TAPA VALVULA OPTRA LIMITED</t>
        </is>
      </c>
      <c r="D1762" s="2" t="inlineStr">
        <is>
          <t>GM</t>
        </is>
      </c>
      <c r="E1762" s="3" t="n">
        <v>2</v>
      </c>
      <c r="F1762" s="4" t="n">
        <v>0.3</v>
      </c>
      <c r="G1762" s="5">
        <f>ROUND(E1762*(1+F1762),2)</f>
        <v>2.60</v>
      </c>
      <c r="H1762" s="5">
        <f>ROUND(G1762*NOTAS!$B$2,2)</f>
        <v>1875.50</v>
      </c>
      <c r="I1762" s="6">
        <f>ROUND(G1762*NOTAS!$B$3,0)</f>
        <v>8447</v>
      </c>
      <c r="J1762" s="2" t="n">
        <v>1</v>
      </c>
    </row>
    <row r="1763">
      <c r="A1763" s="2" t="inlineStr">
        <is>
          <t>JVS-222-43</t>
        </is>
      </c>
      <c r="B1763" s="2" t="inlineStr"/>
      <c r="C1763" s="2" t="inlineStr">
        <is>
          <t>EMPAQUE TAPA VALVULA R-18/FUEGO/21</t>
        </is>
      </c>
      <c r="D1763" s="2" t="inlineStr">
        <is>
          <t>ILLINOIS</t>
        </is>
      </c>
      <c r="E1763" s="3" t="n">
        <v>5</v>
      </c>
      <c r="F1763" s="4" t="n">
        <v>0.3</v>
      </c>
      <c r="G1763" s="5">
        <f>ROUND(E1763*(1+F1763),2)</f>
        <v>6.50</v>
      </c>
      <c r="H1763" s="5">
        <f>ROUND(G1763*NOTAS!$B$2,2)</f>
        <v>4688.75</v>
      </c>
      <c r="I1763" s="6">
        <f>ROUND(G1763*NOTAS!$B$3,0)</f>
        <v>21118</v>
      </c>
      <c r="J1763" s="2" t="n">
        <v>3</v>
      </c>
    </row>
    <row r="1764">
      <c r="A1764" s="2" t="inlineStr">
        <is>
          <t>550610</t>
        </is>
      </c>
      <c r="B1764" s="2" t="inlineStr"/>
      <c r="C1764" s="2" t="inlineStr">
        <is>
          <t>EMPAQUE TAPA VALVULA R-18/FUEGO/21</t>
        </is>
      </c>
      <c r="D1764" s="2" t="inlineStr">
        <is>
          <t>TARANTO</t>
        </is>
      </c>
      <c r="E1764" s="3" t="n">
        <v>5</v>
      </c>
      <c r="F1764" s="4" t="n">
        <v>0.3</v>
      </c>
      <c r="G1764" s="5">
        <f>ROUND(E1764*(1+F1764),2)</f>
        <v>6.50</v>
      </c>
      <c r="H1764" s="5">
        <f>ROUND(G1764*NOTAS!$B$2,2)</f>
        <v>4688.75</v>
      </c>
      <c r="I1764" s="6">
        <f>ROUND(G1764*NOTAS!$B$3,0)</f>
        <v>21118</v>
      </c>
      <c r="J1764" s="2" t="n">
        <v>2</v>
      </c>
    </row>
    <row r="1765">
      <c r="A1765" s="2" t="inlineStr">
        <is>
          <t>VS-22140</t>
        </is>
      </c>
      <c r="B1765" s="2" t="inlineStr"/>
      <c r="C1765" s="2" t="inlineStr">
        <is>
          <t>EMPAQUE TAPA VALVULA R-19 1.4</t>
        </is>
      </c>
      <c r="D1765" s="2" t="inlineStr">
        <is>
          <t>FRACO</t>
        </is>
      </c>
      <c r="E1765" s="3" t="n">
        <v>2</v>
      </c>
      <c r="F1765" s="4" t="n">
        <v>0.3</v>
      </c>
      <c r="G1765" s="5">
        <f>ROUND(E1765*(1+F1765),2)</f>
        <v>2.60</v>
      </c>
      <c r="H1765" s="5">
        <f>ROUND(G1765*NOTAS!$B$2,2)</f>
        <v>1875.50</v>
      </c>
      <c r="I1765" s="6">
        <f>ROUND(G1765*NOTAS!$B$3,0)</f>
        <v>8447</v>
      </c>
      <c r="J1765" s="2" t="n">
        <v>13</v>
      </c>
    </row>
    <row r="1766">
      <c r="A1766" s="2" t="inlineStr">
        <is>
          <t>X04731-03</t>
        </is>
      </c>
      <c r="B1766" s="2" t="inlineStr"/>
      <c r="C1766" s="2" t="inlineStr">
        <is>
          <t>EMPAQUE TAPA VALVULA R-19 1.4</t>
        </is>
      </c>
      <c r="D1766" s="2" t="inlineStr">
        <is>
          <t>GLASER</t>
        </is>
      </c>
      <c r="E1766" s="3" t="n">
        <v>3</v>
      </c>
      <c r="F1766" s="4" t="n">
        <v>0.3</v>
      </c>
      <c r="G1766" s="5">
        <f>ROUND(E1766*(1+F1766),2)</f>
        <v>3.90</v>
      </c>
      <c r="H1766" s="5">
        <f>ROUND(G1766*NOTAS!$B$2,2)</f>
        <v>2813.25</v>
      </c>
      <c r="I1766" s="6">
        <f>ROUND(G1766*NOTAS!$B$3,0)</f>
        <v>12671</v>
      </c>
      <c r="J1766" s="2" t="n">
        <v>1</v>
      </c>
    </row>
    <row r="1767">
      <c r="A1767" s="2" t="inlineStr">
        <is>
          <t>550410</t>
        </is>
      </c>
      <c r="B1767" s="2" t="inlineStr"/>
      <c r="C1767" s="2" t="inlineStr">
        <is>
          <t>EMPAQUE TAPA VALVULA R-5 1.3/11/12</t>
        </is>
      </c>
      <c r="D1767" s="2" t="inlineStr">
        <is>
          <t>TARANTO</t>
        </is>
      </c>
      <c r="E1767" s="3" t="n">
        <v>2</v>
      </c>
      <c r="F1767" s="4" t="n">
        <v>0.3</v>
      </c>
      <c r="G1767" s="5">
        <f>ROUND(E1767*(1+F1767),2)</f>
        <v>2.60</v>
      </c>
      <c r="H1767" s="5">
        <f>ROUND(G1767*NOTAS!$B$2,2)</f>
        <v>1875.50</v>
      </c>
      <c r="I1767" s="6">
        <f>ROUND(G1767*NOTAS!$B$3,0)</f>
        <v>8447</v>
      </c>
      <c r="J1767" s="2" t="n">
        <v>12</v>
      </c>
    </row>
    <row r="1768">
      <c r="A1768" s="2" t="inlineStr"/>
      <c r="B1768" s="2" t="inlineStr"/>
      <c r="C1768" s="2" t="inlineStr">
        <is>
          <t>EMPAQUE TAPA VALVULA R-TWINGO GOMA</t>
        </is>
      </c>
      <c r="D1768" s="2" t="inlineStr"/>
      <c r="E1768" s="3" t="n">
        <v>3</v>
      </c>
      <c r="F1768" s="4" t="n">
        <v>0.3</v>
      </c>
      <c r="G1768" s="5">
        <f>ROUND(E1768*(1+F1768),2)</f>
        <v>3.90</v>
      </c>
      <c r="H1768" s="5">
        <f>ROUND(G1768*NOTAS!$B$2,2)</f>
        <v>2813.25</v>
      </c>
      <c r="I1768" s="6">
        <f>ROUND(G1768*NOTAS!$B$3,0)</f>
        <v>12671</v>
      </c>
      <c r="J1768" s="2" t="n">
        <v>1</v>
      </c>
    </row>
    <row r="1769">
      <c r="A1769" s="2" t="inlineStr">
        <is>
          <t>77000274003</t>
        </is>
      </c>
      <c r="B1769" s="2" t="inlineStr"/>
      <c r="C1769" s="2" t="inlineStr">
        <is>
          <t>EMPAQUE TAPA VALVULA R-TWINGO LATA</t>
        </is>
      </c>
      <c r="D1769" s="2" t="inlineStr">
        <is>
          <t>RENAULT GROUP</t>
        </is>
      </c>
      <c r="E1769" s="3" t="n">
        <v>2.65</v>
      </c>
      <c r="F1769" s="4" t="n">
        <v>0.3</v>
      </c>
      <c r="G1769" s="5">
        <f>ROUND(E1769*(1+F1769),2)</f>
        <v>3.45</v>
      </c>
      <c r="H1769" s="5">
        <f>ROUND(G1769*NOTAS!$B$2,2)</f>
        <v>2488.64</v>
      </c>
      <c r="I1769" s="6">
        <f>ROUND(G1769*NOTAS!$B$3,0)</f>
        <v>11209</v>
      </c>
      <c r="J1769" s="2" t="n">
        <v>1</v>
      </c>
    </row>
    <row r="1770">
      <c r="A1770" s="2" t="inlineStr">
        <is>
          <t>570510</t>
        </is>
      </c>
      <c r="B1770" s="2" t="inlineStr"/>
      <c r="C1770" s="2" t="inlineStr">
        <is>
          <t>EMPAQUE TAPA VALVULA R-TWINGO LATA</t>
        </is>
      </c>
      <c r="D1770" s="2" t="inlineStr">
        <is>
          <t>TARANTO</t>
        </is>
      </c>
      <c r="E1770" s="3" t="n">
        <v>3</v>
      </c>
      <c r="F1770" s="4" t="n">
        <v>0.3</v>
      </c>
      <c r="G1770" s="5">
        <f>ROUND(E1770*(1+F1770),2)</f>
        <v>3.90</v>
      </c>
      <c r="H1770" s="5">
        <f>ROUND(G1770*NOTAS!$B$2,2)</f>
        <v>2813.25</v>
      </c>
      <c r="I1770" s="6">
        <f>ROUND(G1770*NOTAS!$B$3,0)</f>
        <v>12671</v>
      </c>
      <c r="J1770" s="2" t="n">
        <v>2</v>
      </c>
    </row>
    <row r="1771">
      <c r="A1771" s="2" t="inlineStr">
        <is>
          <t>96325175</t>
        </is>
      </c>
      <c r="B1771" s="2" t="inlineStr"/>
      <c r="C1771" s="2" t="inlineStr">
        <is>
          <t>EMPAQUE TAPA VALVULA SPARK</t>
        </is>
      </c>
      <c r="D1771" s="2" t="inlineStr">
        <is>
          <t>GKP</t>
        </is>
      </c>
      <c r="E1771" s="3" t="n">
        <v>3</v>
      </c>
      <c r="F1771" s="4" t="n">
        <v>0.3</v>
      </c>
      <c r="G1771" s="5">
        <f>ROUND(E1771*(1+F1771),2)</f>
        <v>3.90</v>
      </c>
      <c r="H1771" s="5">
        <f>ROUND(G1771*NOTAS!$B$2,2)</f>
        <v>2813.25</v>
      </c>
      <c r="I1771" s="6">
        <f>ROUND(G1771*NOTAS!$B$3,0)</f>
        <v>12671</v>
      </c>
      <c r="J1771" s="2" t="n">
        <v>3</v>
      </c>
    </row>
    <row r="1772">
      <c r="A1772" s="2" t="inlineStr"/>
      <c r="B1772" s="2" t="inlineStr"/>
      <c r="C1772" s="2" t="inlineStr">
        <is>
          <t>EMPAQUE TAPA VALVULA SWIFT 1.6</t>
        </is>
      </c>
      <c r="D1772" s="2" t="inlineStr">
        <is>
          <t>JAPON</t>
        </is>
      </c>
      <c r="E1772" s="3" t="n">
        <v>5</v>
      </c>
      <c r="F1772" s="4" t="n">
        <v>0.3</v>
      </c>
      <c r="G1772" s="5">
        <f>ROUND(E1772*(1+F1772),2)</f>
        <v>6.50</v>
      </c>
      <c r="H1772" s="5">
        <f>ROUND(G1772*NOTAS!$B$2,2)</f>
        <v>4688.75</v>
      </c>
      <c r="I1772" s="6">
        <f>ROUND(G1772*NOTAS!$B$3,0)</f>
        <v>21118</v>
      </c>
      <c r="J1772" s="2" t="n">
        <v>8</v>
      </c>
    </row>
    <row r="1773">
      <c r="A1773" s="2" t="inlineStr">
        <is>
          <t>90473457</t>
        </is>
      </c>
      <c r="B1773" s="2" t="inlineStr"/>
      <c r="C1773" s="2" t="inlineStr">
        <is>
          <t>ESPARAGO RUEDA CORSA</t>
        </is>
      </c>
      <c r="D1773" s="2" t="inlineStr">
        <is>
          <t>GM</t>
        </is>
      </c>
      <c r="E1773" s="3" t="n">
        <v>1.5</v>
      </c>
      <c r="F1773" s="4" t="n">
        <v>0.3</v>
      </c>
      <c r="G1773" s="5">
        <f>ROUND(E1773*(1+F1773),2)</f>
        <v>1.95</v>
      </c>
      <c r="H1773" s="5">
        <f>ROUND(G1773*NOTAS!$B$2,2)</f>
        <v>1406.62</v>
      </c>
      <c r="I1773" s="6">
        <f>ROUND(G1773*NOTAS!$B$3,0)</f>
        <v>6335</v>
      </c>
      <c r="J1773" s="2" t="n">
        <v>16</v>
      </c>
    </row>
    <row r="1774">
      <c r="A1774" s="2" t="inlineStr">
        <is>
          <t>8090/85</t>
        </is>
      </c>
      <c r="B1774" s="2" t="inlineStr"/>
      <c r="C1774" s="2" t="inlineStr">
        <is>
          <t>ESTOPERA CAJA DIRECCION R-18/FUEGO 19X33.30X7.8</t>
        </is>
      </c>
      <c r="D1774" s="2" t="inlineStr">
        <is>
          <t>DBH</t>
        </is>
      </c>
      <c r="E1774" s="3" t="n">
        <v>1</v>
      </c>
      <c r="F1774" s="4" t="n">
        <v>0.3</v>
      </c>
      <c r="G1774" s="5">
        <f>ROUND(E1774*(1+F1774),2)</f>
        <v>1.30</v>
      </c>
      <c r="H1774" s="5">
        <f>ROUND(G1774*NOTAS!$B$2,2)</f>
        <v>937.75</v>
      </c>
      <c r="I1774" s="6">
        <f>ROUND(G1774*NOTAS!$B$3,0)</f>
        <v>4224</v>
      </c>
      <c r="J1774" s="2" t="n">
        <v>8</v>
      </c>
    </row>
    <row r="1775">
      <c r="A1775" s="2" t="inlineStr">
        <is>
          <t>01834BAGE</t>
        </is>
      </c>
      <c r="B1775" s="2" t="inlineStr"/>
      <c r="C1775" s="2" t="inlineStr">
        <is>
          <t>ESTOPERA COLA CAJA CHEVETTE 33X50X10/15</t>
        </is>
      </c>
      <c r="D1775" s="2" t="inlineStr">
        <is>
          <t>SABO ORIG</t>
        </is>
      </c>
      <c r="E1775" s="3" t="n">
        <v>3.16</v>
      </c>
      <c r="F1775" s="4" t="n">
        <v>0.3</v>
      </c>
      <c r="G1775" s="5">
        <f>ROUND(E1775*(1+F1775),2)</f>
        <v>4.11</v>
      </c>
      <c r="H1775" s="5">
        <f>ROUND(G1775*NOTAS!$B$2,2)</f>
        <v>2964.73</v>
      </c>
      <c r="I1775" s="6">
        <f>ROUND(G1775*NOTAS!$B$3,0)</f>
        <v>13353</v>
      </c>
      <c r="J1775" s="2" t="n">
        <v>2</v>
      </c>
    </row>
    <row r="1776">
      <c r="A1776" s="2" t="inlineStr">
        <is>
          <t>07286BRP</t>
        </is>
      </c>
      <c r="B1776" s="2" t="inlineStr"/>
      <c r="C1776" s="2" t="inlineStr">
        <is>
          <t>ESTOPERA COLA CAJA FIESTA</t>
        </is>
      </c>
      <c r="D1776" s="2" t="inlineStr">
        <is>
          <t>SABO ORIG</t>
        </is>
      </c>
      <c r="E1776" s="3" t="n">
        <v>2.84</v>
      </c>
      <c r="F1776" s="4" t="n">
        <v>0.3</v>
      </c>
      <c r="G1776" s="5">
        <f>ROUND(E1776*(1+F1776),2)</f>
        <v>3.69</v>
      </c>
      <c r="H1776" s="5">
        <f>ROUND(G1776*NOTAS!$B$2,2)</f>
        <v>2661.77</v>
      </c>
      <c r="I1776" s="6">
        <f>ROUND(G1776*NOTAS!$B$3,0)</f>
        <v>11988</v>
      </c>
      <c r="J1776" s="2" t="n">
        <v>2</v>
      </c>
    </row>
    <row r="1777">
      <c r="A1777" s="2" t="inlineStr">
        <is>
          <t>02681BARGF</t>
        </is>
      </c>
      <c r="B1777" s="2" t="inlineStr"/>
      <c r="C1777" s="2" t="inlineStr">
        <is>
          <t>ESTOPERA DELANTERA CIGUENAL  AVEO/CIELO/LANOS 30X42X7</t>
        </is>
      </c>
      <c r="D1777" s="2" t="inlineStr">
        <is>
          <t>SABO ORIG</t>
        </is>
      </c>
      <c r="E1777" s="3" t="n">
        <v>5.4</v>
      </c>
      <c r="F1777" s="4" t="n">
        <v>0.3</v>
      </c>
      <c r="G1777" s="5">
        <f>ROUND(E1777*(1+F1777),2)</f>
        <v>7.02</v>
      </c>
      <c r="H1777" s="5">
        <f>ROUND(G1777*NOTAS!$B$2,2)</f>
        <v>5063.85</v>
      </c>
      <c r="I1777" s="6">
        <f>ROUND(G1777*NOTAS!$B$3,0)</f>
        <v>22807</v>
      </c>
      <c r="J1777" s="2" t="n">
        <v>0</v>
      </c>
    </row>
    <row r="1778">
      <c r="A1778" s="2" t="inlineStr">
        <is>
          <t>96350161</t>
        </is>
      </c>
      <c r="B1778" s="2" t="inlineStr"/>
      <c r="C1778" s="2" t="inlineStr">
        <is>
          <t>ESTOPERA DELANTERA CIGUENAL  AVEO/CIELO/LANOS 30X42X8</t>
        </is>
      </c>
      <c r="D1778" s="2" t="inlineStr">
        <is>
          <t>KOS</t>
        </is>
      </c>
      <c r="E1778" s="3" t="n">
        <v>3</v>
      </c>
      <c r="F1778" s="4" t="n">
        <v>0.3</v>
      </c>
      <c r="G1778" s="5">
        <f>ROUND(E1778*(1+F1778),2)</f>
        <v>3.90</v>
      </c>
      <c r="H1778" s="5">
        <f>ROUND(G1778*NOTAS!$B$2,2)</f>
        <v>2813.25</v>
      </c>
      <c r="I1778" s="6">
        <f>ROUND(G1778*NOTAS!$B$3,0)</f>
        <v>12671</v>
      </c>
      <c r="J1778" s="2" t="n">
        <v>8</v>
      </c>
    </row>
    <row r="1779">
      <c r="A1779" s="2" t="inlineStr">
        <is>
          <t>05074BRAGF</t>
        </is>
      </c>
      <c r="B1779" s="2" t="inlineStr"/>
      <c r="C1779" s="2" t="inlineStr">
        <is>
          <t>ESTOPERA DELANTERA CIGUENAL  F-REG/PALIO 1.6/TEMP 2.0 30X43X8</t>
        </is>
      </c>
      <c r="D1779" s="2" t="inlineStr">
        <is>
          <t>SABO ORIG</t>
        </is>
      </c>
      <c r="E1779" s="3" t="n">
        <v>3.27</v>
      </c>
      <c r="F1779" s="4" t="n">
        <v>0.3</v>
      </c>
      <c r="G1779" s="5">
        <f>ROUND(E1779*(1+F1779),2)</f>
        <v>4.25</v>
      </c>
      <c r="H1779" s="5">
        <f>ROUND(G1779*NOTAS!$B$2,2)</f>
        <v>3065.72</v>
      </c>
      <c r="I1779" s="6">
        <f>ROUND(G1779*NOTAS!$B$3,0)</f>
        <v>13808</v>
      </c>
      <c r="J1779" s="2" t="n">
        <v>7</v>
      </c>
    </row>
    <row r="1780">
      <c r="A1780" s="2" t="inlineStr">
        <is>
          <t>02844BRAGF</t>
        </is>
      </c>
      <c r="B1780" s="2" t="inlineStr"/>
      <c r="C1780" s="2" t="inlineStr">
        <is>
          <t>ESTOPERA DELANTERA CIGUENAL  F-UNO/147/PALIO 40X56X7</t>
        </is>
      </c>
      <c r="D1780" s="2" t="inlineStr">
        <is>
          <t>SABO ORIG</t>
        </is>
      </c>
      <c r="E1780" s="3" t="n">
        <v>3.29</v>
      </c>
      <c r="F1780" s="4" t="n">
        <v>0.3</v>
      </c>
      <c r="G1780" s="5">
        <f>ROUND(E1780*(1+F1780),2)</f>
        <v>4.28</v>
      </c>
      <c r="H1780" s="5">
        <f>ROUND(G1780*NOTAS!$B$2,2)</f>
        <v>3087.36</v>
      </c>
      <c r="I1780" s="6">
        <f>ROUND(G1780*NOTAS!$B$3,0)</f>
        <v>13905</v>
      </c>
      <c r="J1780" s="2" t="n">
        <v>19</v>
      </c>
    </row>
    <row r="1781">
      <c r="A1781" s="2" t="inlineStr">
        <is>
          <t>402005P</t>
        </is>
      </c>
      <c r="B1781" s="2" t="inlineStr"/>
      <c r="C1781" s="2" t="inlineStr">
        <is>
          <t>ESTOPERA DELANTERA CIGUENAL  F-UNO/147/PALIO 40X56X7</t>
        </is>
      </c>
      <c r="D1781" s="2" t="inlineStr">
        <is>
          <t>SPALL</t>
        </is>
      </c>
      <c r="E1781" s="3" t="n">
        <v>3</v>
      </c>
      <c r="F1781" s="4" t="n">
        <v>0.3</v>
      </c>
      <c r="G1781" s="5">
        <f>ROUND(E1781*(1+F1781),2)</f>
        <v>3.90</v>
      </c>
      <c r="H1781" s="5">
        <f>ROUND(G1781*NOTAS!$B$2,2)</f>
        <v>2813.25</v>
      </c>
      <c r="I1781" s="6">
        <f>ROUND(G1781*NOTAS!$B$3,0)</f>
        <v>12671</v>
      </c>
      <c r="J1781" s="2" t="n">
        <v>1</v>
      </c>
    </row>
    <row r="1782">
      <c r="A1782" s="2" t="inlineStr">
        <is>
          <t>02005BAG</t>
        </is>
      </c>
      <c r="B1782" s="2" t="inlineStr"/>
      <c r="C1782" s="2" t="inlineStr">
        <is>
          <t>ESTOPERA DELANTERA CIGUENAL  F-UNO/PREMIO 40X56X7</t>
        </is>
      </c>
      <c r="D1782" s="2" t="inlineStr">
        <is>
          <t>SABO ORIG</t>
        </is>
      </c>
      <c r="E1782" s="3" t="n">
        <v>4.5</v>
      </c>
      <c r="F1782" s="4" t="n">
        <v>0.3</v>
      </c>
      <c r="G1782" s="5">
        <f>ROUND(E1782*(1+F1782),2)</f>
        <v>5.85</v>
      </c>
      <c r="H1782" s="5">
        <f>ROUND(G1782*NOTAS!$B$2,2)</f>
        <v>4219.87</v>
      </c>
      <c r="I1782" s="6">
        <f>ROUND(G1782*NOTAS!$B$3,0)</f>
        <v>19006</v>
      </c>
      <c r="J1782" s="2" t="n">
        <v>1</v>
      </c>
    </row>
    <row r="1783">
      <c r="A1783" s="2" t="inlineStr">
        <is>
          <t>MD008762</t>
        </is>
      </c>
      <c r="B1783" s="2" t="inlineStr"/>
      <c r="C1783" s="2" t="inlineStr">
        <is>
          <t>ESTOPERA DELANTERA CIGUENAL CORCEL 35X50X8</t>
        </is>
      </c>
      <c r="D1783" s="2" t="inlineStr">
        <is>
          <t>AKURO</t>
        </is>
      </c>
      <c r="E1783" s="3" t="n">
        <v>2</v>
      </c>
      <c r="F1783" s="4" t="n">
        <v>0.3</v>
      </c>
      <c r="G1783" s="5">
        <f>ROUND(E1783*(1+F1783),2)</f>
        <v>2.60</v>
      </c>
      <c r="H1783" s="5">
        <f>ROUND(G1783*NOTAS!$B$2,2)</f>
        <v>1875.50</v>
      </c>
      <c r="I1783" s="6">
        <f>ROUND(G1783*NOTAS!$B$3,0)</f>
        <v>8447</v>
      </c>
      <c r="J1783" s="2" t="n">
        <v>1</v>
      </c>
    </row>
    <row r="1784">
      <c r="A1784" s="2" t="inlineStr">
        <is>
          <t>0962BRGP</t>
        </is>
      </c>
      <c r="B1784" s="2" t="inlineStr"/>
      <c r="C1784" s="2" t="inlineStr">
        <is>
          <t>ESTOPERA DELANTERA CIGUENAL CORCEL 35X50X8</t>
        </is>
      </c>
      <c r="D1784" s="2" t="inlineStr">
        <is>
          <t>SABO ORIG</t>
        </is>
      </c>
      <c r="E1784" s="3" t="n">
        <v>3.6</v>
      </c>
      <c r="F1784" s="4" t="n">
        <v>0.3</v>
      </c>
      <c r="G1784" s="5">
        <f>ROUND(E1784*(1+F1784),2)</f>
        <v>4.68</v>
      </c>
      <c r="H1784" s="5">
        <f>ROUND(G1784*NOTAS!$B$2,2)</f>
        <v>3375.90</v>
      </c>
      <c r="I1784" s="6">
        <f>ROUND(G1784*NOTAS!$B$3,0)</f>
        <v>15205</v>
      </c>
      <c r="J1784" s="2" t="n">
        <v>4</v>
      </c>
    </row>
    <row r="1785">
      <c r="A1785" s="2" t="inlineStr">
        <is>
          <t>02794BRAGF</t>
        </is>
      </c>
      <c r="B1785" s="2" t="inlineStr"/>
      <c r="C1785" s="2" t="inlineStr">
        <is>
          <t>ESTOPERA DELANTERA CIGUENAL COROLLA 1.8 38X50X8</t>
        </is>
      </c>
      <c r="D1785" s="2" t="inlineStr">
        <is>
          <t>SABO</t>
        </is>
      </c>
      <c r="E1785" s="3" t="n">
        <v>3.59</v>
      </c>
      <c r="F1785" s="4" t="n">
        <v>0.3</v>
      </c>
      <c r="G1785" s="5">
        <f>ROUND(E1785*(1+F1785),2)</f>
        <v>4.67</v>
      </c>
      <c r="H1785" s="5">
        <f>ROUND(G1785*NOTAS!$B$2,2)</f>
        <v>3368.68</v>
      </c>
      <c r="I1785" s="6">
        <f>ROUND(G1785*NOTAS!$B$3,0)</f>
        <v>15172</v>
      </c>
      <c r="J1785" s="2" t="n">
        <v>2</v>
      </c>
    </row>
    <row r="1786">
      <c r="A1786" s="2" t="inlineStr">
        <is>
          <t>02525BRAGF</t>
        </is>
      </c>
      <c r="B1786" s="2" t="inlineStr"/>
      <c r="C1786" s="2" t="inlineStr">
        <is>
          <t>ESTOPERA DELANTERA CIGUENAL CORSA/PALIO 1.8 26X42X8</t>
        </is>
      </c>
      <c r="D1786" s="2" t="inlineStr">
        <is>
          <t>SABO ORIG</t>
        </is>
      </c>
      <c r="E1786" s="3" t="n">
        <v>3.09</v>
      </c>
      <c r="F1786" s="4" t="n">
        <v>0.3</v>
      </c>
      <c r="G1786" s="5">
        <f>ROUND(E1786*(1+F1786),2)</f>
        <v>4.02</v>
      </c>
      <c r="H1786" s="5">
        <f>ROUND(G1786*NOTAS!$B$2,2)</f>
        <v>2899.81</v>
      </c>
      <c r="I1786" s="6">
        <f>ROUND(G1786*NOTAS!$B$3,0)</f>
        <v>13060</v>
      </c>
      <c r="J1786" s="2" t="n">
        <v>10</v>
      </c>
    </row>
    <row r="1787">
      <c r="A1787" s="2" t="inlineStr">
        <is>
          <t>90136849</t>
        </is>
      </c>
      <c r="B1787" s="2" t="inlineStr"/>
      <c r="C1787" s="2" t="inlineStr">
        <is>
          <t>ESTOPERA DELANTERA CIGUENAL CORSA/PALIO 1.8 26X42X8</t>
        </is>
      </c>
      <c r="D1787" s="2" t="inlineStr">
        <is>
          <t>GM</t>
        </is>
      </c>
      <c r="E1787" s="3" t="n">
        <v>0.46</v>
      </c>
      <c r="F1787" s="4" t="n">
        <v>0.3</v>
      </c>
      <c r="G1787" s="5">
        <f>ROUND(E1787*(1+F1787),2)</f>
        <v>0.60</v>
      </c>
      <c r="H1787" s="5">
        <f>ROUND(G1787*NOTAS!$B$2,2)</f>
        <v>432.81</v>
      </c>
      <c r="I1787" s="6">
        <f>ROUND(G1787*NOTAS!$B$3,0)</f>
        <v>1949</v>
      </c>
      <c r="J1787" s="2" t="n">
        <v>2</v>
      </c>
    </row>
    <row r="1788">
      <c r="A1788" s="2" t="inlineStr">
        <is>
          <t>9E5Z6700A</t>
        </is>
      </c>
      <c r="B1788" s="2" t="inlineStr"/>
      <c r="C1788" s="2" t="inlineStr">
        <is>
          <t>ESTOPERA DELANTERA CIGUENAL ECOSPORT 2.0/FOCUS</t>
        </is>
      </c>
      <c r="D1788" s="2" t="inlineStr">
        <is>
          <t>FORD</t>
        </is>
      </c>
      <c r="E1788" s="3" t="n">
        <v>3.8462</v>
      </c>
      <c r="F1788" s="4" t="n">
        <v>0.3</v>
      </c>
      <c r="G1788" s="5">
        <f>ROUND(E1788*(1+F1788),2)</f>
        <v>5.00</v>
      </c>
      <c r="H1788" s="5">
        <f>ROUND(G1788*NOTAS!$B$2,2)</f>
        <v>3606.73</v>
      </c>
      <c r="I1788" s="6">
        <f>ROUND(G1788*NOTAS!$B$3,0)</f>
        <v>16244</v>
      </c>
      <c r="J1788" s="2" t="n">
        <v>2</v>
      </c>
    </row>
    <row r="1789">
      <c r="A1789" s="2" t="inlineStr">
        <is>
          <t>2S6G6D316AA</t>
        </is>
      </c>
      <c r="B1789" s="2" t="inlineStr"/>
      <c r="C1789" s="2" t="inlineStr">
        <is>
          <t>ESTOPERA DELANTERA CIGUENAL FIESTA 1.6/KA 40X62X7.4</t>
        </is>
      </c>
      <c r="D1789" s="2" t="inlineStr">
        <is>
          <t>FORD</t>
        </is>
      </c>
      <c r="E1789" s="3" t="n">
        <v>15</v>
      </c>
      <c r="F1789" s="4" t="n">
        <v>0.3</v>
      </c>
      <c r="G1789" s="5">
        <f>ROUND(E1789*(1+F1789),2)</f>
        <v>19.50</v>
      </c>
      <c r="H1789" s="5">
        <f>ROUND(G1789*NOTAS!$B$2,2)</f>
        <v>14066.24</v>
      </c>
      <c r="I1789" s="6">
        <f>ROUND(G1789*NOTAS!$B$3,0)</f>
        <v>63353</v>
      </c>
      <c r="J1789" s="2" t="n">
        <v>5</v>
      </c>
    </row>
    <row r="1790">
      <c r="A1790" s="2" t="inlineStr">
        <is>
          <t>05702KIT</t>
        </is>
      </c>
      <c r="B1790" s="2" t="inlineStr"/>
      <c r="C1790" s="2" t="inlineStr">
        <is>
          <t>ESTOPERA DELANTERA CIGUENAL FIESTA 1.6/KA 40X62X7.4</t>
        </is>
      </c>
      <c r="D1790" s="2" t="inlineStr">
        <is>
          <t>SABO ORIG</t>
        </is>
      </c>
      <c r="E1790" s="3" t="n">
        <v>7.37</v>
      </c>
      <c r="F1790" s="4" t="n">
        <v>0.3</v>
      </c>
      <c r="G1790" s="5">
        <f>ROUND(E1790*(1+F1790),2)</f>
        <v>9.58</v>
      </c>
      <c r="H1790" s="5">
        <f>ROUND(G1790*NOTAS!$B$2,2)</f>
        <v>6910.49</v>
      </c>
      <c r="I1790" s="6">
        <f>ROUND(G1790*NOTAS!$B$3,0)</f>
        <v>31124</v>
      </c>
      <c r="J1790" s="2" t="n">
        <v>2</v>
      </c>
    </row>
    <row r="1791">
      <c r="A1791" s="2" t="inlineStr">
        <is>
          <t>05266BRAG</t>
        </is>
      </c>
      <c r="B1791" s="2" t="inlineStr"/>
      <c r="C1791" s="2" t="inlineStr">
        <is>
          <t>ESTOPERA DELANTERA CIGUENAL F-PALIO/SIENA 1.3 16V FIRE/UNO FIRE 27X37X7</t>
        </is>
      </c>
      <c r="D1791" s="2" t="inlineStr">
        <is>
          <t>SABO</t>
        </is>
      </c>
      <c r="E1791" s="3" t="n">
        <v>0.82</v>
      </c>
      <c r="F1791" s="4" t="n">
        <v>0.3</v>
      </c>
      <c r="G1791" s="5">
        <f>ROUND(E1791*(1+F1791),2)</f>
        <v>1.07</v>
      </c>
      <c r="H1791" s="5">
        <f>ROUND(G1791*NOTAS!$B$2,2)</f>
        <v>771.84</v>
      </c>
      <c r="I1791" s="6">
        <f>ROUND(G1791*NOTAS!$B$3,0)</f>
        <v>3476</v>
      </c>
      <c r="J1791" s="2" t="n">
        <v>5</v>
      </c>
    </row>
    <row r="1792">
      <c r="A1792" s="2" t="inlineStr">
        <is>
          <t>05266BRAG</t>
        </is>
      </c>
      <c r="B1792" s="2" t="inlineStr"/>
      <c r="C1792" s="2" t="inlineStr">
        <is>
          <t>ESTOPERA DELANTERA CIGUENAL F-PALIO/SIENA 1.3 16V FIRE/UNO FIRE 27X37X7</t>
        </is>
      </c>
      <c r="D1792" s="2" t="inlineStr">
        <is>
          <t>SABO ORIG</t>
        </is>
      </c>
      <c r="E1792" s="3" t="n">
        <v>2.6</v>
      </c>
      <c r="F1792" s="4" t="n">
        <v>0.3</v>
      </c>
      <c r="G1792" s="5">
        <f>ROUND(E1792*(1+F1792),2)</f>
        <v>3.38</v>
      </c>
      <c r="H1792" s="5">
        <f>ROUND(G1792*NOTAS!$B$2,2)</f>
        <v>2438.15</v>
      </c>
      <c r="I1792" s="6">
        <f>ROUND(G1792*NOTAS!$B$3,0)</f>
        <v>10981</v>
      </c>
      <c r="J1792" s="2" t="n">
        <v>6</v>
      </c>
    </row>
    <row r="1793">
      <c r="A1793" s="2" t="inlineStr"/>
      <c r="B1793" s="2" t="inlineStr"/>
      <c r="C1793" s="2" t="inlineStr">
        <is>
          <t>ESTOPERA DELANTERA CIGUENAL F-REG/TEMP 2.0 30X43X8</t>
        </is>
      </c>
      <c r="D1793" s="2" t="inlineStr">
        <is>
          <t>AKRON</t>
        </is>
      </c>
      <c r="E1793" s="3" t="n">
        <v>2</v>
      </c>
      <c r="F1793" s="4" t="n">
        <v>0.3</v>
      </c>
      <c r="G1793" s="5">
        <f>ROUND(E1793*(1+F1793),2)</f>
        <v>2.60</v>
      </c>
      <c r="H1793" s="5">
        <f>ROUND(G1793*NOTAS!$B$2,2)</f>
        <v>1875.50</v>
      </c>
      <c r="I1793" s="6">
        <f>ROUND(G1793*NOTAS!$B$3,0)</f>
        <v>8447</v>
      </c>
      <c r="J1793" s="2" t="n">
        <v>2</v>
      </c>
    </row>
    <row r="1794">
      <c r="A1794" s="2" t="inlineStr">
        <is>
          <t>R260112P</t>
        </is>
      </c>
      <c r="B1794" s="2" t="inlineStr"/>
      <c r="C1794" s="2" t="inlineStr">
        <is>
          <t>ESTOPERA DELANTERA CIGUENAL F-REG/TEMP 2.0 30X43X8</t>
        </is>
      </c>
      <c r="D1794" s="2" t="inlineStr">
        <is>
          <t>TARANTO</t>
        </is>
      </c>
      <c r="E1794" s="3" t="n">
        <v>2</v>
      </c>
      <c r="F1794" s="4" t="n">
        <v>0.3</v>
      </c>
      <c r="G1794" s="5">
        <f>ROUND(E1794*(1+F1794),2)</f>
        <v>2.60</v>
      </c>
      <c r="H1794" s="5">
        <f>ROUND(G1794*NOTAS!$B$2,2)</f>
        <v>1875.50</v>
      </c>
      <c r="I1794" s="6">
        <f>ROUND(G1794*NOTAS!$B$3,0)</f>
        <v>8447</v>
      </c>
      <c r="J1794" s="2" t="n">
        <v>4</v>
      </c>
    </row>
    <row r="1795">
      <c r="A1795" s="2" t="inlineStr">
        <is>
          <t>02317BRAGF</t>
        </is>
      </c>
      <c r="B1795" s="2" t="inlineStr"/>
      <c r="C1795" s="2" t="inlineStr">
        <is>
          <t>ESTOPERA DELANTERA CIGUENAL MONZA/OPTRA LIMITED 31X50X8</t>
        </is>
      </c>
      <c r="D1795" s="2" t="inlineStr">
        <is>
          <t>SABO ORIG</t>
        </is>
      </c>
      <c r="E1795" s="3" t="n">
        <v>4.47</v>
      </c>
      <c r="F1795" s="4" t="n">
        <v>0.3</v>
      </c>
      <c r="G1795" s="5">
        <f>ROUND(E1795*(1+F1795),2)</f>
        <v>5.81</v>
      </c>
      <c r="H1795" s="5">
        <f>ROUND(G1795*NOTAS!$B$2,2)</f>
        <v>4191.02</v>
      </c>
      <c r="I1795" s="6">
        <f>ROUND(G1795*NOTAS!$B$3,0)</f>
        <v>18876</v>
      </c>
      <c r="J1795" s="2" t="n">
        <v>11</v>
      </c>
    </row>
    <row r="1796">
      <c r="A1796" s="2" t="inlineStr">
        <is>
          <t>90183572-A</t>
        </is>
      </c>
      <c r="B1796" s="2" t="inlineStr"/>
      <c r="C1796" s="2" t="inlineStr">
        <is>
          <t xml:space="preserve">ESTOPERA DELANTERA CIGUENAL OPTRA </t>
        </is>
      </c>
      <c r="D1796" s="2" t="inlineStr">
        <is>
          <t>KOREA</t>
        </is>
      </c>
      <c r="E1796" s="3" t="n">
        <v>2</v>
      </c>
      <c r="F1796" s="4" t="n">
        <v>0.3</v>
      </c>
      <c r="G1796" s="5">
        <f>ROUND(E1796*(1+F1796),2)</f>
        <v>2.60</v>
      </c>
      <c r="H1796" s="5">
        <f>ROUND(G1796*NOTAS!$B$2,2)</f>
        <v>1875.50</v>
      </c>
      <c r="I1796" s="6">
        <f>ROUND(G1796*NOTAS!$B$3,0)</f>
        <v>8447</v>
      </c>
      <c r="J1796" s="2" t="n">
        <v>2</v>
      </c>
    </row>
    <row r="1797">
      <c r="A1797" s="2" t="inlineStr">
        <is>
          <t>05313BRGS</t>
        </is>
      </c>
      <c r="B1797" s="2" t="inlineStr"/>
      <c r="C1797" s="2" t="inlineStr">
        <is>
          <t>ESTOPERA DELANTERA CIGUENAL R-11/12  35X50X10</t>
        </is>
      </c>
      <c r="D1797" s="2" t="inlineStr">
        <is>
          <t>SABO ORIG</t>
        </is>
      </c>
      <c r="E1797" s="3" t="n">
        <v>3</v>
      </c>
      <c r="F1797" s="4" t="n">
        <v>0.3</v>
      </c>
      <c r="G1797" s="5">
        <f>ROUND(E1797*(1+F1797),2)</f>
        <v>3.90</v>
      </c>
      <c r="H1797" s="5">
        <f>ROUND(G1797*NOTAS!$B$2,2)</f>
        <v>2813.25</v>
      </c>
      <c r="I1797" s="6">
        <f>ROUND(G1797*NOTAS!$B$3,0)</f>
        <v>12671</v>
      </c>
      <c r="J1797" s="2" t="n">
        <v>3</v>
      </c>
    </row>
    <row r="1798">
      <c r="A1798" s="2" t="inlineStr">
        <is>
          <t>6883POL</t>
        </is>
      </c>
      <c r="B1798" s="2" t="inlineStr"/>
      <c r="C1798" s="2" t="inlineStr">
        <is>
          <t>ESTOPERA DELANTERA CIGUENAL R-18/FUEGO/21 50X68X10</t>
        </is>
      </c>
      <c r="D1798" s="2" t="inlineStr">
        <is>
          <t>DBH</t>
        </is>
      </c>
      <c r="E1798" s="3" t="n">
        <v>2</v>
      </c>
      <c r="F1798" s="4" t="n">
        <v>0.3</v>
      </c>
      <c r="G1798" s="5">
        <f>ROUND(E1798*(1+F1798),2)</f>
        <v>2.60</v>
      </c>
      <c r="H1798" s="5">
        <f>ROUND(G1798*NOTAS!$B$2,2)</f>
        <v>1875.50</v>
      </c>
      <c r="I1798" s="6">
        <f>ROUND(G1798*NOTAS!$B$3,0)</f>
        <v>8447</v>
      </c>
      <c r="J1798" s="2" t="n">
        <v>5</v>
      </c>
    </row>
    <row r="1799">
      <c r="A1799" s="2" t="inlineStr"/>
      <c r="B1799" s="2" t="inlineStr"/>
      <c r="C1799" s="2" t="inlineStr">
        <is>
          <t>ESTOPERA DELANTERA CIGUENAL R-18/FUEGO/21 50X68X10</t>
        </is>
      </c>
      <c r="D1799" s="2" t="inlineStr"/>
      <c r="E1799" s="3" t="n">
        <v>2</v>
      </c>
      <c r="F1799" s="4" t="n">
        <v>0.3</v>
      </c>
      <c r="G1799" s="5">
        <f>ROUND(E1799*(1+F1799),2)</f>
        <v>2.60</v>
      </c>
      <c r="H1799" s="5">
        <f>ROUND(G1799*NOTAS!$B$2,2)</f>
        <v>1875.50</v>
      </c>
      <c r="I1799" s="6">
        <f>ROUND(G1799*NOTAS!$B$3,0)</f>
        <v>8447</v>
      </c>
      <c r="J1799" s="2" t="n">
        <v>4</v>
      </c>
    </row>
    <row r="1800">
      <c r="A1800" s="2" t="inlineStr">
        <is>
          <t>12013859B</t>
        </is>
      </c>
      <c r="B1800" s="2" t="inlineStr">
        <is>
          <t>7701349626</t>
        </is>
      </c>
      <c r="C1800" s="2" t="inlineStr">
        <is>
          <t>ESTOPERA DELANTERA CIGUENAL R-19/SYMBOL/LOGAN 35X47X7</t>
        </is>
      </c>
      <c r="D1800" s="2" t="inlineStr">
        <is>
          <t>CORTECO</t>
        </is>
      </c>
      <c r="E1800" s="3" t="n">
        <v>2.3077</v>
      </c>
      <c r="F1800" s="4" t="n">
        <v>0.3</v>
      </c>
      <c r="G1800" s="5">
        <f>ROUND(E1800*(1+F1800),2)</f>
        <v>3.00</v>
      </c>
      <c r="H1800" s="5">
        <f>ROUND(G1800*NOTAS!$B$2,2)</f>
        <v>2164.04</v>
      </c>
      <c r="I1800" s="6">
        <f>ROUND(G1800*NOTAS!$B$3,0)</f>
        <v>9747</v>
      </c>
      <c r="J1800" s="2" t="n">
        <v>3</v>
      </c>
    </row>
    <row r="1801">
      <c r="A1801" s="2" t="inlineStr">
        <is>
          <t>02962BRGF</t>
        </is>
      </c>
      <c r="B1801" s="2" t="inlineStr"/>
      <c r="C1801" s="2" t="inlineStr">
        <is>
          <t>ESTOPERA DELANTERA CIGUENAL R-19/SYMBOL/LOGAN 35X47X7</t>
        </is>
      </c>
      <c r="D1801" s="2" t="inlineStr">
        <is>
          <t>SABO ORIG</t>
        </is>
      </c>
      <c r="E1801" s="3" t="n">
        <v>2.3077</v>
      </c>
      <c r="F1801" s="4" t="n">
        <v>0.3</v>
      </c>
      <c r="G1801" s="5">
        <f>ROUND(E1801*(1+F1801),2)</f>
        <v>3.00</v>
      </c>
      <c r="H1801" s="5">
        <f>ROUND(G1801*NOTAS!$B$2,2)</f>
        <v>2164.04</v>
      </c>
      <c r="I1801" s="6">
        <f>ROUND(G1801*NOTAS!$B$3,0)</f>
        <v>9747</v>
      </c>
      <c r="J1801" s="2" t="n">
        <v>0</v>
      </c>
    </row>
    <row r="1802">
      <c r="A1802" s="2" t="inlineStr">
        <is>
          <t>05658BRS</t>
        </is>
      </c>
      <c r="B1802" s="2" t="inlineStr"/>
      <c r="C1802" s="2" t="inlineStr">
        <is>
          <t>ESTOPERA DELANTERA CIGUENAL R-19/SYMBOL/LOGAN 35X47X7</t>
        </is>
      </c>
      <c r="D1802" s="2" t="inlineStr">
        <is>
          <t>SABO ORIG</t>
        </is>
      </c>
      <c r="E1802" s="3" t="n">
        <v>2.68</v>
      </c>
      <c r="F1802" s="4" t="n">
        <v>0.3</v>
      </c>
      <c r="G1802" s="5">
        <f>ROUND(E1802*(1+F1802),2)</f>
        <v>3.48</v>
      </c>
      <c r="H1802" s="5">
        <f>ROUND(G1802*NOTAS!$B$2,2)</f>
        <v>2510.28</v>
      </c>
      <c r="I1802" s="6">
        <f>ROUND(G1802*NOTAS!$B$3,0)</f>
        <v>11306</v>
      </c>
      <c r="J1802" s="2" t="n">
        <v>0</v>
      </c>
    </row>
    <row r="1803">
      <c r="A1803" s="2" t="inlineStr">
        <is>
          <t>1837BRGE</t>
        </is>
      </c>
      <c r="B1803" s="2" t="inlineStr"/>
      <c r="C1803" s="2" t="inlineStr">
        <is>
          <t>ESTOPERA EJE MANDO CORCEL 17X28X7/10</t>
        </is>
      </c>
      <c r="D1803" s="2" t="inlineStr">
        <is>
          <t>SABO ORIG</t>
        </is>
      </c>
      <c r="E1803" s="3" t="n">
        <v>2.3077</v>
      </c>
      <c r="F1803" s="4" t="n">
        <v>0.3</v>
      </c>
      <c r="G1803" s="5">
        <f>ROUND(E1803*(1+F1803),2)</f>
        <v>3.00</v>
      </c>
      <c r="H1803" s="5">
        <f>ROUND(G1803*NOTAS!$B$2,2)</f>
        <v>2164.04</v>
      </c>
      <c r="I1803" s="6">
        <f>ROUND(G1803*NOTAS!$B$3,0)</f>
        <v>9747</v>
      </c>
      <c r="J1803" s="2" t="n">
        <v>0</v>
      </c>
    </row>
    <row r="1804">
      <c r="A1804" s="2" t="inlineStr">
        <is>
          <t>1013800</t>
        </is>
      </c>
      <c r="B1804" s="2" t="inlineStr">
        <is>
          <t>96WT7048A9A</t>
        </is>
      </c>
      <c r="C1804" s="2" t="inlineStr">
        <is>
          <t>ESTOPERA GUIA COLLARIN CAJA FIESTA 21.5X48X8.4</t>
        </is>
      </c>
      <c r="D1804" s="2" t="inlineStr">
        <is>
          <t>FORD</t>
        </is>
      </c>
      <c r="E1804" s="3" t="n">
        <v>3.8462</v>
      </c>
      <c r="F1804" s="4" t="n">
        <v>0.3</v>
      </c>
      <c r="G1804" s="5">
        <f>ROUND(E1804*(1+F1804),2)</f>
        <v>5.00</v>
      </c>
      <c r="H1804" s="5">
        <f>ROUND(G1804*NOTAS!$B$2,2)</f>
        <v>3606.73</v>
      </c>
      <c r="I1804" s="6">
        <f>ROUND(G1804*NOTAS!$B$3,0)</f>
        <v>16244</v>
      </c>
      <c r="J1804" s="2" t="n">
        <v>8</v>
      </c>
    </row>
    <row r="1805">
      <c r="A1805" s="2" t="inlineStr">
        <is>
          <t>1833BA</t>
        </is>
      </c>
      <c r="B1805" s="2" t="inlineStr"/>
      <c r="C1805" s="2" t="inlineStr">
        <is>
          <t>ESTOPERA GUIA COLLARIN CHEVETTE 29X45X7</t>
        </is>
      </c>
      <c r="D1805" s="2" t="inlineStr">
        <is>
          <t>SABO ORIG</t>
        </is>
      </c>
      <c r="E1805" s="3" t="n">
        <v>3.8462</v>
      </c>
      <c r="F1805" s="4" t="n">
        <v>0.3</v>
      </c>
      <c r="G1805" s="5">
        <f>ROUND(E1805*(1+F1805),2)</f>
        <v>5.00</v>
      </c>
      <c r="H1805" s="5">
        <f>ROUND(G1805*NOTAS!$B$2,2)</f>
        <v>3606.73</v>
      </c>
      <c r="I1805" s="6">
        <f>ROUND(G1805*NOTAS!$B$3,0)</f>
        <v>16244</v>
      </c>
      <c r="J1805" s="2" t="n">
        <v>0</v>
      </c>
    </row>
    <row r="1806">
      <c r="A1806" s="2" t="inlineStr">
        <is>
          <t>02372BAG</t>
        </is>
      </c>
      <c r="B1806" s="2" t="inlineStr"/>
      <c r="C1806" s="2" t="inlineStr">
        <is>
          <t>ESTOPERA GUIA COLLARIN CIELO/LAN 23X35X8</t>
        </is>
      </c>
      <c r="D1806" s="2" t="inlineStr">
        <is>
          <t>SABO ORIG</t>
        </is>
      </c>
      <c r="E1806" s="3" t="n">
        <v>3.6</v>
      </c>
      <c r="F1806" s="4" t="n">
        <v>0.3</v>
      </c>
      <c r="G1806" s="5">
        <f>ROUND(E1806*(1+F1806),2)</f>
        <v>4.68</v>
      </c>
      <c r="H1806" s="5">
        <f>ROUND(G1806*NOTAS!$B$2,2)</f>
        <v>3375.90</v>
      </c>
      <c r="I1806" s="6">
        <f>ROUND(G1806*NOTAS!$B$3,0)</f>
        <v>15205</v>
      </c>
      <c r="J1806" s="2" t="n">
        <v>5</v>
      </c>
    </row>
    <row r="1807">
      <c r="A1807" s="2" t="inlineStr">
        <is>
          <t>90182168</t>
        </is>
      </c>
      <c r="B1807" s="2" t="inlineStr"/>
      <c r="C1807" s="2" t="inlineStr">
        <is>
          <t>ESTOPERA GUIA COLLARIN CIELO/LAN 23X35X8</t>
        </is>
      </c>
      <c r="D1807" s="2" t="inlineStr">
        <is>
          <t>KOS</t>
        </is>
      </c>
      <c r="E1807" s="3" t="n">
        <v>3.8462</v>
      </c>
      <c r="F1807" s="4" t="n">
        <v>0.3</v>
      </c>
      <c r="G1807" s="5">
        <f>ROUND(E1807*(1+F1807),2)</f>
        <v>5.00</v>
      </c>
      <c r="H1807" s="5">
        <f>ROUND(G1807*NOTAS!$B$2,2)</f>
        <v>3606.73</v>
      </c>
      <c r="I1807" s="6">
        <f>ROUND(G1807*NOTAS!$B$3,0)</f>
        <v>16244</v>
      </c>
      <c r="J1807" s="2" t="n">
        <v>4</v>
      </c>
    </row>
    <row r="1808">
      <c r="A1808" s="2" t="inlineStr">
        <is>
          <t>02371BAG</t>
        </is>
      </c>
      <c r="B1808" s="2" t="inlineStr"/>
      <c r="C1808" s="2" t="inlineStr">
        <is>
          <t>ESTOPERA GUIA COLLARIN CORSA 21X32X7.5</t>
        </is>
      </c>
      <c r="D1808" s="2" t="inlineStr">
        <is>
          <t>SABO ORIG</t>
        </is>
      </c>
      <c r="E1808" s="3" t="n">
        <v>3.8462</v>
      </c>
      <c r="F1808" s="4" t="n">
        <v>0.3</v>
      </c>
      <c r="G1808" s="5">
        <f>ROUND(E1808*(1+F1808),2)</f>
        <v>5.00</v>
      </c>
      <c r="H1808" s="5">
        <f>ROUND(G1808*NOTAS!$B$2,2)</f>
        <v>3606.73</v>
      </c>
      <c r="I1808" s="6">
        <f>ROUND(G1808*NOTAS!$B$3,0)</f>
        <v>16244</v>
      </c>
      <c r="J1808" s="2" t="n">
        <v>0</v>
      </c>
    </row>
    <row r="1809">
      <c r="A1809" s="2" t="inlineStr">
        <is>
          <t>02009BP</t>
        </is>
      </c>
      <c r="B1809" s="2" t="inlineStr"/>
      <c r="C1809" s="2" t="inlineStr">
        <is>
          <t>ESTOPERA GUIA COLLARIN F-147/UNO 22X40X8</t>
        </is>
      </c>
      <c r="D1809" s="2" t="inlineStr">
        <is>
          <t>SABO ORIG</t>
        </is>
      </c>
      <c r="E1809" s="3" t="n">
        <v>2.12</v>
      </c>
      <c r="F1809" s="4" t="n">
        <v>0.3</v>
      </c>
      <c r="G1809" s="5">
        <f>ROUND(E1809*(1+F1809),2)</f>
        <v>2.76</v>
      </c>
      <c r="H1809" s="5">
        <f>ROUND(G1809*NOTAS!$B$2,2)</f>
        <v>1990.91</v>
      </c>
      <c r="I1809" s="6">
        <f>ROUND(G1809*NOTAS!$B$3,0)</f>
        <v>8967</v>
      </c>
      <c r="J1809" s="2" t="n">
        <v>6</v>
      </c>
    </row>
    <row r="1810">
      <c r="A1810" s="2" t="inlineStr">
        <is>
          <t>02528GRL</t>
        </is>
      </c>
      <c r="B1810" s="2" t="inlineStr"/>
      <c r="C1810" s="2" t="inlineStr">
        <is>
          <t>ESTOPERA HIDROVAC UNO/CORCEL/CHEVETTE 35.6X50.75X7.8</t>
        </is>
      </c>
      <c r="D1810" s="2" t="inlineStr">
        <is>
          <t>SABO ORIG</t>
        </is>
      </c>
      <c r="E1810" s="3" t="n">
        <v>2</v>
      </c>
      <c r="F1810" s="4" t="n">
        <v>0.3</v>
      </c>
      <c r="G1810" s="5">
        <f>ROUND(E1810*(1+F1810),2)</f>
        <v>2.60</v>
      </c>
      <c r="H1810" s="5">
        <f>ROUND(G1810*NOTAS!$B$2,2)</f>
        <v>1875.50</v>
      </c>
      <c r="I1810" s="6">
        <f>ROUND(G1810*NOTAS!$B$3,0)</f>
        <v>8447</v>
      </c>
      <c r="J1810" s="2" t="n">
        <v>6</v>
      </c>
    </row>
    <row r="1811">
      <c r="A1811" s="2" t="inlineStr">
        <is>
          <t>9221</t>
        </is>
      </c>
      <c r="B1811" s="2" t="inlineStr"/>
      <c r="C1811" s="2" t="inlineStr">
        <is>
          <t>ESTOPERA LATERAL CAJA CIELO/LAN 35X55X14.7</t>
        </is>
      </c>
      <c r="D1811" s="2" t="inlineStr">
        <is>
          <t>DBH</t>
        </is>
      </c>
      <c r="E1811" s="3" t="n">
        <v>3</v>
      </c>
      <c r="F1811" s="4" t="n">
        <v>0.3</v>
      </c>
      <c r="G1811" s="5">
        <f>ROUND(E1811*(1+F1811),2)</f>
        <v>3.90</v>
      </c>
      <c r="H1811" s="5">
        <f>ROUND(G1811*NOTAS!$B$2,2)</f>
        <v>2813.25</v>
      </c>
      <c r="I1811" s="6">
        <f>ROUND(G1811*NOTAS!$B$3,0)</f>
        <v>12671</v>
      </c>
      <c r="J1811" s="2" t="n">
        <v>1</v>
      </c>
    </row>
    <row r="1812">
      <c r="A1812" s="2" t="inlineStr">
        <is>
          <t>02374BAGE</t>
        </is>
      </c>
      <c r="B1812" s="2" t="inlineStr"/>
      <c r="C1812" s="2" t="inlineStr">
        <is>
          <t>ESTOPERA LATERAL CAJA CIELO/LAN 35X55X14.7</t>
        </is>
      </c>
      <c r="D1812" s="2" t="inlineStr">
        <is>
          <t>SABO ORIG</t>
        </is>
      </c>
      <c r="E1812" s="3" t="n">
        <v>4.08</v>
      </c>
      <c r="F1812" s="4" t="n">
        <v>0.3</v>
      </c>
      <c r="G1812" s="5">
        <f>ROUND(E1812*(1+F1812),2)</f>
        <v>5.30</v>
      </c>
      <c r="H1812" s="5">
        <f>ROUND(G1812*NOTAS!$B$2,2)</f>
        <v>3823.13</v>
      </c>
      <c r="I1812" s="6">
        <f>ROUND(G1812*NOTAS!$B$3,0)</f>
        <v>17219</v>
      </c>
      <c r="J1812" s="2" t="n">
        <v>17</v>
      </c>
    </row>
    <row r="1813">
      <c r="A1813" s="2" t="inlineStr">
        <is>
          <t>90182166</t>
        </is>
      </c>
      <c r="B1813" s="2" t="inlineStr"/>
      <c r="C1813" s="2" t="inlineStr">
        <is>
          <t>ESTOPERA LATERAL CAJA CIELO/LAN 35X55X14.7</t>
        </is>
      </c>
      <c r="D1813" s="2" t="inlineStr">
        <is>
          <t>KOS</t>
        </is>
      </c>
      <c r="E1813" s="3" t="n">
        <v>3</v>
      </c>
      <c r="F1813" s="4" t="n">
        <v>0.3</v>
      </c>
      <c r="G1813" s="5">
        <f>ROUND(E1813*(1+F1813),2)</f>
        <v>3.90</v>
      </c>
      <c r="H1813" s="5">
        <f>ROUND(G1813*NOTAS!$B$2,2)</f>
        <v>2813.25</v>
      </c>
      <c r="I1813" s="6">
        <f>ROUND(G1813*NOTAS!$B$3,0)</f>
        <v>12671</v>
      </c>
      <c r="J1813" s="2" t="n">
        <v>5</v>
      </c>
    </row>
    <row r="1814">
      <c r="A1814" s="2" t="inlineStr">
        <is>
          <t>01765BRGE</t>
        </is>
      </c>
      <c r="B1814" s="2" t="inlineStr"/>
      <c r="C1814" s="2" t="inlineStr">
        <is>
          <t>ESTOPERA LATERAL CAJA CORCEL 25.6X42.10X6.40</t>
        </is>
      </c>
      <c r="D1814" s="2" t="inlineStr">
        <is>
          <t>SABO ORIG</t>
        </is>
      </c>
      <c r="E1814" s="3" t="n">
        <v>2.7</v>
      </c>
      <c r="F1814" s="4" t="n">
        <v>0.3</v>
      </c>
      <c r="G1814" s="5">
        <f>ROUND(E1814*(1+F1814),2)</f>
        <v>3.51</v>
      </c>
      <c r="H1814" s="5">
        <f>ROUND(G1814*NOTAS!$B$2,2)</f>
        <v>2531.92</v>
      </c>
      <c r="I1814" s="6">
        <f>ROUND(G1814*NOTAS!$B$3,0)</f>
        <v>11404</v>
      </c>
      <c r="J1814" s="2" t="n">
        <v>6</v>
      </c>
    </row>
    <row r="1815">
      <c r="A1815" s="2" t="inlineStr">
        <is>
          <t>02370BRAGE</t>
        </is>
      </c>
      <c r="B1815" s="2" t="inlineStr"/>
      <c r="C1815" s="2" t="inlineStr">
        <is>
          <t>ESTOPERA LATERAL CAJA CORSA 35X54X10</t>
        </is>
      </c>
      <c r="D1815" s="2" t="inlineStr">
        <is>
          <t>SABO ORIG</t>
        </is>
      </c>
      <c r="E1815" s="3" t="n">
        <v>2.55</v>
      </c>
      <c r="F1815" s="4" t="n">
        <v>0.3</v>
      </c>
      <c r="G1815" s="5">
        <f>ROUND(E1815*(1+F1815),2)</f>
        <v>3.32</v>
      </c>
      <c r="H1815" s="5">
        <f>ROUND(G1815*NOTAS!$B$2,2)</f>
        <v>2394.87</v>
      </c>
      <c r="I1815" s="6">
        <f>ROUND(G1815*NOTAS!$B$3,0)</f>
        <v>10786</v>
      </c>
      <c r="J1815" s="2" t="n">
        <v>24</v>
      </c>
    </row>
    <row r="1816">
      <c r="A1816" s="2" t="inlineStr">
        <is>
          <t>24211013</t>
        </is>
      </c>
      <c r="B1816" s="2" t="inlineStr"/>
      <c r="C1816" s="2" t="inlineStr">
        <is>
          <t>ESTOPERA LATERAL CAJA CORSA 35X54X10</t>
        </is>
      </c>
      <c r="D1816" s="2" t="inlineStr">
        <is>
          <t>GM</t>
        </is>
      </c>
      <c r="E1816" s="3" t="n">
        <v>3</v>
      </c>
      <c r="F1816" s="4" t="n">
        <v>0.3</v>
      </c>
      <c r="G1816" s="5">
        <f>ROUND(E1816*(1+F1816),2)</f>
        <v>3.90</v>
      </c>
      <c r="H1816" s="5">
        <f>ROUND(G1816*NOTAS!$B$2,2)</f>
        <v>2813.25</v>
      </c>
      <c r="I1816" s="6">
        <f>ROUND(G1816*NOTAS!$B$3,0)</f>
        <v>12671</v>
      </c>
      <c r="J1816" s="2" t="n">
        <v>49</v>
      </c>
    </row>
    <row r="1817">
      <c r="A1817" s="2" t="inlineStr">
        <is>
          <t>94580313</t>
        </is>
      </c>
      <c r="B1817" s="2" t="inlineStr"/>
      <c r="C1817" s="2" t="inlineStr">
        <is>
          <t>ESTOPERA LATERAL CAJA DERECHA SPARK/MATIZ</t>
        </is>
      </c>
      <c r="D1817" s="2" t="inlineStr">
        <is>
          <t>GM</t>
        </is>
      </c>
      <c r="E1817" s="3" t="n">
        <v>4.6154</v>
      </c>
      <c r="F1817" s="4" t="n">
        <v>0.3</v>
      </c>
      <c r="G1817" s="5">
        <f>ROUND(E1817*(1+F1817),2)</f>
        <v>6.00</v>
      </c>
      <c r="H1817" s="5">
        <f>ROUND(G1817*NOTAS!$B$2,2)</f>
        <v>4328.07</v>
      </c>
      <c r="I1817" s="6">
        <f>ROUND(G1817*NOTAS!$B$3,0)</f>
        <v>19493</v>
      </c>
      <c r="J1817" s="2" t="n">
        <v>15</v>
      </c>
    </row>
    <row r="1818">
      <c r="A1818" s="2" t="inlineStr">
        <is>
          <t>4873445</t>
        </is>
      </c>
      <c r="B1818" s="2" t="inlineStr">
        <is>
          <t>3S4Z1177AA</t>
        </is>
      </c>
      <c r="C1818" s="2" t="inlineStr">
        <is>
          <t xml:space="preserve">ESTOPERA LATERAL CAJA ECOSPORT AUTOMATICA/FOCUS 2.0 </t>
        </is>
      </c>
      <c r="D1818" s="2" t="inlineStr">
        <is>
          <t>FORD</t>
        </is>
      </c>
      <c r="E1818" s="3" t="n">
        <v>4.6154</v>
      </c>
      <c r="F1818" s="4" t="n">
        <v>0.3</v>
      </c>
      <c r="G1818" s="5">
        <f>ROUND(E1818*(1+F1818),2)</f>
        <v>6.00</v>
      </c>
      <c r="H1818" s="5">
        <f>ROUND(G1818*NOTAS!$B$2,2)</f>
        <v>4328.07</v>
      </c>
      <c r="I1818" s="6">
        <f>ROUND(G1818*NOTAS!$B$3,0)</f>
        <v>19493</v>
      </c>
      <c r="J1818" s="2" t="n">
        <v>2</v>
      </c>
    </row>
    <row r="1819">
      <c r="A1819" s="2" t="inlineStr">
        <is>
          <t>07284BRAG</t>
        </is>
      </c>
      <c r="B1819" s="2" t="inlineStr"/>
      <c r="C1819" s="2" t="inlineStr">
        <is>
          <t>ESTOPERA LATERAL CAJA FIESTA /KA/ECOSPORT 40X55X8</t>
        </is>
      </c>
      <c r="D1819" s="2" t="inlineStr">
        <is>
          <t>SABO ORIG</t>
        </is>
      </c>
      <c r="E1819" s="3" t="n">
        <v>4.6154</v>
      </c>
      <c r="F1819" s="4" t="n">
        <v>0.3</v>
      </c>
      <c r="G1819" s="5">
        <f>ROUND(E1819*(1+F1819),2)</f>
        <v>6.00</v>
      </c>
      <c r="H1819" s="5">
        <f>ROUND(G1819*NOTAS!$B$2,2)</f>
        <v>4328.07</v>
      </c>
      <c r="I1819" s="6">
        <f>ROUND(G1819*NOTAS!$B$3,0)</f>
        <v>19493</v>
      </c>
      <c r="J1819" s="2" t="n">
        <v>0</v>
      </c>
    </row>
    <row r="1820">
      <c r="A1820" s="2" t="inlineStr"/>
      <c r="B1820" s="2" t="inlineStr"/>
      <c r="C1820" s="2" t="inlineStr">
        <is>
          <t>ESTOPERA LATERAL CAJA IZQUIERDA SPARK/MATIZ</t>
        </is>
      </c>
      <c r="D1820" s="2" t="inlineStr">
        <is>
          <t>GM</t>
        </is>
      </c>
      <c r="E1820" s="3" t="n">
        <v>4.6154</v>
      </c>
      <c r="F1820" s="4" t="n">
        <v>0.3</v>
      </c>
      <c r="G1820" s="5">
        <f>ROUND(E1820*(1+F1820),2)</f>
        <v>6.00</v>
      </c>
      <c r="H1820" s="5">
        <f>ROUND(G1820*NOTAS!$B$2,2)</f>
        <v>4328.07</v>
      </c>
      <c r="I1820" s="6">
        <f>ROUND(G1820*NOTAS!$B$3,0)</f>
        <v>19493</v>
      </c>
      <c r="J1820" s="2" t="n">
        <v>7</v>
      </c>
    </row>
    <row r="1821">
      <c r="A1821" s="2" t="inlineStr"/>
      <c r="B1821" s="2" t="inlineStr"/>
      <c r="C1821" s="2" t="inlineStr">
        <is>
          <t>ESTOPERA LATERAL CAJA R-11/19/SYMBOL/LOGAN 28X56X10</t>
        </is>
      </c>
      <c r="D1821" s="2" t="inlineStr">
        <is>
          <t>TOTO</t>
        </is>
      </c>
      <c r="E1821" s="3" t="n">
        <v>2.25</v>
      </c>
      <c r="F1821" s="4" t="n">
        <v>0.3</v>
      </c>
      <c r="G1821" s="5">
        <f>ROUND(E1821*(1+F1821),2)</f>
        <v>2.93</v>
      </c>
      <c r="H1821" s="5">
        <f>ROUND(G1821*NOTAS!$B$2,2)</f>
        <v>2113.54</v>
      </c>
      <c r="I1821" s="6">
        <f>ROUND(G1821*NOTAS!$B$3,0)</f>
        <v>9519</v>
      </c>
      <c r="J1821" s="2" t="n">
        <v>3</v>
      </c>
    </row>
    <row r="1822">
      <c r="A1822" s="2" t="inlineStr">
        <is>
          <t>8004</t>
        </is>
      </c>
      <c r="B1822" s="2" t="inlineStr"/>
      <c r="C1822" s="2" t="inlineStr">
        <is>
          <t>ESTOPERA LATERAL CAJA R-18/FUEGO 26X42X8/17</t>
        </is>
      </c>
      <c r="D1822" s="2" t="inlineStr">
        <is>
          <t>DBH</t>
        </is>
      </c>
      <c r="E1822" s="3" t="n">
        <v>3.8462</v>
      </c>
      <c r="F1822" s="4" t="n">
        <v>0.3</v>
      </c>
      <c r="G1822" s="5">
        <f>ROUND(E1822*(1+F1822),2)</f>
        <v>5.00</v>
      </c>
      <c r="H1822" s="5">
        <f>ROUND(G1822*NOTAS!$B$2,2)</f>
        <v>3606.73</v>
      </c>
      <c r="I1822" s="6">
        <f>ROUND(G1822*NOTAS!$B$3,0)</f>
        <v>16244</v>
      </c>
      <c r="J1822" s="2" t="n">
        <v>12</v>
      </c>
    </row>
    <row r="1823">
      <c r="A1823" s="2" t="inlineStr"/>
      <c r="B1823" s="2" t="inlineStr"/>
      <c r="C1823" s="2" t="inlineStr">
        <is>
          <t>ESTOPERA LATERAL CAJA R-5 36X54X7.5</t>
        </is>
      </c>
      <c r="D1823" s="2" t="inlineStr">
        <is>
          <t>NOK</t>
        </is>
      </c>
      <c r="E1823" s="3" t="n">
        <v>3.8462</v>
      </c>
      <c r="F1823" s="4" t="n">
        <v>0.3</v>
      </c>
      <c r="G1823" s="5">
        <f>ROUND(E1823*(1+F1823),2)</f>
        <v>5.00</v>
      </c>
      <c r="H1823" s="5">
        <f>ROUND(G1823*NOTAS!$B$2,2)</f>
        <v>3606.73</v>
      </c>
      <c r="I1823" s="6">
        <f>ROUND(G1823*NOTAS!$B$3,0)</f>
        <v>16244</v>
      </c>
      <c r="J1823" s="2" t="n">
        <v>2</v>
      </c>
    </row>
    <row r="1824">
      <c r="A1824" s="2" t="inlineStr">
        <is>
          <t>05883BRF</t>
        </is>
      </c>
      <c r="B1824" s="2" t="inlineStr"/>
      <c r="C1824" s="2" t="inlineStr">
        <is>
          <t>ESTOPERA LEVA AVEO 1.6 42X56X7</t>
        </is>
      </c>
      <c r="D1824" s="2" t="inlineStr">
        <is>
          <t>SABO ORIG</t>
        </is>
      </c>
      <c r="E1824" s="3" t="n">
        <v>2.83</v>
      </c>
      <c r="F1824" s="4" t="n">
        <v>0.3</v>
      </c>
      <c r="G1824" s="5">
        <f>ROUND(E1824*(1+F1824),2)</f>
        <v>3.68</v>
      </c>
      <c r="H1824" s="5">
        <f>ROUND(G1824*NOTAS!$B$2,2)</f>
        <v>2654.55</v>
      </c>
      <c r="I1824" s="6">
        <f>ROUND(G1824*NOTAS!$B$3,0)</f>
        <v>11956</v>
      </c>
      <c r="J1824" s="2" t="n">
        <v>6</v>
      </c>
    </row>
    <row r="1825">
      <c r="A1825" s="2" t="inlineStr">
        <is>
          <t>94580413</t>
        </is>
      </c>
      <c r="B1825" s="2" t="inlineStr"/>
      <c r="C1825" s="2" t="inlineStr">
        <is>
          <t>ESTOPERA LEVA AVEO 1.6 42X56X7</t>
        </is>
      </c>
      <c r="D1825" s="2" t="inlineStr">
        <is>
          <t>GM</t>
        </is>
      </c>
      <c r="E1825" s="3" t="n">
        <v>0.75</v>
      </c>
      <c r="F1825" s="4" t="n">
        <v>0.3</v>
      </c>
      <c r="G1825" s="5">
        <f>ROUND(E1825*(1+F1825),2)</f>
        <v>0.98</v>
      </c>
      <c r="H1825" s="5">
        <f>ROUND(G1825*NOTAS!$B$2,2)</f>
        <v>706.92</v>
      </c>
      <c r="I1825" s="6">
        <f>ROUND(G1825*NOTAS!$B$3,0)</f>
        <v>3184</v>
      </c>
      <c r="J1825" s="2" t="n">
        <v>1</v>
      </c>
    </row>
    <row r="1826">
      <c r="A1826" s="2" t="inlineStr">
        <is>
          <t>02178BRAGS</t>
        </is>
      </c>
      <c r="B1826" s="2" t="inlineStr"/>
      <c r="C1826" s="2" t="inlineStr">
        <is>
          <t>ESTOPERA LEVA CORSA/CIELO/LAN 35X48X7</t>
        </is>
      </c>
      <c r="D1826" s="2" t="inlineStr">
        <is>
          <t>SABO ORIG</t>
        </is>
      </c>
      <c r="E1826" s="3" t="n">
        <v>2.22</v>
      </c>
      <c r="F1826" s="4" t="n">
        <v>0.3</v>
      </c>
      <c r="G1826" s="5">
        <f>ROUND(E1826*(1+F1826),2)</f>
        <v>2.89</v>
      </c>
      <c r="H1826" s="5">
        <f>ROUND(G1826*NOTAS!$B$2,2)</f>
        <v>2084.69</v>
      </c>
      <c r="I1826" s="6">
        <f>ROUND(G1826*NOTAS!$B$3,0)</f>
        <v>9389</v>
      </c>
      <c r="J1826" s="2" t="n">
        <v>13</v>
      </c>
    </row>
    <row r="1827">
      <c r="A1827" s="2" t="inlineStr">
        <is>
          <t>90180529</t>
        </is>
      </c>
      <c r="B1827" s="2" t="inlineStr"/>
      <c r="C1827" s="2" t="inlineStr">
        <is>
          <t>ESTOPERA LEVA CORSA/CIELO/LAN 35X48X7</t>
        </is>
      </c>
      <c r="D1827" s="2" t="inlineStr">
        <is>
          <t>GM</t>
        </is>
      </c>
      <c r="E1827" s="3" t="n">
        <v>3</v>
      </c>
      <c r="F1827" s="4" t="n">
        <v>0.3</v>
      </c>
      <c r="G1827" s="5">
        <f>ROUND(E1827*(1+F1827),2)</f>
        <v>3.90</v>
      </c>
      <c r="H1827" s="5">
        <f>ROUND(G1827*NOTAS!$B$2,2)</f>
        <v>2813.25</v>
      </c>
      <c r="I1827" s="6">
        <f>ROUND(G1827*NOTAS!$B$3,0)</f>
        <v>12671</v>
      </c>
      <c r="J1827" s="2" t="n">
        <v>7</v>
      </c>
    </row>
    <row r="1828">
      <c r="A1828" s="2" t="inlineStr">
        <is>
          <t>102178S</t>
        </is>
      </c>
      <c r="B1828" s="2" t="inlineStr"/>
      <c r="C1828" s="2" t="inlineStr">
        <is>
          <t>ESTOPERA LEVA CORSA/CIELO/LAN 35X48X7</t>
        </is>
      </c>
      <c r="D1828" s="2" t="inlineStr">
        <is>
          <t>SPALL</t>
        </is>
      </c>
      <c r="E1828" s="3" t="n">
        <v>2</v>
      </c>
      <c r="F1828" s="4" t="n">
        <v>0.3</v>
      </c>
      <c r="G1828" s="5">
        <f>ROUND(E1828*(1+F1828),2)</f>
        <v>2.60</v>
      </c>
      <c r="H1828" s="5">
        <f>ROUND(G1828*NOTAS!$B$2,2)</f>
        <v>1875.50</v>
      </c>
      <c r="I1828" s="6">
        <f>ROUND(G1828*NOTAS!$B$3,0)</f>
        <v>8447</v>
      </c>
      <c r="J1828" s="2" t="n">
        <v>4</v>
      </c>
    </row>
    <row r="1829">
      <c r="A1829" s="2" t="inlineStr"/>
      <c r="B1829" s="2" t="inlineStr"/>
      <c r="C1829" s="2" t="inlineStr">
        <is>
          <t>ESTOPERA LEVA CORSA/CIELO/LAN 35X48X7</t>
        </is>
      </c>
      <c r="D1829" s="2" t="inlineStr">
        <is>
          <t>KOS</t>
        </is>
      </c>
      <c r="E1829" s="3" t="n">
        <v>2</v>
      </c>
      <c r="F1829" s="4" t="n">
        <v>0.3</v>
      </c>
      <c r="G1829" s="5">
        <f>ROUND(E1829*(1+F1829),2)</f>
        <v>2.60</v>
      </c>
      <c r="H1829" s="5">
        <f>ROUND(G1829*NOTAS!$B$2,2)</f>
        <v>1875.50</v>
      </c>
      <c r="I1829" s="6">
        <f>ROUND(G1829*NOTAS!$B$3,0)</f>
        <v>8447</v>
      </c>
      <c r="J1829" s="2" t="n">
        <v>2</v>
      </c>
    </row>
    <row r="1830">
      <c r="A1830" s="2" t="inlineStr">
        <is>
          <t>F09521</t>
        </is>
      </c>
      <c r="B1830" s="2" t="inlineStr"/>
      <c r="C1830" s="2" t="inlineStr">
        <is>
          <t>ESTOPERA LEVA FESTIVA 30X44X7</t>
        </is>
      </c>
      <c r="D1830" s="2" t="inlineStr">
        <is>
          <t>DBH</t>
        </is>
      </c>
      <c r="E1830" s="3" t="n">
        <v>2.3077</v>
      </c>
      <c r="F1830" s="4" t="n">
        <v>0.3</v>
      </c>
      <c r="G1830" s="5">
        <f>ROUND(E1830*(1+F1830),2)</f>
        <v>3.00</v>
      </c>
      <c r="H1830" s="5">
        <f>ROUND(G1830*NOTAS!$B$2,2)</f>
        <v>2164.04</v>
      </c>
      <c r="I1830" s="6">
        <f>ROUND(G1830*NOTAS!$B$3,0)</f>
        <v>9747</v>
      </c>
      <c r="J1830" s="2" t="n">
        <v>3</v>
      </c>
    </row>
    <row r="1831">
      <c r="A1831" s="2" t="inlineStr"/>
      <c r="B1831" s="2" t="inlineStr"/>
      <c r="C1831" s="2" t="inlineStr">
        <is>
          <t>ESTOPERA LEVA FESTIVA 30X44X7</t>
        </is>
      </c>
      <c r="D1831" s="2" t="inlineStr">
        <is>
          <t>KOS</t>
        </is>
      </c>
      <c r="E1831" s="3" t="n">
        <v>2.3077</v>
      </c>
      <c r="F1831" s="4" t="n">
        <v>0.3</v>
      </c>
      <c r="G1831" s="5">
        <f>ROUND(E1831*(1+F1831),2)</f>
        <v>3.00</v>
      </c>
      <c r="H1831" s="5">
        <f>ROUND(G1831*NOTAS!$B$2,2)</f>
        <v>2164.04</v>
      </c>
      <c r="I1831" s="6">
        <f>ROUND(G1831*NOTAS!$B$3,0)</f>
        <v>9747</v>
      </c>
      <c r="J1831" s="2" t="n">
        <v>1</v>
      </c>
    </row>
    <row r="1832">
      <c r="A1832" s="2" t="inlineStr">
        <is>
          <t>05246BRAGF</t>
        </is>
      </c>
      <c r="B1832" s="2" t="inlineStr"/>
      <c r="C1832" s="2" t="inlineStr">
        <is>
          <t>ESTOPERA LEVA F-PAL/SIE 1.3 16V FIRE 40X55X7</t>
        </is>
      </c>
      <c r="D1832" s="2" t="inlineStr">
        <is>
          <t>SABO</t>
        </is>
      </c>
      <c r="E1832" s="3" t="n">
        <v>2.5</v>
      </c>
      <c r="F1832" s="4" t="n">
        <v>0.3</v>
      </c>
      <c r="G1832" s="5">
        <f>ROUND(E1832*(1+F1832),2)</f>
        <v>3.25</v>
      </c>
      <c r="H1832" s="5">
        <f>ROUND(G1832*NOTAS!$B$2,2)</f>
        <v>2344.37</v>
      </c>
      <c r="I1832" s="6">
        <f>ROUND(G1832*NOTAS!$B$3,0)</f>
        <v>10559</v>
      </c>
      <c r="J1832" s="2" t="n">
        <v>0</v>
      </c>
    </row>
    <row r="1833">
      <c r="A1833" s="2" t="inlineStr">
        <is>
          <t>05246BRAG</t>
        </is>
      </c>
      <c r="B1833" s="2" t="inlineStr"/>
      <c r="C1833" s="2" t="inlineStr">
        <is>
          <t>ESTOPERA LEVA F-PAL/SIE 1.3 16V FIRE 40X55X7</t>
        </is>
      </c>
      <c r="D1833" s="2" t="inlineStr">
        <is>
          <t>SABO ORIG</t>
        </is>
      </c>
      <c r="E1833" s="3" t="n">
        <v>3.51</v>
      </c>
      <c r="F1833" s="4" t="n">
        <v>0.3</v>
      </c>
      <c r="G1833" s="5">
        <f>ROUND(E1833*(1+F1833),2)</f>
        <v>4.56</v>
      </c>
      <c r="H1833" s="5">
        <f>ROUND(G1833*NOTAS!$B$2,2)</f>
        <v>3289.34</v>
      </c>
      <c r="I1833" s="6">
        <f>ROUND(G1833*NOTAS!$B$3,0)</f>
        <v>14815</v>
      </c>
      <c r="J1833" s="2" t="n">
        <v>15</v>
      </c>
    </row>
    <row r="1834">
      <c r="A1834" s="2" t="inlineStr">
        <is>
          <t>46780736</t>
        </is>
      </c>
      <c r="B1834" s="2" t="inlineStr"/>
      <c r="C1834" s="2" t="inlineStr">
        <is>
          <t>ESTOPERA LEVA F-PAL/SIE 1.3 16V FIRE 40X55X7</t>
        </is>
      </c>
      <c r="D1834" s="2" t="inlineStr">
        <is>
          <t>FIAT</t>
        </is>
      </c>
      <c r="E1834" s="3" t="n">
        <v>4</v>
      </c>
      <c r="F1834" s="4" t="n">
        <v>0.3</v>
      </c>
      <c r="G1834" s="5">
        <f>ROUND(E1834*(1+F1834),2)</f>
        <v>5.20</v>
      </c>
      <c r="H1834" s="5">
        <f>ROUND(G1834*NOTAS!$B$2,2)</f>
        <v>3751.00</v>
      </c>
      <c r="I1834" s="6">
        <f>ROUND(G1834*NOTAS!$B$3,0)</f>
        <v>16894</v>
      </c>
      <c r="J1834" s="2" t="n">
        <v>5</v>
      </c>
    </row>
    <row r="1835">
      <c r="A1835" s="2" t="inlineStr">
        <is>
          <t>405246T</t>
        </is>
      </c>
      <c r="B1835" s="2" t="inlineStr"/>
      <c r="C1835" s="2" t="inlineStr">
        <is>
          <t>ESTOPERA LEVA F-PAL/SIE 1.3 16V FIRE 40X55X7</t>
        </is>
      </c>
      <c r="D1835" s="2" t="inlineStr">
        <is>
          <t>SPALL</t>
        </is>
      </c>
      <c r="E1835" s="3" t="n">
        <v>3</v>
      </c>
      <c r="F1835" s="4" t="n">
        <v>0.3</v>
      </c>
      <c r="G1835" s="5">
        <f>ROUND(E1835*(1+F1835),2)</f>
        <v>3.90</v>
      </c>
      <c r="H1835" s="5">
        <f>ROUND(G1835*NOTAS!$B$2,2)</f>
        <v>2813.25</v>
      </c>
      <c r="I1835" s="6">
        <f>ROUND(G1835*NOTAS!$B$3,0)</f>
        <v>12671</v>
      </c>
      <c r="J1835" s="2" t="n">
        <v>2</v>
      </c>
    </row>
    <row r="1836">
      <c r="A1836" s="2" t="inlineStr">
        <is>
          <t>R270713V</t>
        </is>
      </c>
      <c r="B1836" s="2" t="inlineStr"/>
      <c r="C1836" s="2" t="inlineStr">
        <is>
          <t>ESTOPERA LEVA F-PAL/SIE 1.3 16V FIRE 40X55X7</t>
        </is>
      </c>
      <c r="D1836" s="2" t="inlineStr">
        <is>
          <t>TARANTO</t>
        </is>
      </c>
      <c r="E1836" s="3" t="n">
        <v>3</v>
      </c>
      <c r="F1836" s="4" t="n">
        <v>0.3</v>
      </c>
      <c r="G1836" s="5">
        <f>ROUND(E1836*(1+F1836),2)</f>
        <v>3.90</v>
      </c>
      <c r="H1836" s="5">
        <f>ROUND(G1836*NOTAS!$B$2,2)</f>
        <v>2813.25</v>
      </c>
      <c r="I1836" s="6">
        <f>ROUND(G1836*NOTAS!$B$3,0)</f>
        <v>12671</v>
      </c>
      <c r="J1836" s="2" t="n">
        <v>1</v>
      </c>
    </row>
    <row r="1837">
      <c r="A1837" s="2" t="inlineStr">
        <is>
          <t>02539BRGP</t>
        </is>
      </c>
      <c r="B1837" s="2" t="inlineStr"/>
      <c r="C1837" s="2" t="inlineStr">
        <is>
          <t>ESTOPERA LEVA F-PAL/SIE 1.4 UNO FIRE R-TWINGO 8V 30X42X7</t>
        </is>
      </c>
      <c r="D1837" s="2" t="inlineStr">
        <is>
          <t>SABO ORIG</t>
        </is>
      </c>
      <c r="E1837" s="3" t="n">
        <v>1.71</v>
      </c>
      <c r="F1837" s="4" t="n">
        <v>0.3</v>
      </c>
      <c r="G1837" s="5">
        <f>ROUND(E1837*(1+F1837),2)</f>
        <v>2.22</v>
      </c>
      <c r="H1837" s="5">
        <f>ROUND(G1837*NOTAS!$B$2,2)</f>
        <v>1601.39</v>
      </c>
      <c r="I1837" s="6">
        <f>ROUND(G1837*NOTAS!$B$3,0)</f>
        <v>7212</v>
      </c>
      <c r="J1837" s="2" t="n">
        <v>1</v>
      </c>
    </row>
    <row r="1838">
      <c r="A1838" s="2" t="inlineStr">
        <is>
          <t>02539BRGP</t>
        </is>
      </c>
      <c r="B1838" s="2" t="inlineStr"/>
      <c r="C1838" s="2" t="inlineStr">
        <is>
          <t>ESTOPERA LEVA F-PAL/SIE 1.4 UNO FIRE R-TWINGO 8V 30X42X7</t>
        </is>
      </c>
      <c r="D1838" s="2" t="inlineStr">
        <is>
          <t>SABO</t>
        </is>
      </c>
      <c r="E1838" s="3" t="n">
        <v>0.64</v>
      </c>
      <c r="F1838" s="4" t="n">
        <v>0.3</v>
      </c>
      <c r="G1838" s="5">
        <f>ROUND(E1838*(1+F1838),2)</f>
        <v>0.83</v>
      </c>
      <c r="H1838" s="5">
        <f>ROUND(G1838*NOTAS!$B$2,2)</f>
        <v>598.72</v>
      </c>
      <c r="I1838" s="6">
        <f>ROUND(G1838*NOTAS!$B$3,0)</f>
        <v>2697</v>
      </c>
      <c r="J1838" s="2" t="n">
        <v>10</v>
      </c>
    </row>
    <row r="1839">
      <c r="A1839" s="2" t="inlineStr">
        <is>
          <t>02006BAG</t>
        </is>
      </c>
      <c r="B1839" s="2" t="inlineStr"/>
      <c r="C1839" s="2" t="inlineStr">
        <is>
          <t>ESTOPERA LEVA F-UNO/PREMIO 1.3 30X52X7</t>
        </is>
      </c>
      <c r="D1839" s="2" t="inlineStr">
        <is>
          <t>SABO</t>
        </is>
      </c>
      <c r="E1839" s="3" t="n">
        <v>0.83</v>
      </c>
      <c r="F1839" s="4" t="n">
        <v>0.3</v>
      </c>
      <c r="G1839" s="5">
        <f>ROUND(E1839*(1+F1839),2)</f>
        <v>1.08</v>
      </c>
      <c r="H1839" s="5">
        <f>ROUND(G1839*NOTAS!$B$2,2)</f>
        <v>779.05</v>
      </c>
      <c r="I1839" s="6">
        <f>ROUND(G1839*NOTAS!$B$3,0)</f>
        <v>3509</v>
      </c>
      <c r="J1839" s="2" t="n">
        <v>3</v>
      </c>
    </row>
    <row r="1840">
      <c r="A1840" s="2" t="inlineStr">
        <is>
          <t>02006BAG</t>
        </is>
      </c>
      <c r="B1840" s="2" t="inlineStr"/>
      <c r="C1840" s="2" t="inlineStr">
        <is>
          <t>ESTOPERA LEVA F-UNO/PREMIO 1.3 30X52X7</t>
        </is>
      </c>
      <c r="D1840" s="2" t="inlineStr">
        <is>
          <t>SABO ORIG</t>
        </is>
      </c>
      <c r="E1840" s="3" t="n">
        <v>2.38</v>
      </c>
      <c r="F1840" s="4" t="n">
        <v>0.3</v>
      </c>
      <c r="G1840" s="5">
        <f>ROUND(E1840*(1+F1840),2)</f>
        <v>3.09</v>
      </c>
      <c r="H1840" s="5">
        <f>ROUND(G1840*NOTAS!$B$2,2)</f>
        <v>2228.96</v>
      </c>
      <c r="I1840" s="6">
        <f>ROUND(G1840*NOTAS!$B$3,0)</f>
        <v>10039</v>
      </c>
      <c r="J1840" s="2" t="n">
        <v>18</v>
      </c>
    </row>
    <row r="1841">
      <c r="A1841" s="2" t="inlineStr">
        <is>
          <t>8603POL</t>
        </is>
      </c>
      <c r="B1841" s="2" t="inlineStr"/>
      <c r="C1841" s="2" t="inlineStr">
        <is>
          <t>ESTOPERA LEVA GRANDE R-18/FUEGO/21 33X47X8</t>
        </is>
      </c>
      <c r="D1841" s="2" t="inlineStr">
        <is>
          <t>DBH</t>
        </is>
      </c>
      <c r="E1841" s="3" t="n">
        <v>3.0769</v>
      </c>
      <c r="F1841" s="4" t="n">
        <v>0.3</v>
      </c>
      <c r="G1841" s="5">
        <f>ROUND(E1841*(1+F1841),2)</f>
        <v>4.00</v>
      </c>
      <c r="H1841" s="5">
        <f>ROUND(G1841*NOTAS!$B$2,2)</f>
        <v>2885.38</v>
      </c>
      <c r="I1841" s="6">
        <f>ROUND(G1841*NOTAS!$B$3,0)</f>
        <v>12995</v>
      </c>
      <c r="J1841" s="2" t="n">
        <v>8</v>
      </c>
    </row>
    <row r="1842">
      <c r="A1842" s="2" t="inlineStr">
        <is>
          <t>OK30E-10-602</t>
        </is>
      </c>
      <c r="B1842" s="2" t="inlineStr"/>
      <c r="C1842" s="2" t="inlineStr">
        <is>
          <t>ESTOPERA LEVA KIA RIA 1.5 34X52X7</t>
        </is>
      </c>
      <c r="D1842" s="2" t="inlineStr">
        <is>
          <t>KOS</t>
        </is>
      </c>
      <c r="E1842" s="3" t="n">
        <v>3.0769</v>
      </c>
      <c r="F1842" s="4" t="n">
        <v>0.3</v>
      </c>
      <c r="G1842" s="5">
        <f>ROUND(E1842*(1+F1842),2)</f>
        <v>4.00</v>
      </c>
      <c r="H1842" s="5">
        <f>ROUND(G1842*NOTAS!$B$2,2)</f>
        <v>2885.38</v>
      </c>
      <c r="I1842" s="6">
        <f>ROUND(G1842*NOTAS!$B$3,0)</f>
        <v>12995</v>
      </c>
      <c r="J1842" s="2" t="n">
        <v>3</v>
      </c>
    </row>
    <row r="1843">
      <c r="A1843" s="2" t="inlineStr">
        <is>
          <t>FS05-10-602</t>
        </is>
      </c>
      <c r="B1843" s="2" t="inlineStr"/>
      <c r="C1843" s="2" t="inlineStr">
        <is>
          <t>ESTOPERA LEVA LASER/ALEGRO/CRUZE 34X48X7</t>
        </is>
      </c>
      <c r="D1843" s="2" t="inlineStr">
        <is>
          <t>THO</t>
        </is>
      </c>
      <c r="E1843" s="3" t="n">
        <v>3.0769</v>
      </c>
      <c r="F1843" s="4" t="n">
        <v>0.3</v>
      </c>
      <c r="G1843" s="5">
        <f>ROUND(E1843*(1+F1843),2)</f>
        <v>4.00</v>
      </c>
      <c r="H1843" s="5">
        <f>ROUND(G1843*NOTAS!$B$2,2)</f>
        <v>2885.38</v>
      </c>
      <c r="I1843" s="6">
        <f>ROUND(G1843*NOTAS!$B$3,0)</f>
        <v>12995</v>
      </c>
      <c r="J1843" s="2" t="n">
        <v>3</v>
      </c>
    </row>
    <row r="1844">
      <c r="A1844" s="2" t="inlineStr">
        <is>
          <t>7703087104</t>
        </is>
      </c>
      <c r="B1844" s="2" t="inlineStr"/>
      <c r="C1844" s="2" t="inlineStr">
        <is>
          <t>ESTOPERA LEVA R-19/SYMBOL/LOGAN</t>
        </is>
      </c>
      <c r="D1844" s="2" t="inlineStr">
        <is>
          <t>RENAULT GROUP</t>
        </is>
      </c>
      <c r="E1844" s="3" t="n">
        <v>0.38</v>
      </c>
      <c r="F1844" s="4" t="n">
        <v>0.3</v>
      </c>
      <c r="G1844" s="5">
        <f>ROUND(E1844*(1+F1844),2)</f>
        <v>0.49</v>
      </c>
      <c r="H1844" s="5">
        <f>ROUND(G1844*NOTAS!$B$2,2)</f>
        <v>353.46</v>
      </c>
      <c r="I1844" s="6">
        <f>ROUND(G1844*NOTAS!$B$3,0)</f>
        <v>1592</v>
      </c>
      <c r="J1844" s="2" t="n">
        <v>2</v>
      </c>
    </row>
    <row r="1845">
      <c r="A1845" s="2" t="inlineStr">
        <is>
          <t>9688VIT</t>
        </is>
      </c>
      <c r="B1845" s="2" t="inlineStr"/>
      <c r="C1845" s="2" t="inlineStr">
        <is>
          <t>ESTOPERA LEVA R-SYMBOL/MEGANA 1.6 16V 28X42X5</t>
        </is>
      </c>
      <c r="D1845" s="2" t="inlineStr">
        <is>
          <t>DBH</t>
        </is>
      </c>
      <c r="E1845" s="3" t="n">
        <v>2.3077</v>
      </c>
      <c r="F1845" s="4" t="n">
        <v>0.3</v>
      </c>
      <c r="G1845" s="5">
        <f>ROUND(E1845*(1+F1845),2)</f>
        <v>3.00</v>
      </c>
      <c r="H1845" s="5">
        <f>ROUND(G1845*NOTAS!$B$2,2)</f>
        <v>2164.04</v>
      </c>
      <c r="I1845" s="6">
        <f>ROUND(G1845*NOTAS!$B$3,0)</f>
        <v>9747</v>
      </c>
      <c r="J1845" s="2" t="n">
        <v>1</v>
      </c>
    </row>
    <row r="1846">
      <c r="A1846" s="2" t="inlineStr"/>
      <c r="B1846" s="2" t="inlineStr"/>
      <c r="C1846" s="2" t="inlineStr">
        <is>
          <t>ESTOPERA LEVA R-SYMBOL/MEGANA 1.6 16V 28X42X5</t>
        </is>
      </c>
      <c r="D1846" s="2" t="inlineStr"/>
      <c r="E1846" s="3" t="n">
        <v>2.3077</v>
      </c>
      <c r="F1846" s="4" t="n">
        <v>0.3</v>
      </c>
      <c r="G1846" s="5">
        <f>ROUND(E1846*(1+F1846),2)</f>
        <v>3.00</v>
      </c>
      <c r="H1846" s="5">
        <f>ROUND(G1846*NOTAS!$B$2,2)</f>
        <v>2164.04</v>
      </c>
      <c r="I1846" s="6">
        <f>ROUND(G1846*NOTAS!$B$3,0)</f>
        <v>9747</v>
      </c>
      <c r="J1846" s="2" t="n">
        <v>4</v>
      </c>
    </row>
    <row r="1847">
      <c r="A1847" s="2" t="inlineStr">
        <is>
          <t>05795BRG</t>
        </is>
      </c>
      <c r="B1847" s="2" t="inlineStr"/>
      <c r="C1847" s="2" t="inlineStr">
        <is>
          <t>ESTOPERA LEVA R-SYMBOL/MEGANA 1.6 16V 28X42X7</t>
        </is>
      </c>
      <c r="D1847" s="2" t="inlineStr">
        <is>
          <t>SABO ORIG</t>
        </is>
      </c>
      <c r="E1847" s="3" t="n">
        <v>1.63</v>
      </c>
      <c r="F1847" s="4" t="n">
        <v>0.3</v>
      </c>
      <c r="G1847" s="5">
        <f>ROUND(E1847*(1+F1847),2)</f>
        <v>2.12</v>
      </c>
      <c r="H1847" s="5">
        <f>ROUND(G1847*NOTAS!$B$2,2)</f>
        <v>1529.25</v>
      </c>
      <c r="I1847" s="6">
        <f>ROUND(G1847*NOTAS!$B$3,0)</f>
        <v>6888</v>
      </c>
      <c r="J1847" s="2" t="n">
        <v>0</v>
      </c>
    </row>
    <row r="1848">
      <c r="A1848" s="2" t="inlineStr">
        <is>
          <t>46085505B</t>
        </is>
      </c>
      <c r="B1848" s="2" t="inlineStr"/>
      <c r="C1848" s="2" t="inlineStr">
        <is>
          <t>ESTOPERA LEVA R-TWINGO 28X47X5.5</t>
        </is>
      </c>
      <c r="D1848" s="2" t="inlineStr">
        <is>
          <t>CORTECO</t>
        </is>
      </c>
      <c r="E1848" s="3" t="n">
        <v>2.3077</v>
      </c>
      <c r="F1848" s="4" t="n">
        <v>0.3</v>
      </c>
      <c r="G1848" s="5">
        <f>ROUND(E1848*(1+F1848),2)</f>
        <v>3.00</v>
      </c>
      <c r="H1848" s="5">
        <f>ROUND(G1848*NOTAS!$B$2,2)</f>
        <v>2164.04</v>
      </c>
      <c r="I1848" s="6">
        <f>ROUND(G1848*NOTAS!$B$3,0)</f>
        <v>9747</v>
      </c>
      <c r="J1848" s="2" t="n">
        <v>1</v>
      </c>
    </row>
    <row r="1849">
      <c r="A1849" s="2" t="inlineStr">
        <is>
          <t>05780BRGP</t>
        </is>
      </c>
      <c r="B1849" s="2" t="inlineStr"/>
      <c r="C1849" s="2" t="inlineStr">
        <is>
          <t>ESTOPERA LEVA R-TWINGO/KANGOO/CLIO 1.6 16V 28X47X7.5</t>
        </is>
      </c>
      <c r="D1849" s="2" t="inlineStr">
        <is>
          <t>SABO ORIG</t>
        </is>
      </c>
      <c r="E1849" s="3" t="n">
        <v>2.08</v>
      </c>
      <c r="F1849" s="4" t="n">
        <v>0.3</v>
      </c>
      <c r="G1849" s="5">
        <f>ROUND(E1849*(1+F1849),2)</f>
        <v>2.70</v>
      </c>
      <c r="H1849" s="5">
        <f>ROUND(G1849*NOTAS!$B$2,2)</f>
        <v>1947.63</v>
      </c>
      <c r="I1849" s="6">
        <f>ROUND(G1849*NOTAS!$B$3,0)</f>
        <v>8772</v>
      </c>
      <c r="J1849" s="2" t="n">
        <v>3</v>
      </c>
    </row>
    <row r="1850">
      <c r="A1850" s="2" t="inlineStr">
        <is>
          <t>94535472</t>
        </is>
      </c>
      <c r="B1850" s="2" t="inlineStr"/>
      <c r="C1850" s="2" t="inlineStr">
        <is>
          <t>ESTOPERA LEVA SPARK 32X47X6</t>
        </is>
      </c>
      <c r="D1850" s="2" t="inlineStr">
        <is>
          <t>GM</t>
        </is>
      </c>
      <c r="E1850" s="3" t="n">
        <v>0.47</v>
      </c>
      <c r="F1850" s="4" t="n">
        <v>0.3</v>
      </c>
      <c r="G1850" s="5">
        <f>ROUND(E1850*(1+F1850),2)</f>
        <v>0.61</v>
      </c>
      <c r="H1850" s="5">
        <f>ROUND(G1850*NOTAS!$B$2,2)</f>
        <v>440.02</v>
      </c>
      <c r="I1850" s="6">
        <f>ROUND(G1850*NOTAS!$B$3,0)</f>
        <v>1982</v>
      </c>
      <c r="J1850" s="2" t="n">
        <v>9</v>
      </c>
    </row>
    <row r="1851">
      <c r="A1851" s="2" t="inlineStr">
        <is>
          <t>C8552</t>
        </is>
      </c>
      <c r="B1851" s="2" t="inlineStr">
        <is>
          <t>7091281</t>
        </is>
      </c>
      <c r="C1851" s="2" t="inlineStr">
        <is>
          <t>ESTOPERA LEVA SPARK 32X47X6</t>
        </is>
      </c>
      <c r="D1851" s="2" t="inlineStr">
        <is>
          <t>EMASA</t>
        </is>
      </c>
      <c r="E1851" s="3" t="n">
        <v>2.3077</v>
      </c>
      <c r="F1851" s="4" t="n">
        <v>0.3</v>
      </c>
      <c r="G1851" s="5">
        <f>ROUND(E1851*(1+F1851),2)</f>
        <v>3.00</v>
      </c>
      <c r="H1851" s="5">
        <f>ROUND(G1851*NOTAS!$B$2,2)</f>
        <v>2164.04</v>
      </c>
      <c r="I1851" s="6">
        <f>ROUND(G1851*NOTAS!$B$3,0)</f>
        <v>9747</v>
      </c>
      <c r="J1851" s="2" t="n">
        <v>1</v>
      </c>
    </row>
    <row r="1852">
      <c r="A1852" s="2" t="inlineStr">
        <is>
          <t>05933BRGS</t>
        </is>
      </c>
      <c r="B1852" s="2" t="inlineStr"/>
      <c r="C1852" s="2" t="inlineStr">
        <is>
          <t>ESTOPERA LEVA SPARK 32X47X6.3</t>
        </is>
      </c>
      <c r="D1852" s="2" t="inlineStr">
        <is>
          <t>SABO ORIG</t>
        </is>
      </c>
      <c r="E1852" s="3" t="n">
        <v>2.16</v>
      </c>
      <c r="F1852" s="4" t="n">
        <v>0.3</v>
      </c>
      <c r="G1852" s="5">
        <f>ROUND(E1852*(1+F1852),2)</f>
        <v>2.81</v>
      </c>
      <c r="H1852" s="5">
        <f>ROUND(G1852*NOTAS!$B$2,2)</f>
        <v>2026.98</v>
      </c>
      <c r="I1852" s="6">
        <f>ROUND(G1852*NOTAS!$B$3,0)</f>
        <v>9129</v>
      </c>
      <c r="J1852" s="2" t="n">
        <v>5</v>
      </c>
    </row>
    <row r="1853">
      <c r="A1853" s="2" t="inlineStr">
        <is>
          <t>1911BRG</t>
        </is>
      </c>
      <c r="B1853" s="2" t="inlineStr"/>
      <c r="C1853" s="2" t="inlineStr">
        <is>
          <t>ESTOPERA LEVA/CIGUENAL DELANT CHEVETTE 45X60X9</t>
        </is>
      </c>
      <c r="D1853" s="2" t="inlineStr">
        <is>
          <t>SABO ORIG</t>
        </is>
      </c>
      <c r="E1853" s="3" t="n">
        <v>3.0769</v>
      </c>
      <c r="F1853" s="4" t="n">
        <v>0.3</v>
      </c>
      <c r="G1853" s="5">
        <f>ROUND(E1853*(1+F1853),2)</f>
        <v>4.00</v>
      </c>
      <c r="H1853" s="5">
        <f>ROUND(G1853*NOTAS!$B$2,2)</f>
        <v>2885.38</v>
      </c>
      <c r="I1853" s="6">
        <f>ROUND(G1853*NOTAS!$B$3,0)</f>
        <v>12995</v>
      </c>
      <c r="J1853" s="2" t="n">
        <v>0</v>
      </c>
    </row>
    <row r="1854">
      <c r="A1854" s="2" t="inlineStr">
        <is>
          <t>09283-32022</t>
        </is>
      </c>
      <c r="B1854" s="2" t="inlineStr"/>
      <c r="C1854" s="2" t="inlineStr">
        <is>
          <t>ESTOPERA LEVA/CIGUENAL DELANT SWIFT 32X47X8</t>
        </is>
      </c>
      <c r="D1854" s="2" t="inlineStr">
        <is>
          <t>THO</t>
        </is>
      </c>
      <c r="E1854" s="3" t="n">
        <v>2.3077</v>
      </c>
      <c r="F1854" s="4" t="n">
        <v>0.3</v>
      </c>
      <c r="G1854" s="5">
        <f>ROUND(E1854*(1+F1854),2)</f>
        <v>3.00</v>
      </c>
      <c r="H1854" s="5">
        <f>ROUND(G1854*NOTAS!$B$2,2)</f>
        <v>2164.04</v>
      </c>
      <c r="I1854" s="6">
        <f>ROUND(G1854*NOTAS!$B$3,0)</f>
        <v>9747</v>
      </c>
      <c r="J1854" s="2" t="n">
        <v>9</v>
      </c>
    </row>
    <row r="1855">
      <c r="A1855" s="2" t="inlineStr">
        <is>
          <t>01850BRGE</t>
        </is>
      </c>
      <c r="B1855" s="2" t="inlineStr"/>
      <c r="C1855" s="2" t="inlineStr">
        <is>
          <t>ESTOPERA RUEDA DELANTERA CHEVETTE 38X52X8/2,5</t>
        </is>
      </c>
      <c r="D1855" s="2" t="inlineStr">
        <is>
          <t>SABO ORIG</t>
        </is>
      </c>
      <c r="E1855" s="3" t="n">
        <v>3.8462</v>
      </c>
      <c r="F1855" s="4" t="n">
        <v>0.3</v>
      </c>
      <c r="G1855" s="5">
        <f>ROUND(E1855*(1+F1855),2)</f>
        <v>5.00</v>
      </c>
      <c r="H1855" s="5">
        <f>ROUND(G1855*NOTAS!$B$2,2)</f>
        <v>3606.73</v>
      </c>
      <c r="I1855" s="6">
        <f>ROUND(G1855*NOTAS!$B$3,0)</f>
        <v>16244</v>
      </c>
      <c r="J1855" s="2" t="n">
        <v>55</v>
      </c>
    </row>
    <row r="1856">
      <c r="A1856" s="2" t="inlineStr">
        <is>
          <t>01764BAGG</t>
        </is>
      </c>
      <c r="B1856" s="2" t="inlineStr"/>
      <c r="C1856" s="2" t="inlineStr">
        <is>
          <t>ESTOPERA RUEDA DELANTERA CORCEL 46X65.5X8.5</t>
        </is>
      </c>
      <c r="D1856" s="2" t="inlineStr">
        <is>
          <t>SABO ORIG</t>
        </is>
      </c>
      <c r="E1856" s="3" t="n">
        <v>2.7</v>
      </c>
      <c r="F1856" s="4" t="n">
        <v>0.3</v>
      </c>
      <c r="G1856" s="5">
        <f>ROUND(E1856*(1+F1856),2)</f>
        <v>3.51</v>
      </c>
      <c r="H1856" s="5">
        <f>ROUND(G1856*NOTAS!$B$2,2)</f>
        <v>2531.92</v>
      </c>
      <c r="I1856" s="6">
        <f>ROUND(G1856*NOTAS!$B$3,0)</f>
        <v>11404</v>
      </c>
      <c r="J1856" s="2" t="n">
        <v>19</v>
      </c>
    </row>
    <row r="1857">
      <c r="A1857" s="2" t="inlineStr"/>
      <c r="B1857" s="2" t="inlineStr"/>
      <c r="C1857" s="2" t="inlineStr">
        <is>
          <t>ESTOPERA RUEDA DELANTERA EXT SPARK</t>
        </is>
      </c>
      <c r="D1857" s="2" t="inlineStr"/>
      <c r="E1857" s="3" t="n">
        <v>3.8462</v>
      </c>
      <c r="F1857" s="4" t="n">
        <v>0.3</v>
      </c>
      <c r="G1857" s="5">
        <f>ROUND(E1857*(1+F1857),2)</f>
        <v>5.00</v>
      </c>
      <c r="H1857" s="5">
        <f>ROUND(G1857*NOTAS!$B$2,2)</f>
        <v>3606.73</v>
      </c>
      <c r="I1857" s="6">
        <f>ROUND(G1857*NOTAS!$B$3,0)</f>
        <v>16244</v>
      </c>
      <c r="J1857" s="2" t="n">
        <v>2</v>
      </c>
    </row>
    <row r="1858">
      <c r="A1858" s="2" t="inlineStr">
        <is>
          <t>43431-60B20</t>
        </is>
      </c>
      <c r="B1858" s="2" t="inlineStr"/>
      <c r="C1858" s="2" t="inlineStr">
        <is>
          <t>ESTOPERA RUEDA DELANTERA EXT SWIFT 49X62X8-11</t>
        </is>
      </c>
      <c r="D1858" s="2" t="inlineStr">
        <is>
          <t>THO</t>
        </is>
      </c>
      <c r="E1858" s="3" t="n">
        <v>3.8462</v>
      </c>
      <c r="F1858" s="4" t="n">
        <v>0.3</v>
      </c>
      <c r="G1858" s="5">
        <f>ROUND(E1858*(1+F1858),2)</f>
        <v>5.00</v>
      </c>
      <c r="H1858" s="5">
        <f>ROUND(G1858*NOTAS!$B$2,2)</f>
        <v>3606.73</v>
      </c>
      <c r="I1858" s="6">
        <f>ROUND(G1858*NOTAS!$B$3,0)</f>
        <v>16244</v>
      </c>
      <c r="J1858" s="2" t="n">
        <v>17</v>
      </c>
    </row>
    <row r="1859">
      <c r="A1859" s="2" t="inlineStr">
        <is>
          <t>8381</t>
        </is>
      </c>
      <c r="B1859" s="2" t="inlineStr"/>
      <c r="C1859" s="2" t="inlineStr">
        <is>
          <t>ESTOPERA RUEDA DELANTERA INT FESTIVA 51X63X9</t>
        </is>
      </c>
      <c r="D1859" s="2" t="inlineStr">
        <is>
          <t>DBH</t>
        </is>
      </c>
      <c r="E1859" s="3" t="n">
        <v>3.8462</v>
      </c>
      <c r="F1859" s="4" t="n">
        <v>0.3</v>
      </c>
      <c r="G1859" s="5">
        <f>ROUND(E1859*(1+F1859),2)</f>
        <v>5.00</v>
      </c>
      <c r="H1859" s="5">
        <f>ROUND(G1859*NOTAS!$B$2,2)</f>
        <v>3606.73</v>
      </c>
      <c r="I1859" s="6">
        <f>ROUND(G1859*NOTAS!$B$3,0)</f>
        <v>16244</v>
      </c>
      <c r="J1859" s="2" t="n">
        <v>1</v>
      </c>
    </row>
    <row r="1860">
      <c r="A1860" s="2" t="inlineStr">
        <is>
          <t>KK150-33-067</t>
        </is>
      </c>
      <c r="B1860" s="2" t="inlineStr"/>
      <c r="C1860" s="2" t="inlineStr">
        <is>
          <t>ESTOPERA RUEDA DELANTERA INT FESTIVA 51X63X9</t>
        </is>
      </c>
      <c r="D1860" s="2" t="inlineStr">
        <is>
          <t>THO</t>
        </is>
      </c>
      <c r="E1860" s="3" t="n">
        <v>3.8462</v>
      </c>
      <c r="F1860" s="4" t="n">
        <v>0.3</v>
      </c>
      <c r="G1860" s="5">
        <f>ROUND(E1860*(1+F1860),2)</f>
        <v>5.00</v>
      </c>
      <c r="H1860" s="5">
        <f>ROUND(G1860*NOTAS!$B$2,2)</f>
        <v>3606.73</v>
      </c>
      <c r="I1860" s="6">
        <f>ROUND(G1860*NOTAS!$B$3,0)</f>
        <v>16244</v>
      </c>
      <c r="J1860" s="2" t="n">
        <v>4</v>
      </c>
    </row>
    <row r="1861">
      <c r="A1861" s="2" t="inlineStr">
        <is>
          <t>96496903</t>
        </is>
      </c>
      <c r="B1861" s="2" t="inlineStr"/>
      <c r="C1861" s="2" t="inlineStr">
        <is>
          <t>ESTOPERA RUEDA DELANTERA INT SPARK/MATIZ</t>
        </is>
      </c>
      <c r="D1861" s="2" t="inlineStr">
        <is>
          <t>GM</t>
        </is>
      </c>
      <c r="E1861" s="3" t="n">
        <v>3.8462</v>
      </c>
      <c r="F1861" s="4" t="n">
        <v>0.3</v>
      </c>
      <c r="G1861" s="5">
        <f>ROUND(E1861*(1+F1861),2)</f>
        <v>5.00</v>
      </c>
      <c r="H1861" s="5">
        <f>ROUND(G1861*NOTAS!$B$2,2)</f>
        <v>3606.73</v>
      </c>
      <c r="I1861" s="6">
        <f>ROUND(G1861*NOTAS!$B$3,0)</f>
        <v>16244</v>
      </c>
      <c r="J1861" s="2" t="n">
        <v>7</v>
      </c>
    </row>
    <row r="1862">
      <c r="A1862" s="2" t="inlineStr">
        <is>
          <t>09283-53001</t>
        </is>
      </c>
      <c r="B1862" s="2" t="inlineStr"/>
      <c r="C1862" s="2" t="inlineStr">
        <is>
          <t>ESTOPERA RUEDA DELANTERA INT SWIFT 53X68.2X7</t>
        </is>
      </c>
      <c r="D1862" s="2" t="inlineStr">
        <is>
          <t>THO</t>
        </is>
      </c>
      <c r="E1862" s="3" t="n">
        <v>3.8462</v>
      </c>
      <c r="F1862" s="4" t="n">
        <v>0.3</v>
      </c>
      <c r="G1862" s="5">
        <f>ROUND(E1862*(1+F1862),2)</f>
        <v>5.00</v>
      </c>
      <c r="H1862" s="5">
        <f>ROUND(G1862*NOTAS!$B$2,2)</f>
        <v>3606.73</v>
      </c>
      <c r="I1862" s="6">
        <f>ROUND(G1862*NOTAS!$B$3,0)</f>
        <v>16244</v>
      </c>
      <c r="J1862" s="2" t="n">
        <v>5</v>
      </c>
    </row>
    <row r="1863">
      <c r="A1863" s="2" t="inlineStr">
        <is>
          <t>2146</t>
        </is>
      </c>
      <c r="B1863" s="2" t="inlineStr"/>
      <c r="C1863" s="2" t="inlineStr">
        <is>
          <t>ESTOPERA RUEDA TRASERA CHEVETTE 42.9X65X9.5/15</t>
        </is>
      </c>
      <c r="D1863" s="2" t="inlineStr"/>
      <c r="E1863" s="3" t="n">
        <v>3.8462</v>
      </c>
      <c r="F1863" s="4" t="n">
        <v>0.3</v>
      </c>
      <c r="G1863" s="5">
        <f>ROUND(E1863*(1+F1863),2)</f>
        <v>5.00</v>
      </c>
      <c r="H1863" s="5">
        <f>ROUND(G1863*NOTAS!$B$2,2)</f>
        <v>3606.73</v>
      </c>
      <c r="I1863" s="6">
        <f>ROUND(G1863*NOTAS!$B$3,0)</f>
        <v>16244</v>
      </c>
      <c r="J1863" s="2" t="n">
        <v>8</v>
      </c>
    </row>
    <row r="1864">
      <c r="A1864" s="2" t="inlineStr">
        <is>
          <t>01899BRGE</t>
        </is>
      </c>
      <c r="B1864" s="2" t="inlineStr"/>
      <c r="C1864" s="2" t="inlineStr">
        <is>
          <t>ESTOPERA RUEDA TRASERA CHEVETTE 42.9X65X9.5/15</t>
        </is>
      </c>
      <c r="D1864" s="2" t="inlineStr">
        <is>
          <t>SABO ORIG</t>
        </is>
      </c>
      <c r="E1864" s="3" t="n">
        <v>3.64</v>
      </c>
      <c r="F1864" s="4" t="n">
        <v>0.3</v>
      </c>
      <c r="G1864" s="5">
        <f>ROUND(E1864*(1+F1864),2)</f>
        <v>4.73</v>
      </c>
      <c r="H1864" s="5">
        <f>ROUND(G1864*NOTAS!$B$2,2)</f>
        <v>3411.96</v>
      </c>
      <c r="I1864" s="6">
        <f>ROUND(G1864*NOTAS!$B$3,0)</f>
        <v>15367</v>
      </c>
      <c r="J1864" s="2" t="n">
        <v>11</v>
      </c>
    </row>
    <row r="1865">
      <c r="A1865" s="2" t="inlineStr">
        <is>
          <t>01832BR</t>
        </is>
      </c>
      <c r="B1865" s="2" t="inlineStr"/>
      <c r="C1865" s="2" t="inlineStr">
        <is>
          <t>ESTOPERA RUEDA TRASERA CORCEL 38X58.5X7</t>
        </is>
      </c>
      <c r="D1865" s="2" t="inlineStr">
        <is>
          <t>SABO ORIG</t>
        </is>
      </c>
      <c r="E1865" s="3" t="n">
        <v>2.7</v>
      </c>
      <c r="F1865" s="4" t="n">
        <v>0.3</v>
      </c>
      <c r="G1865" s="5">
        <f>ROUND(E1865*(1+F1865),2)</f>
        <v>3.51</v>
      </c>
      <c r="H1865" s="5">
        <f>ROUND(G1865*NOTAS!$B$2,2)</f>
        <v>2531.92</v>
      </c>
      <c r="I1865" s="6">
        <f>ROUND(G1865*NOTAS!$B$3,0)</f>
        <v>11404</v>
      </c>
      <c r="J1865" s="2" t="n">
        <v>36</v>
      </c>
    </row>
    <row r="1866">
      <c r="A1866" s="2" t="inlineStr">
        <is>
          <t>7212BRGE</t>
        </is>
      </c>
      <c r="B1866" s="2" t="inlineStr"/>
      <c r="C1866" s="2" t="inlineStr">
        <is>
          <t xml:space="preserve">ESTOPERA RUEDA TRASERA CORSA/CIELO/LAN </t>
        </is>
      </c>
      <c r="D1866" s="2" t="inlineStr">
        <is>
          <t>EUREKA</t>
        </is>
      </c>
      <c r="E1866" s="3" t="n">
        <v>2</v>
      </c>
      <c r="F1866" s="4" t="n">
        <v>0.3</v>
      </c>
      <c r="G1866" s="5">
        <f>ROUND(E1866*(1+F1866),2)</f>
        <v>2.60</v>
      </c>
      <c r="H1866" s="5">
        <f>ROUND(G1866*NOTAS!$B$2,2)</f>
        <v>1875.50</v>
      </c>
      <c r="I1866" s="6">
        <f>ROUND(G1866*NOTAS!$B$3,0)</f>
        <v>8447</v>
      </c>
      <c r="J1866" s="2" t="n">
        <v>12</v>
      </c>
    </row>
    <row r="1867">
      <c r="A1867" s="2" t="inlineStr">
        <is>
          <t>93307057</t>
        </is>
      </c>
      <c r="B1867" s="2" t="inlineStr"/>
      <c r="C1867" s="2" t="inlineStr">
        <is>
          <t xml:space="preserve">ESTOPERA RUEDA TRASERA CORSA/CIELO/LAN </t>
        </is>
      </c>
      <c r="D1867" s="2" t="inlineStr">
        <is>
          <t>GM</t>
        </is>
      </c>
      <c r="E1867" s="3" t="n">
        <v>3</v>
      </c>
      <c r="F1867" s="4" t="n">
        <v>0.3</v>
      </c>
      <c r="G1867" s="5">
        <f>ROUND(E1867*(1+F1867),2)</f>
        <v>3.90</v>
      </c>
      <c r="H1867" s="5">
        <f>ROUND(G1867*NOTAS!$B$2,2)</f>
        <v>2813.25</v>
      </c>
      <c r="I1867" s="6">
        <f>ROUND(G1867*NOTAS!$B$3,0)</f>
        <v>12671</v>
      </c>
      <c r="J1867" s="2" t="n">
        <v>75</v>
      </c>
    </row>
    <row r="1868">
      <c r="A1868" s="2" t="inlineStr">
        <is>
          <t>8354</t>
        </is>
      </c>
      <c r="B1868" s="2" t="inlineStr"/>
      <c r="C1868" s="2" t="inlineStr">
        <is>
          <t>ESTOPERA RUEDA TRASERA FESTIVA 39X50.4X8.5</t>
        </is>
      </c>
      <c r="D1868" s="2" t="inlineStr">
        <is>
          <t>DBH</t>
        </is>
      </c>
      <c r="E1868" s="3" t="n">
        <v>3.8462</v>
      </c>
      <c r="F1868" s="4" t="n">
        <v>0.3</v>
      </c>
      <c r="G1868" s="5">
        <f>ROUND(E1868*(1+F1868),2)</f>
        <v>5.00</v>
      </c>
      <c r="H1868" s="5">
        <f>ROUND(G1868*NOTAS!$B$2,2)</f>
        <v>3606.73</v>
      </c>
      <c r="I1868" s="6">
        <f>ROUND(G1868*NOTAS!$B$3,0)</f>
        <v>16244</v>
      </c>
      <c r="J1868" s="2" t="n">
        <v>4</v>
      </c>
    </row>
    <row r="1869">
      <c r="A1869" s="2" t="inlineStr">
        <is>
          <t>MG030-26-154A</t>
        </is>
      </c>
      <c r="B1869" s="2" t="inlineStr"/>
      <c r="C1869" s="2" t="inlineStr">
        <is>
          <t>ESTOPERA RUEDA TRASERA FESTIVA 39X50.4X8.5</t>
        </is>
      </c>
      <c r="D1869" s="2" t="inlineStr">
        <is>
          <t>THO</t>
        </is>
      </c>
      <c r="E1869" s="3" t="n">
        <v>3.8462</v>
      </c>
      <c r="F1869" s="4" t="n">
        <v>0.3</v>
      </c>
      <c r="G1869" s="5">
        <f>ROUND(E1869*(1+F1869),2)</f>
        <v>5.00</v>
      </c>
      <c r="H1869" s="5">
        <f>ROUND(G1869*NOTAS!$B$2,2)</f>
        <v>3606.73</v>
      </c>
      <c r="I1869" s="6">
        <f>ROUND(G1869*NOTAS!$B$3,0)</f>
        <v>16244</v>
      </c>
      <c r="J1869" s="2" t="n">
        <v>14</v>
      </c>
    </row>
    <row r="1870">
      <c r="A1870" s="2" t="inlineStr">
        <is>
          <t>07683GAG</t>
        </is>
      </c>
      <c r="B1870" s="2" t="inlineStr"/>
      <c r="C1870" s="2" t="inlineStr">
        <is>
          <t>ESTOPERA RUEDA TRASERA FIESTA</t>
        </is>
      </c>
      <c r="D1870" s="2" t="inlineStr">
        <is>
          <t>SABO ORIG</t>
        </is>
      </c>
      <c r="E1870" s="3" t="n">
        <v>2.7</v>
      </c>
      <c r="F1870" s="4" t="n">
        <v>0.3</v>
      </c>
      <c r="G1870" s="5">
        <f>ROUND(E1870*(1+F1870),2)</f>
        <v>3.51</v>
      </c>
      <c r="H1870" s="5">
        <f>ROUND(G1870*NOTAS!$B$2,2)</f>
        <v>2531.92</v>
      </c>
      <c r="I1870" s="6">
        <f>ROUND(G1870*NOTAS!$B$3,0)</f>
        <v>11404</v>
      </c>
      <c r="J1870" s="2" t="n">
        <v>1</v>
      </c>
    </row>
    <row r="1871">
      <c r="A1871" s="2" t="inlineStr">
        <is>
          <t>8342</t>
        </is>
      </c>
      <c r="B1871" s="2" t="inlineStr"/>
      <c r="C1871" s="2" t="inlineStr">
        <is>
          <t>ESTOPERA RUEDA TRASERA SPARK 35X52X9</t>
        </is>
      </c>
      <c r="D1871" s="2" t="inlineStr">
        <is>
          <t>DBH</t>
        </is>
      </c>
      <c r="E1871" s="3" t="n">
        <v>3.8462</v>
      </c>
      <c r="F1871" s="4" t="n">
        <v>0.3</v>
      </c>
      <c r="G1871" s="5">
        <f>ROUND(E1871*(1+F1871),2)</f>
        <v>5.00</v>
      </c>
      <c r="H1871" s="5">
        <f>ROUND(G1871*NOTAS!$B$2,2)</f>
        <v>3606.73</v>
      </c>
      <c r="I1871" s="6">
        <f>ROUND(G1871*NOTAS!$B$3,0)</f>
        <v>16244</v>
      </c>
      <c r="J1871" s="2" t="n">
        <v>3</v>
      </c>
    </row>
    <row r="1872">
      <c r="A1872" s="2" t="inlineStr">
        <is>
          <t>96316633</t>
        </is>
      </c>
      <c r="B1872" s="2" t="inlineStr"/>
      <c r="C1872" s="2" t="inlineStr">
        <is>
          <t>ESTOPERA RUEDA TRASERA SPARK 35X52X9</t>
        </is>
      </c>
      <c r="D1872" s="2" t="inlineStr">
        <is>
          <t>GM</t>
        </is>
      </c>
      <c r="E1872" s="3" t="n">
        <v>3.8462</v>
      </c>
      <c r="F1872" s="4" t="n">
        <v>0.3</v>
      </c>
      <c r="G1872" s="5">
        <f>ROUND(E1872*(1+F1872),2)</f>
        <v>5.00</v>
      </c>
      <c r="H1872" s="5">
        <f>ROUND(G1872*NOTAS!$B$2,2)</f>
        <v>3606.73</v>
      </c>
      <c r="I1872" s="6">
        <f>ROUND(G1872*NOTAS!$B$3,0)</f>
        <v>16244</v>
      </c>
      <c r="J1872" s="2" t="n">
        <v>1</v>
      </c>
    </row>
    <row r="1873">
      <c r="A1873" s="2" t="inlineStr"/>
      <c r="B1873" s="2" t="inlineStr"/>
      <c r="C1873" s="2" t="inlineStr">
        <is>
          <t>ESTOPERA SELECTORA VARILLAJE CORCEL 13X26X9</t>
        </is>
      </c>
      <c r="D1873" s="2" t="inlineStr"/>
      <c r="E1873" s="3" t="n">
        <v>2.88</v>
      </c>
      <c r="F1873" s="4" t="n">
        <v>0.3</v>
      </c>
      <c r="G1873" s="5">
        <f>ROUND(E1873*(1+F1873),2)</f>
        <v>3.74</v>
      </c>
      <c r="H1873" s="5">
        <f>ROUND(G1873*NOTAS!$B$2,2)</f>
        <v>2697.83</v>
      </c>
      <c r="I1873" s="6">
        <f>ROUND(G1873*NOTAS!$B$3,0)</f>
        <v>12151</v>
      </c>
      <c r="J1873" s="2" t="n">
        <v>2</v>
      </c>
    </row>
    <row r="1874">
      <c r="A1874" s="2" t="inlineStr">
        <is>
          <t>01074BRG</t>
        </is>
      </c>
      <c r="B1874" s="2" t="inlineStr"/>
      <c r="C1874" s="2" t="inlineStr">
        <is>
          <t>ESTOPERA SELECTORA VARILLAJE CORCEL 13X26X9</t>
        </is>
      </c>
      <c r="D1874" s="2" t="inlineStr">
        <is>
          <t>SABO ORIG</t>
        </is>
      </c>
      <c r="E1874" s="3" t="n">
        <v>2.7</v>
      </c>
      <c r="F1874" s="4" t="n">
        <v>0.3</v>
      </c>
      <c r="G1874" s="5">
        <f>ROUND(E1874*(1+F1874),2)</f>
        <v>3.51</v>
      </c>
      <c r="H1874" s="5">
        <f>ROUND(G1874*NOTAS!$B$2,2)</f>
        <v>2531.92</v>
      </c>
      <c r="I1874" s="6">
        <f>ROUND(G1874*NOTAS!$B$3,0)</f>
        <v>11404</v>
      </c>
      <c r="J1874" s="2" t="n">
        <v>25</v>
      </c>
    </row>
    <row r="1875">
      <c r="A1875" s="2" t="inlineStr">
        <is>
          <t>02373BRG</t>
        </is>
      </c>
      <c r="B1875" s="2" t="inlineStr"/>
      <c r="C1875" s="2" t="inlineStr">
        <is>
          <t>ESTOPERA SELECTORA VARILLAJE CORSA/CIELO/LAN 13X26X7</t>
        </is>
      </c>
      <c r="D1875" s="2" t="inlineStr">
        <is>
          <t>SABO ORIG</t>
        </is>
      </c>
      <c r="E1875" s="3" t="n">
        <v>3.07</v>
      </c>
      <c r="F1875" s="4" t="n">
        <v>0.3</v>
      </c>
      <c r="G1875" s="5">
        <f>ROUND(E1875*(1+F1875),2)</f>
        <v>3.99</v>
      </c>
      <c r="H1875" s="5">
        <f>ROUND(G1875*NOTAS!$B$2,2)</f>
        <v>2878.17</v>
      </c>
      <c r="I1875" s="6">
        <f>ROUND(G1875*NOTAS!$B$3,0)</f>
        <v>12963</v>
      </c>
      <c r="J1875" s="2" t="n">
        <v>11</v>
      </c>
    </row>
    <row r="1876">
      <c r="A1876" s="2" t="inlineStr">
        <is>
          <t>02008BAGE</t>
        </is>
      </c>
      <c r="B1876" s="2" t="inlineStr"/>
      <c r="C1876" s="2" t="inlineStr">
        <is>
          <t>ESTOPERA SELECTORA VARILLAJE FIAT 16X26X9/20</t>
        </is>
      </c>
      <c r="D1876" s="2" t="inlineStr">
        <is>
          <t>SABO ORIG</t>
        </is>
      </c>
      <c r="E1876" s="3" t="n">
        <v>3.6</v>
      </c>
      <c r="F1876" s="4" t="n">
        <v>0.3</v>
      </c>
      <c r="G1876" s="5">
        <f>ROUND(E1876*(1+F1876),2)</f>
        <v>4.68</v>
      </c>
      <c r="H1876" s="5">
        <f>ROUND(G1876*NOTAS!$B$2,2)</f>
        <v>3375.90</v>
      </c>
      <c r="I1876" s="6">
        <f>ROUND(G1876*NOTAS!$B$3,0)</f>
        <v>15205</v>
      </c>
      <c r="J1876" s="2" t="n">
        <v>13</v>
      </c>
    </row>
    <row r="1877">
      <c r="A1877" s="2" t="inlineStr">
        <is>
          <t>5989528</t>
        </is>
      </c>
      <c r="B1877" s="2" t="inlineStr"/>
      <c r="C1877" s="2" t="inlineStr">
        <is>
          <t>ESTOPERA SELECTORA VARILLAJE FIAT 16X26X9/20</t>
        </is>
      </c>
      <c r="D1877" s="2" t="inlineStr">
        <is>
          <t>FIAT</t>
        </is>
      </c>
      <c r="E1877" s="3" t="n">
        <v>4</v>
      </c>
      <c r="F1877" s="4" t="n">
        <v>0.3</v>
      </c>
      <c r="G1877" s="5">
        <f>ROUND(E1877*(1+F1877),2)</f>
        <v>5.20</v>
      </c>
      <c r="H1877" s="5">
        <f>ROUND(G1877*NOTAS!$B$2,2)</f>
        <v>3751.00</v>
      </c>
      <c r="I1877" s="6">
        <f>ROUND(G1877*NOTAS!$B$3,0)</f>
        <v>16894</v>
      </c>
      <c r="J1877" s="2" t="n">
        <v>6</v>
      </c>
    </row>
    <row r="1878">
      <c r="A1878" s="2" t="inlineStr"/>
      <c r="B1878" s="2" t="inlineStr"/>
      <c r="C1878" s="2" t="inlineStr">
        <is>
          <t>ESTOPERA SELECTORA VARILLAJE R-19/SYMBOL</t>
        </is>
      </c>
      <c r="D1878" s="2" t="inlineStr"/>
      <c r="E1878" s="3" t="n">
        <v>3.0769</v>
      </c>
      <c r="F1878" s="4" t="n">
        <v>0.3</v>
      </c>
      <c r="G1878" s="5">
        <f>ROUND(E1878*(1+F1878),2)</f>
        <v>4.00</v>
      </c>
      <c r="H1878" s="5">
        <f>ROUND(G1878*NOTAS!$B$2,2)</f>
        <v>2885.38</v>
      </c>
      <c r="I1878" s="6">
        <f>ROUND(G1878*NOTAS!$B$3,0)</f>
        <v>12995</v>
      </c>
      <c r="J1878" s="2" t="n">
        <v>2</v>
      </c>
    </row>
    <row r="1879">
      <c r="A1879" s="2" t="inlineStr">
        <is>
          <t>01835BR</t>
        </is>
      </c>
      <c r="B1879" s="2" t="inlineStr"/>
      <c r="C1879" s="2" t="inlineStr">
        <is>
          <t>ESTOPERA SINFÍN CAJA DIRECION CHEVETTE 14.3X23.95X7</t>
        </is>
      </c>
      <c r="D1879" s="2" t="inlineStr">
        <is>
          <t>SABO ORIG</t>
        </is>
      </c>
      <c r="E1879" s="3" t="n">
        <v>1.9</v>
      </c>
      <c r="F1879" s="4" t="n">
        <v>0.3</v>
      </c>
      <c r="G1879" s="5">
        <f>ROUND(E1879*(1+F1879),2)</f>
        <v>2.47</v>
      </c>
      <c r="H1879" s="5">
        <f>ROUND(G1879*NOTAS!$B$2,2)</f>
        <v>1781.72</v>
      </c>
      <c r="I1879" s="6">
        <f>ROUND(G1879*NOTAS!$B$3,0)</f>
        <v>8025</v>
      </c>
      <c r="J1879" s="2" t="n">
        <v>7</v>
      </c>
    </row>
    <row r="1880">
      <c r="A1880" s="2" t="inlineStr">
        <is>
          <t>05075BRAGF</t>
        </is>
      </c>
      <c r="B1880" s="2" t="inlineStr"/>
      <c r="C1880" s="2" t="inlineStr">
        <is>
          <t>ESTOPERA TRASERA CIGUENAL  F-PALIO 1.6/TEMPRA 2.0 74X90X10</t>
        </is>
      </c>
      <c r="D1880" s="2" t="inlineStr">
        <is>
          <t>SABO ORIG</t>
        </is>
      </c>
      <c r="E1880" s="3" t="n">
        <v>6.48</v>
      </c>
      <c r="F1880" s="4" t="n">
        <v>0.3</v>
      </c>
      <c r="G1880" s="5">
        <f>ROUND(E1880*(1+F1880),2)</f>
        <v>8.42</v>
      </c>
      <c r="H1880" s="5">
        <f>ROUND(G1880*NOTAS!$B$2,2)</f>
        <v>6073.73</v>
      </c>
      <c r="I1880" s="6">
        <f>ROUND(G1880*NOTAS!$B$3,0)</f>
        <v>27355</v>
      </c>
      <c r="J1880" s="2" t="n">
        <v>3</v>
      </c>
    </row>
    <row r="1881">
      <c r="A1881" s="2" t="inlineStr"/>
      <c r="B1881" s="2" t="inlineStr"/>
      <c r="C1881" s="2" t="inlineStr">
        <is>
          <t>ESTOPERA TRASERA CIGUENAL CHEVETTE 75.9X95X11.3</t>
        </is>
      </c>
      <c r="D1881" s="2" t="inlineStr">
        <is>
          <t>SIDERAL</t>
        </is>
      </c>
      <c r="E1881" s="3" t="n">
        <v>4</v>
      </c>
      <c r="F1881" s="4" t="n">
        <v>0.3</v>
      </c>
      <c r="G1881" s="5">
        <f>ROUND(E1881*(1+F1881),2)</f>
        <v>5.20</v>
      </c>
      <c r="H1881" s="5">
        <f>ROUND(G1881*NOTAS!$B$2,2)</f>
        <v>3751.00</v>
      </c>
      <c r="I1881" s="6">
        <f>ROUND(G1881*NOTAS!$B$3,0)</f>
        <v>16894</v>
      </c>
      <c r="J1881" s="2" t="n">
        <v>1</v>
      </c>
    </row>
    <row r="1882">
      <c r="A1882" s="2" t="inlineStr">
        <is>
          <t>9302425</t>
        </is>
      </c>
      <c r="B1882" s="2" t="inlineStr"/>
      <c r="C1882" s="2" t="inlineStr">
        <is>
          <t>ESTOPERA TRASERA CIGUENAL CHEVETTE 75.9X95X11.3</t>
        </is>
      </c>
      <c r="D1882" s="2" t="inlineStr">
        <is>
          <t>WYLERSON</t>
        </is>
      </c>
      <c r="E1882" s="3" t="n">
        <v>4</v>
      </c>
      <c r="F1882" s="4" t="n">
        <v>0.3</v>
      </c>
      <c r="G1882" s="5">
        <f>ROUND(E1882*(1+F1882),2)</f>
        <v>5.20</v>
      </c>
      <c r="H1882" s="5">
        <f>ROUND(G1882*NOTAS!$B$2,2)</f>
        <v>3751.00</v>
      </c>
      <c r="I1882" s="6">
        <f>ROUND(G1882*NOTAS!$B$3,0)</f>
        <v>16894</v>
      </c>
      <c r="J1882" s="2" t="n">
        <v>9</v>
      </c>
    </row>
    <row r="1883">
      <c r="A1883" s="2" t="inlineStr"/>
      <c r="B1883" s="2" t="inlineStr"/>
      <c r="C1883" s="2" t="inlineStr">
        <is>
          <t>ESTOPERA TRASERA CIGUENAL CHEVETTE 75.9X95X11.3</t>
        </is>
      </c>
      <c r="D1883" s="2" t="inlineStr">
        <is>
          <t>ORION</t>
        </is>
      </c>
      <c r="E1883" s="3" t="n">
        <v>4</v>
      </c>
      <c r="F1883" s="4" t="n">
        <v>0.3</v>
      </c>
      <c r="G1883" s="5">
        <f>ROUND(E1883*(1+F1883),2)</f>
        <v>5.20</v>
      </c>
      <c r="H1883" s="5">
        <f>ROUND(G1883*NOTAS!$B$2,2)</f>
        <v>3751.00</v>
      </c>
      <c r="I1883" s="6">
        <f>ROUND(G1883*NOTAS!$B$3,0)</f>
        <v>16894</v>
      </c>
      <c r="J1883" s="2" t="n">
        <v>5</v>
      </c>
    </row>
    <row r="1884">
      <c r="A1884" s="2" t="inlineStr">
        <is>
          <t>01856BRGP</t>
        </is>
      </c>
      <c r="B1884" s="2" t="inlineStr"/>
      <c r="C1884" s="2" t="inlineStr">
        <is>
          <t>ESTOPERA TRASERA CIGUENAL CHEVETTE 75.9X95X11.3</t>
        </is>
      </c>
      <c r="D1884" s="2" t="inlineStr">
        <is>
          <t>SABO ORIG</t>
        </is>
      </c>
      <c r="E1884" s="3" t="n">
        <v>7.49</v>
      </c>
      <c r="F1884" s="4" t="n">
        <v>0.3</v>
      </c>
      <c r="G1884" s="5">
        <f>ROUND(E1884*(1+F1884),2)</f>
        <v>9.74</v>
      </c>
      <c r="H1884" s="5">
        <f>ROUND(G1884*NOTAS!$B$2,2)</f>
        <v>7025.91</v>
      </c>
      <c r="I1884" s="6">
        <f>ROUND(G1884*NOTAS!$B$3,0)</f>
        <v>31644</v>
      </c>
      <c r="J1884" s="2" t="n">
        <v>12</v>
      </c>
    </row>
    <row r="1885">
      <c r="A1885" s="2" t="inlineStr">
        <is>
          <t>01945BRG</t>
        </is>
      </c>
      <c r="B1885" s="2" t="inlineStr"/>
      <c r="C1885" s="2" t="inlineStr">
        <is>
          <t>ESTOPERA TRASERA CIGUENAL CORCEL 82X105X12</t>
        </is>
      </c>
      <c r="D1885" s="2" t="inlineStr">
        <is>
          <t>SABO ORIG</t>
        </is>
      </c>
      <c r="E1885" s="3" t="n">
        <v>5.4</v>
      </c>
      <c r="F1885" s="4" t="n">
        <v>0.3</v>
      </c>
      <c r="G1885" s="5">
        <f>ROUND(E1885*(1+F1885),2)</f>
        <v>7.02</v>
      </c>
      <c r="H1885" s="5">
        <f>ROUND(G1885*NOTAS!$B$2,2)</f>
        <v>5063.85</v>
      </c>
      <c r="I1885" s="6">
        <f>ROUND(G1885*NOTAS!$B$3,0)</f>
        <v>22807</v>
      </c>
      <c r="J1885" s="2" t="n">
        <v>12</v>
      </c>
    </row>
    <row r="1886">
      <c r="A1886" s="2" t="inlineStr">
        <is>
          <t>C8546</t>
        </is>
      </c>
      <c r="B1886" s="2" t="inlineStr">
        <is>
          <t>7091270</t>
        </is>
      </c>
      <c r="C1886" s="2" t="inlineStr">
        <is>
          <t>ESTOPERA TRASERA CIGUENAL CORSA/CIELO/LAN 80X98X10</t>
        </is>
      </c>
      <c r="D1886" s="2" t="inlineStr">
        <is>
          <t>EMASA</t>
        </is>
      </c>
      <c r="E1886" s="3" t="n">
        <v>2.21</v>
      </c>
      <c r="F1886" s="4" t="n">
        <v>0.3</v>
      </c>
      <c r="G1886" s="5">
        <f>ROUND(E1886*(1+F1886),2)</f>
        <v>2.87</v>
      </c>
      <c r="H1886" s="5">
        <f>ROUND(G1886*NOTAS!$B$2,2)</f>
        <v>2070.26</v>
      </c>
      <c r="I1886" s="6">
        <f>ROUND(G1886*NOTAS!$B$3,0)</f>
        <v>9324</v>
      </c>
      <c r="J1886" s="2" t="n">
        <v>2</v>
      </c>
    </row>
    <row r="1887">
      <c r="A1887" s="2" t="inlineStr">
        <is>
          <t>02702BRAGF</t>
        </is>
      </c>
      <c r="B1887" s="2" t="inlineStr"/>
      <c r="C1887" s="2" t="inlineStr">
        <is>
          <t>ESTOPERA TRASERA CIGUENAL CORSA/CIELO/LAN 80X98X10</t>
        </is>
      </c>
      <c r="D1887" s="2" t="inlineStr">
        <is>
          <t>SABO</t>
        </is>
      </c>
      <c r="E1887" s="3" t="n">
        <v>1.41</v>
      </c>
      <c r="F1887" s="4" t="n">
        <v>0.3</v>
      </c>
      <c r="G1887" s="5">
        <f>ROUND(E1887*(1+F1887),2)</f>
        <v>1.83</v>
      </c>
      <c r="H1887" s="5">
        <f>ROUND(G1887*NOTAS!$B$2,2)</f>
        <v>1320.06</v>
      </c>
      <c r="I1887" s="6">
        <f>ROUND(G1887*NOTAS!$B$3,0)</f>
        <v>5945</v>
      </c>
      <c r="J1887" s="2" t="n">
        <v>3</v>
      </c>
    </row>
    <row r="1888">
      <c r="A1888" s="2" t="inlineStr">
        <is>
          <t>05881BRGS</t>
        </is>
      </c>
      <c r="B1888" s="2" t="inlineStr">
        <is>
          <t>02702BRAGF</t>
        </is>
      </c>
      <c r="C1888" s="2" t="inlineStr">
        <is>
          <t>ESTOPERA TRASERA CIGUENAL CORSA/CIELO/LAN 80X98X10</t>
        </is>
      </c>
      <c r="D1888" s="2" t="inlineStr">
        <is>
          <t>SABO ORIG</t>
        </is>
      </c>
      <c r="E1888" s="3" t="n">
        <v>6.97</v>
      </c>
      <c r="F1888" s="4" t="n">
        <v>0.3</v>
      </c>
      <c r="G1888" s="5">
        <f>ROUND(E1888*(1+F1888),2)</f>
        <v>9.06</v>
      </c>
      <c r="H1888" s="5">
        <f>ROUND(G1888*NOTAS!$B$2,2)</f>
        <v>6535.39</v>
      </c>
      <c r="I1888" s="6">
        <f>ROUND(G1888*NOTAS!$B$3,0)</f>
        <v>29435</v>
      </c>
      <c r="J1888" s="2" t="n">
        <v>4</v>
      </c>
    </row>
    <row r="1889">
      <c r="A1889" s="2" t="inlineStr">
        <is>
          <t>10001-96376569</t>
        </is>
      </c>
      <c r="B1889" s="2" t="inlineStr"/>
      <c r="C1889" s="2" t="inlineStr">
        <is>
          <t>ESTOPERA TRASERA CIGUENAL CORSA/CIELO/LAN 80X98X10</t>
        </is>
      </c>
      <c r="D1889" s="2" t="inlineStr">
        <is>
          <t>CNBF</t>
        </is>
      </c>
      <c r="E1889" s="3" t="n">
        <v>3</v>
      </c>
      <c r="F1889" s="4" t="n">
        <v>0.3</v>
      </c>
      <c r="G1889" s="5">
        <f>ROUND(E1889*(1+F1889),2)</f>
        <v>3.90</v>
      </c>
      <c r="H1889" s="5">
        <f>ROUND(G1889*NOTAS!$B$2,2)</f>
        <v>2813.25</v>
      </c>
      <c r="I1889" s="6">
        <f>ROUND(G1889*NOTAS!$B$3,0)</f>
        <v>12671</v>
      </c>
      <c r="J1889" s="2" t="n">
        <v>2</v>
      </c>
    </row>
    <row r="1890">
      <c r="A1890" s="2" t="inlineStr">
        <is>
          <t>102702S</t>
        </is>
      </c>
      <c r="B1890" s="2" t="inlineStr"/>
      <c r="C1890" s="2" t="inlineStr">
        <is>
          <t>ESTOPERA TRASERA CIGUENAL CORSA/CIELO/LAN 80X98X10</t>
        </is>
      </c>
      <c r="D1890" s="2" t="inlineStr">
        <is>
          <t>SPALL</t>
        </is>
      </c>
      <c r="E1890" s="3" t="n">
        <v>4</v>
      </c>
      <c r="F1890" s="4" t="n">
        <v>0.3</v>
      </c>
      <c r="G1890" s="5">
        <f>ROUND(E1890*(1+F1890),2)</f>
        <v>5.20</v>
      </c>
      <c r="H1890" s="5">
        <f>ROUND(G1890*NOTAS!$B$2,2)</f>
        <v>3751.00</v>
      </c>
      <c r="I1890" s="6">
        <f>ROUND(G1890*NOTAS!$B$3,0)</f>
        <v>16894</v>
      </c>
      <c r="J1890" s="2" t="n">
        <v>2</v>
      </c>
    </row>
    <row r="1891">
      <c r="A1891" s="2" t="inlineStr">
        <is>
          <t>BP05-11-312</t>
        </is>
      </c>
      <c r="B1891" s="2" t="inlineStr"/>
      <c r="C1891" s="2" t="inlineStr">
        <is>
          <t>ESTOPERA TRASERA CIGUENAL FESTIVA 83X100X9</t>
        </is>
      </c>
      <c r="D1891" s="2" t="inlineStr">
        <is>
          <t>THO</t>
        </is>
      </c>
      <c r="E1891" s="3" t="n">
        <v>6.1538</v>
      </c>
      <c r="F1891" s="4" t="n">
        <v>0.3</v>
      </c>
      <c r="G1891" s="5">
        <f>ROUND(E1891*(1+F1891),2)</f>
        <v>8.00</v>
      </c>
      <c r="H1891" s="5">
        <f>ROUND(G1891*NOTAS!$B$2,2)</f>
        <v>5770.76</v>
      </c>
      <c r="I1891" s="6">
        <f>ROUND(G1891*NOTAS!$B$3,0)</f>
        <v>25991</v>
      </c>
      <c r="J1891" s="2" t="n">
        <v>4</v>
      </c>
    </row>
    <row r="1892">
      <c r="A1892" s="2" t="inlineStr">
        <is>
          <t>900145</t>
        </is>
      </c>
      <c r="B1892" s="2" t="inlineStr">
        <is>
          <t>XS6E6K301CA</t>
        </is>
      </c>
      <c r="C1892" s="2" t="inlineStr">
        <is>
          <t>ESTOPERA TRASERA CIGUENAL FIESTA/KA 1.6</t>
        </is>
      </c>
      <c r="D1892" s="2" t="inlineStr">
        <is>
          <t>FORD</t>
        </is>
      </c>
      <c r="E1892" s="3" t="n">
        <v>25</v>
      </c>
      <c r="F1892" s="4" t="n">
        <v>0.3</v>
      </c>
      <c r="G1892" s="5">
        <f>ROUND(E1892*(1+F1892),2)</f>
        <v>32.50</v>
      </c>
      <c r="H1892" s="5">
        <f>ROUND(G1892*NOTAS!$B$2,2)</f>
        <v>23443.73</v>
      </c>
      <c r="I1892" s="6">
        <f>ROUND(G1892*NOTAS!$B$3,0)</f>
        <v>105588</v>
      </c>
      <c r="J1892" s="2" t="n">
        <v>1</v>
      </c>
    </row>
    <row r="1893">
      <c r="A1893" s="2" t="inlineStr">
        <is>
          <t>05338PHSI</t>
        </is>
      </c>
      <c r="B1893" s="2" t="inlineStr"/>
      <c r="C1893" s="2" t="inlineStr">
        <is>
          <t>ESTOPERA TRASERA CIGUENAL FIESTA/KA 1.6</t>
        </is>
      </c>
      <c r="D1893" s="2" t="inlineStr">
        <is>
          <t>SABO ORIG</t>
        </is>
      </c>
      <c r="E1893" s="3" t="n">
        <v>16.7</v>
      </c>
      <c r="F1893" s="4" t="n">
        <v>0.3</v>
      </c>
      <c r="G1893" s="5">
        <f>ROUND(E1893*(1+F1893),2)</f>
        <v>21.71</v>
      </c>
      <c r="H1893" s="5">
        <f>ROUND(G1893*NOTAS!$B$2,2)</f>
        <v>15660.41</v>
      </c>
      <c r="I1893" s="6">
        <f>ROUND(G1893*NOTAS!$B$3,0)</f>
        <v>70533</v>
      </c>
      <c r="J1893" s="2" t="n">
        <v>2</v>
      </c>
    </row>
    <row r="1894">
      <c r="A1894" s="2" t="inlineStr">
        <is>
          <t>05772GAHFE</t>
        </is>
      </c>
      <c r="B1894" s="2" t="inlineStr"/>
      <c r="C1894" s="2" t="inlineStr">
        <is>
          <t xml:space="preserve">ESTOPERA TRASERA CIGUENAL F-PALIO/SIENA 1.3 16V FIRE </t>
        </is>
      </c>
      <c r="D1894" s="2" t="inlineStr">
        <is>
          <t>SABO ORIG</t>
        </is>
      </c>
      <c r="E1894" s="3" t="n">
        <v>11.7</v>
      </c>
      <c r="F1894" s="4" t="n">
        <v>0.3</v>
      </c>
      <c r="G1894" s="5">
        <f>ROUND(E1894*(1+F1894),2)</f>
        <v>15.21</v>
      </c>
      <c r="H1894" s="5">
        <f>ROUND(G1894*NOTAS!$B$2,2)</f>
        <v>10971.67</v>
      </c>
      <c r="I1894" s="6">
        <f>ROUND(G1894*NOTAS!$B$3,0)</f>
        <v>49415</v>
      </c>
      <c r="J1894" s="2" t="n">
        <v>3</v>
      </c>
    </row>
    <row r="1895">
      <c r="A1895" s="2" t="inlineStr">
        <is>
          <t>46751174</t>
        </is>
      </c>
      <c r="B1895" s="2" t="inlineStr"/>
      <c r="C1895" s="2" t="inlineStr">
        <is>
          <t xml:space="preserve">ESTOPERA TRASERA CIGUENAL F-PALIO/SIENA 1.3 16V FIRE </t>
        </is>
      </c>
      <c r="D1895" s="2" t="inlineStr">
        <is>
          <t>FIAT</t>
        </is>
      </c>
      <c r="E1895" s="3" t="n">
        <v>15</v>
      </c>
      <c r="F1895" s="4" t="n">
        <v>0.3</v>
      </c>
      <c r="G1895" s="5">
        <f>ROUND(E1895*(1+F1895),2)</f>
        <v>19.50</v>
      </c>
      <c r="H1895" s="5">
        <f>ROUND(G1895*NOTAS!$B$2,2)</f>
        <v>14066.24</v>
      </c>
      <c r="I1895" s="6">
        <f>ROUND(G1895*NOTAS!$B$3,0)</f>
        <v>63353</v>
      </c>
      <c r="J1895" s="2" t="n">
        <v>1</v>
      </c>
    </row>
    <row r="1896">
      <c r="A1896" s="2" t="inlineStr">
        <is>
          <t>05245MJEF</t>
        </is>
      </c>
      <c r="B1896" s="2" t="inlineStr"/>
      <c r="C1896" s="2" t="inlineStr">
        <is>
          <t xml:space="preserve">ESTOPERA TRASERA CIGUENAL F-UNO FIRE </t>
        </is>
      </c>
      <c r="D1896" s="2" t="inlineStr">
        <is>
          <t>SABO ORIG</t>
        </is>
      </c>
      <c r="E1896" s="3" t="n">
        <v>13.5</v>
      </c>
      <c r="F1896" s="4" t="n">
        <v>0.3</v>
      </c>
      <c r="G1896" s="5">
        <f>ROUND(E1896*(1+F1896),2)</f>
        <v>17.55</v>
      </c>
      <c r="H1896" s="5">
        <f>ROUND(G1896*NOTAS!$B$2,2)</f>
        <v>12659.62</v>
      </c>
      <c r="I1896" s="6">
        <f>ROUND(G1896*NOTAS!$B$3,0)</f>
        <v>57018</v>
      </c>
      <c r="J1896" s="2" t="n">
        <v>7</v>
      </c>
    </row>
    <row r="1897">
      <c r="A1897" s="2" t="inlineStr">
        <is>
          <t>2269BAGP</t>
        </is>
      </c>
      <c r="B1897" s="2" t="inlineStr"/>
      <c r="C1897" s="2" t="inlineStr">
        <is>
          <t>ESTOPERA TRASERA CIGUENAL F-UNO/147/PALIO/SIENA 1.3 8V 70X85X8</t>
        </is>
      </c>
      <c r="D1897" s="2" t="inlineStr">
        <is>
          <t>SABO ORIG</t>
        </is>
      </c>
      <c r="E1897" s="3" t="n">
        <v>7.1</v>
      </c>
      <c r="F1897" s="4" t="n">
        <v>0.3</v>
      </c>
      <c r="G1897" s="5">
        <f>ROUND(E1897*(1+F1897),2)</f>
        <v>9.23</v>
      </c>
      <c r="H1897" s="5">
        <f>ROUND(G1897*NOTAS!$B$2,2)</f>
        <v>6658.02</v>
      </c>
      <c r="I1897" s="6">
        <f>ROUND(G1897*NOTAS!$B$3,0)</f>
        <v>29987</v>
      </c>
      <c r="J1897" s="2" t="n">
        <v>9</v>
      </c>
    </row>
    <row r="1898">
      <c r="A1898" s="2" t="inlineStr">
        <is>
          <t>02845BRAGF</t>
        </is>
      </c>
      <c r="B1898" s="2" t="inlineStr"/>
      <c r="C1898" s="2" t="inlineStr">
        <is>
          <t>ESTOPERA TRASERA CIGUENAL F-UNO/147/PALIO/SIENA 1.3 8V 70X85X8</t>
        </is>
      </c>
      <c r="D1898" s="2" t="inlineStr">
        <is>
          <t>SABO ORIG</t>
        </is>
      </c>
      <c r="E1898" s="3" t="n">
        <v>4.65</v>
      </c>
      <c r="F1898" s="4" t="n">
        <v>0.3</v>
      </c>
      <c r="G1898" s="5">
        <f>ROUND(E1898*(1+F1898),2)</f>
        <v>6.05</v>
      </c>
      <c r="H1898" s="5">
        <f>ROUND(G1898*NOTAS!$B$2,2)</f>
        <v>4364.14</v>
      </c>
      <c r="I1898" s="6">
        <f>ROUND(G1898*NOTAS!$B$3,0)</f>
        <v>19656</v>
      </c>
      <c r="J1898" s="2" t="n">
        <v>6</v>
      </c>
    </row>
    <row r="1899">
      <c r="A1899" s="2" t="inlineStr"/>
      <c r="B1899" s="2" t="inlineStr"/>
      <c r="C1899" s="2" t="inlineStr">
        <is>
          <t>ESTOPERA TRASERA CIGUENAL F-UNO/147/PALIO/SIENA 1.3 8V 70X85X8</t>
        </is>
      </c>
      <c r="D1899" s="2" t="inlineStr">
        <is>
          <t>AKRON</t>
        </is>
      </c>
      <c r="E1899" s="3" t="n">
        <v>3</v>
      </c>
      <c r="F1899" s="4" t="n">
        <v>0.3</v>
      </c>
      <c r="G1899" s="5">
        <f>ROUND(E1899*(1+F1899),2)</f>
        <v>3.90</v>
      </c>
      <c r="H1899" s="5">
        <f>ROUND(G1899*NOTAS!$B$2,2)</f>
        <v>2813.25</v>
      </c>
      <c r="I1899" s="6">
        <f>ROUND(G1899*NOTAS!$B$3,0)</f>
        <v>12671</v>
      </c>
      <c r="J1899" s="2" t="n">
        <v>2</v>
      </c>
    </row>
    <row r="1900">
      <c r="A1900" s="2" t="inlineStr">
        <is>
          <t>RC450.212</t>
        </is>
      </c>
      <c r="B1900" s="2" t="inlineStr"/>
      <c r="C1900" s="2" t="inlineStr">
        <is>
          <t>ESTOPERA TRASERA CIGUENAL F-UNO/147/PALIO/SIENA 1.3 8V 70X85X8</t>
        </is>
      </c>
      <c r="D1900" s="2" t="inlineStr">
        <is>
          <t>OIL SEAL</t>
        </is>
      </c>
      <c r="E1900" s="3" t="n">
        <v>3</v>
      </c>
      <c r="F1900" s="4" t="n">
        <v>0.3</v>
      </c>
      <c r="G1900" s="5">
        <f>ROUND(E1900*(1+F1900),2)</f>
        <v>3.90</v>
      </c>
      <c r="H1900" s="5">
        <f>ROUND(G1900*NOTAS!$B$2,2)</f>
        <v>2813.25</v>
      </c>
      <c r="I1900" s="6">
        <f>ROUND(G1900*NOTAS!$B$3,0)</f>
        <v>12671</v>
      </c>
      <c r="J1900" s="2" t="n">
        <v>9</v>
      </c>
    </row>
    <row r="1901">
      <c r="A1901" s="2" t="inlineStr">
        <is>
          <t>02004BAGP</t>
        </is>
      </c>
      <c r="B1901" s="2" t="inlineStr"/>
      <c r="C1901" s="2" t="inlineStr">
        <is>
          <t>ESTOPERA TRASERA CIGUENAL F-UNO/PREMIO 64X80X8</t>
        </is>
      </c>
      <c r="D1901" s="2" t="inlineStr">
        <is>
          <t>SABO ORIG</t>
        </is>
      </c>
      <c r="E1901" s="3" t="n">
        <v>4.5</v>
      </c>
      <c r="F1901" s="4" t="n">
        <v>0.3</v>
      </c>
      <c r="G1901" s="5">
        <f>ROUND(E1901*(1+F1901),2)</f>
        <v>5.85</v>
      </c>
      <c r="H1901" s="5">
        <f>ROUND(G1901*NOTAS!$B$2,2)</f>
        <v>4219.87</v>
      </c>
      <c r="I1901" s="6">
        <f>ROUND(G1901*NOTAS!$B$3,0)</f>
        <v>19006</v>
      </c>
      <c r="J1901" s="2" t="n">
        <v>9</v>
      </c>
    </row>
    <row r="1902">
      <c r="A1902" s="2" t="inlineStr">
        <is>
          <t>2004BAG-P</t>
        </is>
      </c>
      <c r="B1902" s="2" t="inlineStr"/>
      <c r="C1902" s="2" t="inlineStr">
        <is>
          <t>ESTOPERA TRASERA CIGUENAL F-UNO/PREMIO 64X80X8</t>
        </is>
      </c>
      <c r="D1902" s="2" t="inlineStr">
        <is>
          <t>ORION</t>
        </is>
      </c>
      <c r="E1902" s="3" t="n">
        <v>2</v>
      </c>
      <c r="F1902" s="4" t="n">
        <v>0.3</v>
      </c>
      <c r="G1902" s="5">
        <f>ROUND(E1902*(1+F1902),2)</f>
        <v>2.60</v>
      </c>
      <c r="H1902" s="5">
        <f>ROUND(G1902*NOTAS!$B$2,2)</f>
        <v>1875.50</v>
      </c>
      <c r="I1902" s="6">
        <f>ROUND(G1902*NOTAS!$B$3,0)</f>
        <v>8447</v>
      </c>
      <c r="J1902" s="2" t="n">
        <v>5</v>
      </c>
    </row>
    <row r="1903">
      <c r="A1903" s="2" t="inlineStr">
        <is>
          <t>F4AZ6701A</t>
        </is>
      </c>
      <c r="B1903" s="2" t="inlineStr"/>
      <c r="C1903" s="2" t="inlineStr">
        <is>
          <t>ESTOPERA TRASERA CIGUENAL FX4 TRITON EXPLORER SPORTRAC 4.6 5.4</t>
        </is>
      </c>
      <c r="D1903" s="2" t="inlineStr">
        <is>
          <t>FORD</t>
        </is>
      </c>
      <c r="E1903" s="3" t="n">
        <v>7.6923</v>
      </c>
      <c r="F1903" s="4" t="n">
        <v>0.3</v>
      </c>
      <c r="G1903" s="5">
        <f>ROUND(E1903*(1+F1903),2)</f>
        <v>10.00</v>
      </c>
      <c r="H1903" s="5">
        <f>ROUND(G1903*NOTAS!$B$2,2)</f>
        <v>7213.46</v>
      </c>
      <c r="I1903" s="6">
        <f>ROUND(G1903*NOTAS!$B$3,0)</f>
        <v>32489</v>
      </c>
      <c r="J1903" s="2" t="n">
        <v>1</v>
      </c>
    </row>
    <row r="1904">
      <c r="A1904" s="2" t="inlineStr">
        <is>
          <t>21443-22000</t>
        </is>
      </c>
      <c r="B1904" s="2" t="inlineStr"/>
      <c r="C1904" s="2" t="inlineStr">
        <is>
          <t>ESTOPERA TRASERA CIGUENAL HYUNDAI EXCEL 72X96X9</t>
        </is>
      </c>
      <c r="D1904" s="2" t="inlineStr">
        <is>
          <t>POS</t>
        </is>
      </c>
      <c r="E1904" s="3" t="n">
        <v>6.1538</v>
      </c>
      <c r="F1904" s="4" t="n">
        <v>0.3</v>
      </c>
      <c r="G1904" s="5">
        <f>ROUND(E1904*(1+F1904),2)</f>
        <v>8.00</v>
      </c>
      <c r="H1904" s="5">
        <f>ROUND(G1904*NOTAS!$B$2,2)</f>
        <v>5770.76</v>
      </c>
      <c r="I1904" s="6">
        <f>ROUND(G1904*NOTAS!$B$3,0)</f>
        <v>25991</v>
      </c>
      <c r="J1904" s="2" t="n">
        <v>2</v>
      </c>
    </row>
    <row r="1905">
      <c r="A1905" s="2" t="inlineStr">
        <is>
          <t>02264BRG</t>
        </is>
      </c>
      <c r="B1905" s="2" t="inlineStr"/>
      <c r="C1905" s="2" t="inlineStr">
        <is>
          <t>ESTOPERA TRASERA CIGUENAL MONZA 1.8 86X104X11</t>
        </is>
      </c>
      <c r="D1905" s="2" t="inlineStr">
        <is>
          <t>SABO ORIG</t>
        </is>
      </c>
      <c r="E1905" s="3" t="n">
        <v>8.1</v>
      </c>
      <c r="F1905" s="4" t="n">
        <v>0.3</v>
      </c>
      <c r="G1905" s="5">
        <f>ROUND(E1905*(1+F1905),2)</f>
        <v>10.53</v>
      </c>
      <c r="H1905" s="5">
        <f>ROUND(G1905*NOTAS!$B$2,2)</f>
        <v>7595.77</v>
      </c>
      <c r="I1905" s="6">
        <f>ROUND(G1905*NOTAS!$B$3,0)</f>
        <v>34211</v>
      </c>
      <c r="J1905" s="2" t="n">
        <v>1</v>
      </c>
    </row>
    <row r="1906">
      <c r="A1906" s="2" t="inlineStr">
        <is>
          <t>02900BRAG</t>
        </is>
      </c>
      <c r="B1906" s="2" t="inlineStr"/>
      <c r="C1906" s="2" t="inlineStr">
        <is>
          <t>ESTOPERA TRASERA CIGUENAL MONZA 2.0/OPTRA LIMITED 90X104X11</t>
        </is>
      </c>
      <c r="D1906" s="2" t="inlineStr">
        <is>
          <t>SABO ORIG</t>
        </is>
      </c>
      <c r="E1906" s="3" t="n">
        <v>7.59</v>
      </c>
      <c r="F1906" s="4" t="n">
        <v>0.3</v>
      </c>
      <c r="G1906" s="5">
        <f>ROUND(E1906*(1+F1906),2)</f>
        <v>9.87</v>
      </c>
      <c r="H1906" s="5">
        <f>ROUND(G1906*NOTAS!$B$2,2)</f>
        <v>7119.68</v>
      </c>
      <c r="I1906" s="6">
        <f>ROUND(G1906*NOTAS!$B$3,0)</f>
        <v>32066</v>
      </c>
      <c r="J1906" s="2" t="n">
        <v>1</v>
      </c>
    </row>
    <row r="1907">
      <c r="A1907" s="2" t="inlineStr"/>
      <c r="B1907" s="2" t="inlineStr"/>
      <c r="C1907" s="2" t="inlineStr">
        <is>
          <t>ESTOPERA TRASERA CIGUENAL R-11 80X100X13</t>
        </is>
      </c>
      <c r="D1907" s="2" t="inlineStr">
        <is>
          <t>HTC</t>
        </is>
      </c>
      <c r="E1907" s="3" t="n">
        <v>3.75</v>
      </c>
      <c r="F1907" s="4" t="n">
        <v>0.3</v>
      </c>
      <c r="G1907" s="5">
        <f>ROUND(E1907*(1+F1907),2)</f>
        <v>4.88</v>
      </c>
      <c r="H1907" s="5">
        <f>ROUND(G1907*NOTAS!$B$2,2)</f>
        <v>3520.17</v>
      </c>
      <c r="I1907" s="6">
        <f>ROUND(G1907*NOTAS!$B$3,0)</f>
        <v>15854</v>
      </c>
      <c r="J1907" s="2" t="n">
        <v>1</v>
      </c>
    </row>
    <row r="1908">
      <c r="A1908" s="2" t="inlineStr">
        <is>
          <t>01135BRGS</t>
        </is>
      </c>
      <c r="B1908" s="2" t="inlineStr"/>
      <c r="C1908" s="2" t="inlineStr">
        <is>
          <t>ESTOPERA TRASERA CIGUENAL R-12 1.3 70X90X10</t>
        </is>
      </c>
      <c r="D1908" s="2" t="inlineStr">
        <is>
          <t>SABO ORIG</t>
        </is>
      </c>
      <c r="E1908" s="3" t="n">
        <v>5.3846</v>
      </c>
      <c r="F1908" s="4" t="n">
        <v>0.3</v>
      </c>
      <c r="G1908" s="5">
        <f>ROUND(E1908*(1+F1908),2)</f>
        <v>7.00</v>
      </c>
      <c r="H1908" s="5">
        <f>ROUND(G1908*NOTAS!$B$2,2)</f>
        <v>5049.42</v>
      </c>
      <c r="I1908" s="6">
        <f>ROUND(G1908*NOTAS!$B$3,0)</f>
        <v>22742</v>
      </c>
      <c r="J1908" s="2" t="n">
        <v>5</v>
      </c>
    </row>
    <row r="1909">
      <c r="A1909" s="2" t="inlineStr">
        <is>
          <t>01135BRGS</t>
        </is>
      </c>
      <c r="B1909" s="2" t="inlineStr"/>
      <c r="C1909" s="2" t="inlineStr">
        <is>
          <t>ESTOPERA TRASERA CIGUENAL R-12/VW ESCARABAJO 70X90X10</t>
        </is>
      </c>
      <c r="D1909" s="2" t="inlineStr">
        <is>
          <t>SABO ORIG</t>
        </is>
      </c>
      <c r="E1909" s="3" t="n">
        <v>3.49</v>
      </c>
      <c r="F1909" s="4" t="n">
        <v>0.3</v>
      </c>
      <c r="G1909" s="5">
        <f>ROUND(E1909*(1+F1909),2)</f>
        <v>4.54</v>
      </c>
      <c r="H1909" s="5">
        <f>ROUND(G1909*NOTAS!$B$2,2)</f>
        <v>3274.91</v>
      </c>
      <c r="I1909" s="6">
        <f>ROUND(G1909*NOTAS!$B$3,0)</f>
        <v>14750</v>
      </c>
      <c r="J1909" s="2" t="n">
        <v>11</v>
      </c>
    </row>
    <row r="1910">
      <c r="A1910" s="2" t="inlineStr"/>
      <c r="B1910" s="2" t="inlineStr"/>
      <c r="C1910" s="2" t="inlineStr">
        <is>
          <t>ESTOPERA TRASERA CIGUENAL R-18/21/FUEGO 90X110X13</t>
        </is>
      </c>
      <c r="D1910" s="2" t="inlineStr"/>
      <c r="E1910" s="3" t="n">
        <v>6.9231</v>
      </c>
      <c r="F1910" s="4" t="n">
        <v>0.3</v>
      </c>
      <c r="G1910" s="5">
        <f>ROUND(E1910*(1+F1910),2)</f>
        <v>9.00</v>
      </c>
      <c r="H1910" s="5">
        <f>ROUND(G1910*NOTAS!$B$2,2)</f>
        <v>6492.11</v>
      </c>
      <c r="I1910" s="6">
        <f>ROUND(G1910*NOTAS!$B$3,0)</f>
        <v>29240</v>
      </c>
      <c r="J1910" s="2" t="n">
        <v>4</v>
      </c>
    </row>
    <row r="1911">
      <c r="A1911" s="2" t="inlineStr">
        <is>
          <t>12012579B</t>
        </is>
      </c>
      <c r="B1911" s="2" t="inlineStr">
        <is>
          <t>7701349596</t>
        </is>
      </c>
      <c r="C1911" s="2" t="inlineStr">
        <is>
          <t>ESTOPERA TRASERA CIGUENAL R-18/21/FUEGO 90X110X13</t>
        </is>
      </c>
      <c r="D1911" s="2" t="inlineStr">
        <is>
          <t>CORTECO</t>
        </is>
      </c>
      <c r="E1911" s="3" t="n">
        <v>6.9231</v>
      </c>
      <c r="F1911" s="4" t="n">
        <v>0.3</v>
      </c>
      <c r="G1911" s="5">
        <f>ROUND(E1911*(1+F1911),2)</f>
        <v>9.00</v>
      </c>
      <c r="H1911" s="5">
        <f>ROUND(G1911*NOTAS!$B$2,2)</f>
        <v>6492.11</v>
      </c>
      <c r="I1911" s="6">
        <f>ROUND(G1911*NOTAS!$B$3,0)</f>
        <v>29240</v>
      </c>
      <c r="J1911" s="2" t="n">
        <v>1</v>
      </c>
    </row>
    <row r="1912">
      <c r="A1912" s="2" t="inlineStr">
        <is>
          <t>05601BRGF</t>
        </is>
      </c>
      <c r="B1912" s="2" t="inlineStr"/>
      <c r="C1912" s="2" t="inlineStr">
        <is>
          <t>ESTOPERA TRASERA CIGUENAL R-19/SYMBOL/LOGAN 80X100X8</t>
        </is>
      </c>
      <c r="D1912" s="2" t="inlineStr">
        <is>
          <t>SABO ORIG</t>
        </is>
      </c>
      <c r="E1912" s="3" t="n">
        <v>6.1538</v>
      </c>
      <c r="F1912" s="4" t="n">
        <v>0.3</v>
      </c>
      <c r="G1912" s="5">
        <f>ROUND(E1912*(1+F1912),2)</f>
        <v>8.00</v>
      </c>
      <c r="H1912" s="5">
        <f>ROUND(G1912*NOTAS!$B$2,2)</f>
        <v>5770.76</v>
      </c>
      <c r="I1912" s="6">
        <f>ROUND(G1912*NOTAS!$B$3,0)</f>
        <v>25991</v>
      </c>
      <c r="J1912" s="2" t="n">
        <v>2</v>
      </c>
    </row>
    <row r="1913">
      <c r="A1913" s="2" t="inlineStr">
        <is>
          <t>R8607</t>
        </is>
      </c>
      <c r="B1913" s="2" t="inlineStr"/>
      <c r="C1913" s="2" t="inlineStr">
        <is>
          <t>ESTOPERA TRASERA CIGUENAL R-19/SYMBOL/LOGAN 80X100X8.5</t>
        </is>
      </c>
      <c r="D1913" s="2" t="inlineStr">
        <is>
          <t>EMASA</t>
        </is>
      </c>
      <c r="E1913" s="3" t="n">
        <v>6.1538</v>
      </c>
      <c r="F1913" s="4" t="n">
        <v>0.3</v>
      </c>
      <c r="G1913" s="5">
        <f>ROUND(E1913*(1+F1913),2)</f>
        <v>8.00</v>
      </c>
      <c r="H1913" s="5">
        <f>ROUND(G1913*NOTAS!$B$2,2)</f>
        <v>5770.76</v>
      </c>
      <c r="I1913" s="6">
        <f>ROUND(G1913*NOTAS!$B$3,0)</f>
        <v>25991</v>
      </c>
      <c r="J1913" s="2" t="n">
        <v>1</v>
      </c>
    </row>
    <row r="1914">
      <c r="A1914" s="2" t="inlineStr">
        <is>
          <t>05599BRGF</t>
        </is>
      </c>
      <c r="B1914" s="2" t="inlineStr"/>
      <c r="C1914" s="2" t="inlineStr">
        <is>
          <t>ESTOPERA TRASERA CIGUENAL R-TWINGO 70X86X7</t>
        </is>
      </c>
      <c r="D1914" s="2" t="inlineStr">
        <is>
          <t>SABO ORIG</t>
        </is>
      </c>
      <c r="E1914" s="3" t="n">
        <v>3.55</v>
      </c>
      <c r="F1914" s="4" t="n">
        <v>0.3</v>
      </c>
      <c r="G1914" s="5">
        <f>ROUND(E1914*(1+F1914),2)</f>
        <v>4.62</v>
      </c>
      <c r="H1914" s="5">
        <f>ROUND(G1914*NOTAS!$B$2,2)</f>
        <v>3332.62</v>
      </c>
      <c r="I1914" s="6">
        <f>ROUND(G1914*NOTAS!$B$3,0)</f>
        <v>15010</v>
      </c>
      <c r="J1914" s="2" t="n">
        <v>1</v>
      </c>
    </row>
    <row r="1915">
      <c r="A1915" s="2" t="inlineStr">
        <is>
          <t>20025741B</t>
        </is>
      </c>
      <c r="B1915" s="2" t="inlineStr">
        <is>
          <t>7700874223</t>
        </is>
      </c>
      <c r="C1915" s="2" t="inlineStr">
        <is>
          <t>ESTOPERA TRASERA CIGUENAL R-TWINGO 70X86X7</t>
        </is>
      </c>
      <c r="D1915" s="2" t="inlineStr">
        <is>
          <t>CORTECO</t>
        </is>
      </c>
      <c r="E1915" s="3" t="n">
        <v>5.3846</v>
      </c>
      <c r="F1915" s="4" t="n">
        <v>0.3</v>
      </c>
      <c r="G1915" s="5">
        <f>ROUND(E1915*(1+F1915),2)</f>
        <v>7.00</v>
      </c>
      <c r="H1915" s="5">
        <f>ROUND(G1915*NOTAS!$B$2,2)</f>
        <v>5049.42</v>
      </c>
      <c r="I1915" s="6">
        <f>ROUND(G1915*NOTAS!$B$3,0)</f>
        <v>22742</v>
      </c>
      <c r="J1915" s="2" t="n">
        <v>2</v>
      </c>
    </row>
    <row r="1916">
      <c r="A1916" s="2" t="inlineStr">
        <is>
          <t>94535475</t>
        </is>
      </c>
      <c r="B1916" s="2" t="inlineStr"/>
      <c r="C1916" s="2" t="inlineStr">
        <is>
          <t>ESTOPERA TRASERA CIGUENAL SPARK</t>
        </is>
      </c>
      <c r="D1916" s="2" t="inlineStr">
        <is>
          <t>GM</t>
        </is>
      </c>
      <c r="E1916" s="3" t="n">
        <v>4.6154</v>
      </c>
      <c r="F1916" s="4" t="n">
        <v>0.3</v>
      </c>
      <c r="G1916" s="5">
        <f>ROUND(E1916*(1+F1916),2)</f>
        <v>6.00</v>
      </c>
      <c r="H1916" s="5">
        <f>ROUND(G1916*NOTAS!$B$2,2)</f>
        <v>4328.07</v>
      </c>
      <c r="I1916" s="6">
        <f>ROUND(G1916*NOTAS!$B$3,0)</f>
        <v>19493</v>
      </c>
      <c r="J1916" s="2" t="n">
        <v>2</v>
      </c>
    </row>
    <row r="1917">
      <c r="A1917" s="2" t="inlineStr"/>
      <c r="B1917" s="2" t="inlineStr"/>
      <c r="C1917" s="2" t="inlineStr">
        <is>
          <t>ESTOPERA TRASERA CIGUENAL SWIFT 68X86X8</t>
        </is>
      </c>
      <c r="D1917" s="2" t="inlineStr">
        <is>
          <t>THO</t>
        </is>
      </c>
      <c r="E1917" s="3" t="n">
        <v>5.3846</v>
      </c>
      <c r="F1917" s="4" t="n">
        <v>0.3</v>
      </c>
      <c r="G1917" s="5">
        <f>ROUND(E1917*(1+F1917),2)</f>
        <v>7.00</v>
      </c>
      <c r="H1917" s="5">
        <f>ROUND(G1917*NOTAS!$B$2,2)</f>
        <v>5049.42</v>
      </c>
      <c r="I1917" s="6">
        <f>ROUND(G1917*NOTAS!$B$3,0)</f>
        <v>22742</v>
      </c>
      <c r="J1917" s="2" t="n">
        <v>4</v>
      </c>
    </row>
    <row r="1918">
      <c r="A1918" s="2" t="inlineStr"/>
      <c r="B1918" s="2" t="inlineStr"/>
      <c r="C1918" s="2" t="inlineStr">
        <is>
          <t>FARO DELANTERO DERECHO CIELO</t>
        </is>
      </c>
      <c r="D1918" s="2" t="inlineStr">
        <is>
          <t>GM</t>
        </is>
      </c>
      <c r="E1918" s="3" t="n">
        <v>30</v>
      </c>
      <c r="F1918" s="4" t="n">
        <v>0.3</v>
      </c>
      <c r="G1918" s="5">
        <f>ROUND(E1918*(1+F1918),2)</f>
        <v>39.00</v>
      </c>
      <c r="H1918" s="5">
        <f>ROUND(G1918*NOTAS!$B$2,2)</f>
        <v>28132.48</v>
      </c>
      <c r="I1918" s="6">
        <f>ROUND(G1918*NOTAS!$B$3,0)</f>
        <v>126706</v>
      </c>
      <c r="J1918" s="2" t="n">
        <v>1</v>
      </c>
    </row>
    <row r="1919">
      <c r="A1919" s="2" t="inlineStr">
        <is>
          <t>661-1137R</t>
        </is>
      </c>
      <c r="B1919" s="2" t="inlineStr"/>
      <c r="C1919" s="2" t="inlineStr">
        <is>
          <t>FARO DELANTERO DERECHO F-PALIO/SIENA FIRE FASE1 01/03</t>
        </is>
      </c>
      <c r="D1919" s="2" t="inlineStr">
        <is>
          <t>DEPO</t>
        </is>
      </c>
      <c r="E1919" s="3" t="n">
        <v>74</v>
      </c>
      <c r="F1919" s="4" t="n">
        <v>0.3</v>
      </c>
      <c r="G1919" s="5">
        <f>ROUND(E1919*(1+F1919),2)</f>
        <v>96.20</v>
      </c>
      <c r="H1919" s="5">
        <f>ROUND(G1919*NOTAS!$B$2,2)</f>
        <v>69393.45</v>
      </c>
      <c r="I1919" s="6">
        <f>ROUND(G1919*NOTAS!$B$3,0)</f>
        <v>312541</v>
      </c>
      <c r="J1919" s="2" t="n">
        <v>2</v>
      </c>
    </row>
    <row r="1920">
      <c r="A1920" s="2" t="inlineStr">
        <is>
          <t>96507854</t>
        </is>
      </c>
      <c r="B1920" s="2" t="inlineStr"/>
      <c r="C1920" s="2" t="inlineStr">
        <is>
          <t>FARO DELANTERO DERECHO MATIZ</t>
        </is>
      </c>
      <c r="D1920" s="2" t="inlineStr">
        <is>
          <t>GM</t>
        </is>
      </c>
      <c r="E1920" s="3" t="n">
        <v>40</v>
      </c>
      <c r="F1920" s="4" t="n">
        <v>0.3</v>
      </c>
      <c r="G1920" s="5">
        <f>ROUND(E1920*(1+F1920),2)</f>
        <v>52.00</v>
      </c>
      <c r="H1920" s="5">
        <f>ROUND(G1920*NOTAS!$B$2,2)</f>
        <v>37509.97</v>
      </c>
      <c r="I1920" s="6">
        <f>ROUND(G1920*NOTAS!$B$3,0)</f>
        <v>168941</v>
      </c>
      <c r="J1920" s="2" t="n">
        <v>2</v>
      </c>
    </row>
    <row r="1921">
      <c r="A1921" s="2" t="inlineStr">
        <is>
          <t>659D</t>
        </is>
      </c>
      <c r="B1921" s="2" t="inlineStr"/>
      <c r="C1921" s="2" t="inlineStr">
        <is>
          <t>FARO DELANTERO DERECHO R-18</t>
        </is>
      </c>
      <c r="D1921" s="2" t="inlineStr">
        <is>
          <t>VIC</t>
        </is>
      </c>
      <c r="E1921" s="3" t="n">
        <v>30</v>
      </c>
      <c r="F1921" s="4" t="n">
        <v>0.3</v>
      </c>
      <c r="G1921" s="5">
        <f>ROUND(E1921*(1+F1921),2)</f>
        <v>39.00</v>
      </c>
      <c r="H1921" s="5">
        <f>ROUND(G1921*NOTAS!$B$2,2)</f>
        <v>28132.48</v>
      </c>
      <c r="I1921" s="6">
        <f>ROUND(G1921*NOTAS!$B$3,0)</f>
        <v>126706</v>
      </c>
      <c r="J1921" s="2" t="n">
        <v>4</v>
      </c>
    </row>
    <row r="1922">
      <c r="A1922" s="2" t="inlineStr">
        <is>
          <t>551-1109R</t>
        </is>
      </c>
      <c r="B1922" s="2" t="inlineStr"/>
      <c r="C1922" s="2" t="inlineStr">
        <is>
          <t>FARO DELANTERO DERECHO R-5</t>
        </is>
      </c>
      <c r="D1922" s="2" t="inlineStr">
        <is>
          <t>DEPO</t>
        </is>
      </c>
      <c r="E1922" s="3" t="n">
        <v>20</v>
      </c>
      <c r="F1922" s="4" t="n">
        <v>0.3</v>
      </c>
      <c r="G1922" s="5">
        <f>ROUND(E1922*(1+F1922),2)</f>
        <v>26.00</v>
      </c>
      <c r="H1922" s="5">
        <f>ROUND(G1922*NOTAS!$B$2,2)</f>
        <v>18754.99</v>
      </c>
      <c r="I1922" s="6">
        <f>ROUND(G1922*NOTAS!$B$3,0)</f>
        <v>84471</v>
      </c>
      <c r="J1922" s="2" t="n">
        <v>2</v>
      </c>
    </row>
    <row r="1923">
      <c r="A1923" s="2" t="inlineStr"/>
      <c r="B1923" s="2" t="inlineStr"/>
      <c r="C1923" s="2" t="inlineStr">
        <is>
          <t>FARO DELANTERO DERECHO R-CLIO 94/99</t>
        </is>
      </c>
      <c r="D1923" s="2" t="inlineStr">
        <is>
          <t>FRANCE</t>
        </is>
      </c>
      <c r="E1923" s="3" t="n">
        <v>50</v>
      </c>
      <c r="F1923" s="4" t="n">
        <v>0.3</v>
      </c>
      <c r="G1923" s="5">
        <f>ROUND(E1923*(1+F1923),2)</f>
        <v>65.00</v>
      </c>
      <c r="H1923" s="5">
        <f>ROUND(G1923*NOTAS!$B$2,2)</f>
        <v>46887.46</v>
      </c>
      <c r="I1923" s="6">
        <f>ROUND(G1923*NOTAS!$B$3,0)</f>
        <v>211177</v>
      </c>
      <c r="J1923" s="2" t="n">
        <v>1</v>
      </c>
    </row>
    <row r="1924">
      <c r="A1924" s="2" t="inlineStr">
        <is>
          <t>551-1106R</t>
        </is>
      </c>
      <c r="B1924" s="2" t="inlineStr"/>
      <c r="C1924" s="2" t="inlineStr">
        <is>
          <t>FARO DELANTERO DERECHO R-GALA</t>
        </is>
      </c>
      <c r="D1924" s="2" t="inlineStr">
        <is>
          <t>DEPO</t>
        </is>
      </c>
      <c r="E1924" s="3" t="n">
        <v>40</v>
      </c>
      <c r="F1924" s="4" t="n">
        <v>0.3</v>
      </c>
      <c r="G1924" s="5">
        <f>ROUND(E1924*(1+F1924),2)</f>
        <v>52.00</v>
      </c>
      <c r="H1924" s="5">
        <f>ROUND(G1924*NOTAS!$B$2,2)</f>
        <v>37509.97</v>
      </c>
      <c r="I1924" s="6">
        <f>ROUND(G1924*NOTAS!$B$3,0)</f>
        <v>168941</v>
      </c>
      <c r="J1924" s="2" t="n">
        <v>1</v>
      </c>
    </row>
    <row r="1925">
      <c r="A1925" s="2" t="inlineStr">
        <is>
          <t>551-1136R</t>
        </is>
      </c>
      <c r="B1925" s="2" t="inlineStr"/>
      <c r="C1925" s="2" t="inlineStr">
        <is>
          <t>FARO DELANTERO DERECHO R-SYMBOL/CLIO 00/03 DOBLE BOMBILLO</t>
        </is>
      </c>
      <c r="D1925" s="2" t="inlineStr">
        <is>
          <t>DEPO</t>
        </is>
      </c>
      <c r="E1925" s="3" t="n">
        <v>60</v>
      </c>
      <c r="F1925" s="4" t="n">
        <v>0.3</v>
      </c>
      <c r="G1925" s="5">
        <f>ROUND(E1925*(1+F1925),2)</f>
        <v>78.00</v>
      </c>
      <c r="H1925" s="5">
        <f>ROUND(G1925*NOTAS!$B$2,2)</f>
        <v>56264.96</v>
      </c>
      <c r="I1925" s="6">
        <f>ROUND(G1925*NOTAS!$B$3,0)</f>
        <v>253412</v>
      </c>
      <c r="J1925" s="2" t="n">
        <v>1</v>
      </c>
    </row>
    <row r="1926">
      <c r="A1926" s="2" t="inlineStr">
        <is>
          <t>IMM0312087</t>
        </is>
      </c>
      <c r="B1926" s="2" t="inlineStr"/>
      <c r="C1926" s="2" t="inlineStr">
        <is>
          <t>FARO DELANTERO IZQUIERDO F-PALIO/SIENA 1.8 FASE2 05/11</t>
        </is>
      </c>
      <c r="D1926" s="2" t="inlineStr">
        <is>
          <t>MAGNETI MARELLI</t>
        </is>
      </c>
      <c r="E1926" s="3" t="n">
        <v>80</v>
      </c>
      <c r="F1926" s="4" t="n">
        <v>0.3</v>
      </c>
      <c r="G1926" s="5">
        <f>ROUND(E1926*(1+F1926),2)</f>
        <v>104.00</v>
      </c>
      <c r="H1926" s="5">
        <f>ROUND(G1926*NOTAS!$B$2,2)</f>
        <v>75019.94</v>
      </c>
      <c r="I1926" s="6">
        <f>ROUND(G1926*NOTAS!$B$3,0)</f>
        <v>337882</v>
      </c>
      <c r="J1926" s="2" t="n">
        <v>1</v>
      </c>
    </row>
    <row r="1927">
      <c r="A1927" s="2" t="inlineStr">
        <is>
          <t>773I</t>
        </is>
      </c>
      <c r="B1927" s="2" t="inlineStr"/>
      <c r="C1927" s="2" t="inlineStr">
        <is>
          <t>FARO DELANTERO IZQUIERDO F-PALIO/SIENA 96/00 1 BOMBILLO</t>
        </is>
      </c>
      <c r="D1927" s="2" t="inlineStr">
        <is>
          <t>VIC</t>
        </is>
      </c>
      <c r="E1927" s="3" t="n">
        <v>51</v>
      </c>
      <c r="F1927" s="4" t="n">
        <v>0.3</v>
      </c>
      <c r="G1927" s="5">
        <f>ROUND(E1927*(1+F1927),2)</f>
        <v>66.30</v>
      </c>
      <c r="H1927" s="5">
        <f>ROUND(G1927*NOTAS!$B$2,2)</f>
        <v>47825.21</v>
      </c>
      <c r="I1927" s="6">
        <f>ROUND(G1927*NOTAS!$B$3,0)</f>
        <v>215400</v>
      </c>
      <c r="J1927" s="2" t="n">
        <v>1</v>
      </c>
    </row>
    <row r="1928">
      <c r="A1928" s="2" t="inlineStr"/>
      <c r="B1928" s="2" t="inlineStr"/>
      <c r="C1928" s="2" t="inlineStr">
        <is>
          <t>FARO DELANTERO IZQUIERDO F-PALIO/SIENA 96/00 2 BOMBILLOS</t>
        </is>
      </c>
      <c r="D1928" s="2" t="inlineStr">
        <is>
          <t>ARTEB</t>
        </is>
      </c>
      <c r="E1928" s="3" t="n">
        <v>55</v>
      </c>
      <c r="F1928" s="4" t="n">
        <v>0.3</v>
      </c>
      <c r="G1928" s="5">
        <f>ROUND(E1928*(1+F1928),2)</f>
        <v>71.50</v>
      </c>
      <c r="H1928" s="5">
        <f>ROUND(G1928*NOTAS!$B$2,2)</f>
        <v>51576.21</v>
      </c>
      <c r="I1928" s="6">
        <f>ROUND(G1928*NOTAS!$B$3,0)</f>
        <v>232294</v>
      </c>
      <c r="J1928" s="2" t="n">
        <v>1</v>
      </c>
    </row>
    <row r="1929">
      <c r="A1929" s="2" t="inlineStr"/>
      <c r="B1929" s="2" t="inlineStr"/>
      <c r="C1929" s="2" t="inlineStr">
        <is>
          <t>FARO DELANTERO IZQUIERDO F-REGATA</t>
        </is>
      </c>
      <c r="D1929" s="2" t="inlineStr">
        <is>
          <t>VIC</t>
        </is>
      </c>
      <c r="E1929" s="3" t="n">
        <v>40</v>
      </c>
      <c r="F1929" s="4" t="n">
        <v>0.3</v>
      </c>
      <c r="G1929" s="5">
        <f>ROUND(E1929*(1+F1929),2)</f>
        <v>52.00</v>
      </c>
      <c r="H1929" s="5">
        <f>ROUND(G1929*NOTAS!$B$2,2)</f>
        <v>37509.97</v>
      </c>
      <c r="I1929" s="6">
        <f>ROUND(G1929*NOTAS!$B$3,0)</f>
        <v>168941</v>
      </c>
      <c r="J1929" s="2" t="n">
        <v>1</v>
      </c>
    </row>
    <row r="1930">
      <c r="A1930" s="2" t="inlineStr">
        <is>
          <t>728I</t>
        </is>
      </c>
      <c r="B1930" s="2" t="inlineStr"/>
      <c r="C1930" s="2" t="inlineStr">
        <is>
          <t>FARO DELANTERO IZQUIERDO F-SPAZIO</t>
        </is>
      </c>
      <c r="D1930" s="2" t="inlineStr">
        <is>
          <t>VIC</t>
        </is>
      </c>
      <c r="E1930" s="3" t="n">
        <v>30</v>
      </c>
      <c r="F1930" s="4" t="n">
        <v>0.3</v>
      </c>
      <c r="G1930" s="5">
        <f>ROUND(E1930*(1+F1930),2)</f>
        <v>39.00</v>
      </c>
      <c r="H1930" s="5">
        <f>ROUND(G1930*NOTAS!$B$2,2)</f>
        <v>28132.48</v>
      </c>
      <c r="I1930" s="6">
        <f>ROUND(G1930*NOTAS!$B$3,0)</f>
        <v>126706</v>
      </c>
      <c r="J1930" s="2" t="n">
        <v>1</v>
      </c>
    </row>
    <row r="1931">
      <c r="A1931" s="2" t="inlineStr">
        <is>
          <t>96507853</t>
        </is>
      </c>
      <c r="B1931" s="2" t="inlineStr"/>
      <c r="C1931" s="2" t="inlineStr">
        <is>
          <t>FARO DELANTERO IZQUIERDO MATIZ</t>
        </is>
      </c>
      <c r="D1931" s="2" t="inlineStr">
        <is>
          <t>GM</t>
        </is>
      </c>
      <c r="E1931" s="3" t="n">
        <v>40</v>
      </c>
      <c r="F1931" s="4" t="n">
        <v>0.3</v>
      </c>
      <c r="G1931" s="5">
        <f>ROUND(E1931*(1+F1931),2)</f>
        <v>52.00</v>
      </c>
      <c r="H1931" s="5">
        <f>ROUND(G1931*NOTAS!$B$2,2)</f>
        <v>37509.97</v>
      </c>
      <c r="I1931" s="6">
        <f>ROUND(G1931*NOTAS!$B$3,0)</f>
        <v>168941</v>
      </c>
      <c r="J1931" s="2" t="n">
        <v>2</v>
      </c>
    </row>
    <row r="1932">
      <c r="A1932" s="2" t="inlineStr">
        <is>
          <t>551-1113L</t>
        </is>
      </c>
      <c r="B1932" s="2" t="inlineStr"/>
      <c r="C1932" s="2" t="inlineStr">
        <is>
          <t>FARO DELANTERO IZQUIERDO R-21 INY</t>
        </is>
      </c>
      <c r="D1932" s="2" t="inlineStr">
        <is>
          <t>DEPO</t>
        </is>
      </c>
      <c r="E1932" s="3" t="n">
        <v>50</v>
      </c>
      <c r="F1932" s="4" t="n">
        <v>0.3</v>
      </c>
      <c r="G1932" s="5">
        <f>ROUND(E1932*(1+F1932),2)</f>
        <v>65.00</v>
      </c>
      <c r="H1932" s="5">
        <f>ROUND(G1932*NOTAS!$B$2,2)</f>
        <v>46887.46</v>
      </c>
      <c r="I1932" s="6">
        <f>ROUND(G1932*NOTAS!$B$3,0)</f>
        <v>211177</v>
      </c>
      <c r="J1932" s="2" t="n">
        <v>1</v>
      </c>
    </row>
    <row r="1933">
      <c r="A1933" s="2" t="inlineStr">
        <is>
          <t>551-1109L</t>
        </is>
      </c>
      <c r="B1933" s="2" t="inlineStr"/>
      <c r="C1933" s="2" t="inlineStr">
        <is>
          <t>FARO DELANTERO IZQUIERDO R-5</t>
        </is>
      </c>
      <c r="D1933" s="2" t="inlineStr">
        <is>
          <t>DEPO</t>
        </is>
      </c>
      <c r="E1933" s="3" t="n">
        <v>20</v>
      </c>
      <c r="F1933" s="4" t="n">
        <v>0.3</v>
      </c>
      <c r="G1933" s="5">
        <f>ROUND(E1933*(1+F1933),2)</f>
        <v>26.00</v>
      </c>
      <c r="H1933" s="5">
        <f>ROUND(G1933*NOTAS!$B$2,2)</f>
        <v>18754.99</v>
      </c>
      <c r="I1933" s="6">
        <f>ROUND(G1933*NOTAS!$B$3,0)</f>
        <v>84471</v>
      </c>
      <c r="J1933" s="2" t="n">
        <v>1</v>
      </c>
    </row>
    <row r="1934">
      <c r="A1934" s="2" t="inlineStr"/>
      <c r="B1934" s="2" t="inlineStr"/>
      <c r="C1934" s="2" t="inlineStr">
        <is>
          <t>FARO DELANTERO IZQUIERDO R-CLIO 94/99</t>
        </is>
      </c>
      <c r="D1934" s="2" t="inlineStr">
        <is>
          <t>FRANCE</t>
        </is>
      </c>
      <c r="E1934" s="3" t="n">
        <v>50</v>
      </c>
      <c r="F1934" s="4" t="n">
        <v>0.3</v>
      </c>
      <c r="G1934" s="5">
        <f>ROUND(E1934*(1+F1934),2)</f>
        <v>65.00</v>
      </c>
      <c r="H1934" s="5">
        <f>ROUND(G1934*NOTAS!$B$2,2)</f>
        <v>46887.46</v>
      </c>
      <c r="I1934" s="6">
        <f>ROUND(G1934*NOTAS!$B$3,0)</f>
        <v>211177</v>
      </c>
      <c r="J1934" s="2" t="n">
        <v>1</v>
      </c>
    </row>
    <row r="1935">
      <c r="A1935" s="2" t="inlineStr">
        <is>
          <t>551-1106L</t>
        </is>
      </c>
      <c r="B1935" s="2" t="inlineStr"/>
      <c r="C1935" s="2" t="inlineStr">
        <is>
          <t>FARO DELANTERO IZQUIERDO R-GALA</t>
        </is>
      </c>
      <c r="D1935" s="2" t="inlineStr">
        <is>
          <t>DEPO</t>
        </is>
      </c>
      <c r="E1935" s="3" t="n">
        <v>40</v>
      </c>
      <c r="F1935" s="4" t="n">
        <v>0.3</v>
      </c>
      <c r="G1935" s="5">
        <f>ROUND(E1935*(1+F1935),2)</f>
        <v>52.00</v>
      </c>
      <c r="H1935" s="5">
        <f>ROUND(G1935*NOTAS!$B$2,2)</f>
        <v>37509.97</v>
      </c>
      <c r="I1935" s="6">
        <f>ROUND(G1935*NOTAS!$B$3,0)</f>
        <v>168941</v>
      </c>
      <c r="J1935" s="2" t="n">
        <v>2</v>
      </c>
    </row>
    <row r="1936">
      <c r="A1936" s="2" t="inlineStr">
        <is>
          <t>551-1136L</t>
        </is>
      </c>
      <c r="B1936" s="2" t="inlineStr"/>
      <c r="C1936" s="2" t="inlineStr">
        <is>
          <t>FARO DELANTERO IZQUIERDO R-SYMBOL/CLIO 00/03 DOBLE BOMBILLO</t>
        </is>
      </c>
      <c r="D1936" s="2" t="inlineStr">
        <is>
          <t>DEPO</t>
        </is>
      </c>
      <c r="E1936" s="3" t="n">
        <v>50</v>
      </c>
      <c r="F1936" s="4" t="n">
        <v>0.3</v>
      </c>
      <c r="G1936" s="5">
        <f>ROUND(E1936*(1+F1936),2)</f>
        <v>65.00</v>
      </c>
      <c r="H1936" s="5">
        <f>ROUND(G1936*NOTAS!$B$2,2)</f>
        <v>46887.46</v>
      </c>
      <c r="I1936" s="6">
        <f>ROUND(G1936*NOTAS!$B$3,0)</f>
        <v>211177</v>
      </c>
      <c r="J1936" s="2" t="n">
        <v>1</v>
      </c>
    </row>
    <row r="1937">
      <c r="A1937" s="2" t="inlineStr">
        <is>
          <t>96540260</t>
        </is>
      </c>
      <c r="B1937" s="2" t="inlineStr"/>
      <c r="C1937" s="2" t="inlineStr">
        <is>
          <t>FARO LUZ ANTINEBLINA EXPLORADORA DERECHA AVEO 04/05</t>
        </is>
      </c>
      <c r="D1937" s="2" t="inlineStr">
        <is>
          <t>GM</t>
        </is>
      </c>
      <c r="E1937" s="3" t="n">
        <v>10</v>
      </c>
      <c r="F1937" s="4" t="n">
        <v>0.3</v>
      </c>
      <c r="G1937" s="5">
        <f>ROUND(E1937*(1+F1937),2)</f>
        <v>13.00</v>
      </c>
      <c r="H1937" s="5">
        <f>ROUND(G1937*NOTAS!$B$2,2)</f>
        <v>9377.49</v>
      </c>
      <c r="I1937" s="6">
        <f>ROUND(G1937*NOTAS!$B$3,0)</f>
        <v>42235</v>
      </c>
      <c r="J1937" s="2" t="n">
        <v>4</v>
      </c>
    </row>
    <row r="1938">
      <c r="A1938" s="2" t="inlineStr">
        <is>
          <t>P96175354</t>
        </is>
      </c>
      <c r="B1938" s="2" t="inlineStr"/>
      <c r="C1938" s="2" t="inlineStr">
        <is>
          <t>FARO LUZ ANTINEBLINA EXPLORADORA DERECHA CIELO</t>
        </is>
      </c>
      <c r="D1938" s="2" t="inlineStr">
        <is>
          <t>VICHURA</t>
        </is>
      </c>
      <c r="E1938" s="3" t="n">
        <v>10</v>
      </c>
      <c r="F1938" s="4" t="n">
        <v>0.3</v>
      </c>
      <c r="G1938" s="5">
        <f>ROUND(E1938*(1+F1938),2)</f>
        <v>13.00</v>
      </c>
      <c r="H1938" s="5">
        <f>ROUND(G1938*NOTAS!$B$2,2)</f>
        <v>9377.49</v>
      </c>
      <c r="I1938" s="6">
        <f>ROUND(G1938*NOTAS!$B$3,0)</f>
        <v>42235</v>
      </c>
      <c r="J1938" s="2" t="n">
        <v>1</v>
      </c>
    </row>
    <row r="1939">
      <c r="A1939" s="2" t="inlineStr"/>
      <c r="B1939" s="2" t="inlineStr"/>
      <c r="C1939" s="2" t="inlineStr">
        <is>
          <t>FARO LUZ ANTINEBLINA EXPLORADORA DERECHA CORSA 00/06</t>
        </is>
      </c>
      <c r="D1939" s="2" t="inlineStr">
        <is>
          <t>GM</t>
        </is>
      </c>
      <c r="E1939" s="3" t="n">
        <v>15</v>
      </c>
      <c r="F1939" s="4" t="n">
        <v>0.3</v>
      </c>
      <c r="G1939" s="5">
        <f>ROUND(E1939*(1+F1939),2)</f>
        <v>19.50</v>
      </c>
      <c r="H1939" s="5">
        <f>ROUND(G1939*NOTAS!$B$2,2)</f>
        <v>14066.24</v>
      </c>
      <c r="I1939" s="6">
        <f>ROUND(G1939*NOTAS!$B$3,0)</f>
        <v>63353</v>
      </c>
      <c r="J1939" s="2" t="n">
        <v>1</v>
      </c>
    </row>
    <row r="1940">
      <c r="A1940" s="2" t="inlineStr">
        <is>
          <t>96540259</t>
        </is>
      </c>
      <c r="B1940" s="2" t="inlineStr"/>
      <c r="C1940" s="2" t="inlineStr">
        <is>
          <t>FARO LUZ ANTINEBLINA EXPLORADORA IZQUIERDA AVEO 04/05</t>
        </is>
      </c>
      <c r="D1940" s="2" t="inlineStr">
        <is>
          <t>GM</t>
        </is>
      </c>
      <c r="E1940" s="3" t="n">
        <v>10</v>
      </c>
      <c r="F1940" s="4" t="n">
        <v>0.3</v>
      </c>
      <c r="G1940" s="5">
        <f>ROUND(E1940*(1+F1940),2)</f>
        <v>13.00</v>
      </c>
      <c r="H1940" s="5">
        <f>ROUND(G1940*NOTAS!$B$2,2)</f>
        <v>9377.49</v>
      </c>
      <c r="I1940" s="6">
        <f>ROUND(G1940*NOTAS!$B$3,0)</f>
        <v>42235</v>
      </c>
      <c r="J1940" s="2" t="n">
        <v>4</v>
      </c>
    </row>
    <row r="1941">
      <c r="A1941" s="2" t="inlineStr">
        <is>
          <t>P96175353</t>
        </is>
      </c>
      <c r="B1941" s="2" t="inlineStr"/>
      <c r="C1941" s="2" t="inlineStr">
        <is>
          <t>FARO LUZ ANTINEBLINA EXPLORADORA IZQUIERDA CIELO</t>
        </is>
      </c>
      <c r="D1941" s="2" t="inlineStr">
        <is>
          <t>VICHURA</t>
        </is>
      </c>
      <c r="E1941" s="3" t="n">
        <v>10</v>
      </c>
      <c r="F1941" s="4" t="n">
        <v>0.3</v>
      </c>
      <c r="G1941" s="5">
        <f>ROUND(E1941*(1+F1941),2)</f>
        <v>13.00</v>
      </c>
      <c r="H1941" s="5">
        <f>ROUND(G1941*NOTAS!$B$2,2)</f>
        <v>9377.49</v>
      </c>
      <c r="I1941" s="6">
        <f>ROUND(G1941*NOTAS!$B$3,0)</f>
        <v>42235</v>
      </c>
      <c r="J1941" s="2" t="n">
        <v>1</v>
      </c>
    </row>
    <row r="1942">
      <c r="A1942" s="2" t="inlineStr"/>
      <c r="B1942" s="2" t="inlineStr"/>
      <c r="C1942" s="2" t="inlineStr">
        <is>
          <t>FARO LUZ ANTINEBLINA EXPLORADORA IZQUIERDA CORSA 00/06</t>
        </is>
      </c>
      <c r="D1942" s="2" t="inlineStr">
        <is>
          <t>GM</t>
        </is>
      </c>
      <c r="E1942" s="3" t="n">
        <v>15</v>
      </c>
      <c r="F1942" s="4" t="n">
        <v>0.3</v>
      </c>
      <c r="G1942" s="5">
        <f>ROUND(E1942*(1+F1942),2)</f>
        <v>19.50</v>
      </c>
      <c r="H1942" s="5">
        <f>ROUND(G1942*NOTAS!$B$2,2)</f>
        <v>14066.24</v>
      </c>
      <c r="I1942" s="6">
        <f>ROUND(G1942*NOTAS!$B$3,0)</f>
        <v>63353</v>
      </c>
      <c r="J1942" s="2" t="n">
        <v>1</v>
      </c>
    </row>
    <row r="1943">
      <c r="A1943" s="2" t="inlineStr"/>
      <c r="B1943" s="2" t="inlineStr"/>
      <c r="C1943" s="2" t="inlineStr">
        <is>
          <t>FILER IZQUIERDO MATIZ</t>
        </is>
      </c>
      <c r="D1943" s="2" t="inlineStr">
        <is>
          <t>KOREA</t>
        </is>
      </c>
      <c r="E1943" s="3" t="n">
        <v>10</v>
      </c>
      <c r="F1943" s="4" t="n">
        <v>0.3</v>
      </c>
      <c r="G1943" s="5">
        <f>ROUND(E1943*(1+F1943),2)</f>
        <v>13.00</v>
      </c>
      <c r="H1943" s="5">
        <f>ROUND(G1943*NOTAS!$B$2,2)</f>
        <v>9377.49</v>
      </c>
      <c r="I1943" s="6">
        <f>ROUND(G1943*NOTAS!$B$3,0)</f>
        <v>42235</v>
      </c>
      <c r="J1943" s="2" t="n">
        <v>2</v>
      </c>
    </row>
    <row r="1944">
      <c r="A1944" s="2" t="inlineStr">
        <is>
          <t>PH-253</t>
        </is>
      </c>
      <c r="B1944" s="2" t="inlineStr"/>
      <c r="C1944" s="2" t="inlineStr">
        <is>
          <t>FILTRO ACEITE</t>
        </is>
      </c>
      <c r="D1944" s="2" t="inlineStr">
        <is>
          <t>LUBERFINER</t>
        </is>
      </c>
      <c r="E1944" s="3" t="n">
        <v>6.1538</v>
      </c>
      <c r="F1944" s="4" t="n">
        <v>0.3</v>
      </c>
      <c r="G1944" s="5">
        <f>ROUND(E1944*(1+F1944),2)</f>
        <v>8.00</v>
      </c>
      <c r="H1944" s="5">
        <f>ROUND(G1944*NOTAS!$B$2,2)</f>
        <v>5770.76</v>
      </c>
      <c r="I1944" s="6">
        <f>ROUND(G1944*NOTAS!$B$3,0)</f>
        <v>25991</v>
      </c>
      <c r="J1944" s="2" t="n">
        <v>1</v>
      </c>
    </row>
    <row r="1945">
      <c r="A1945" s="2" t="inlineStr">
        <is>
          <t>L14006</t>
        </is>
      </c>
      <c r="B1945" s="2" t="inlineStr"/>
      <c r="C1945" s="2" t="inlineStr">
        <is>
          <t>FILTRO ACEITE</t>
        </is>
      </c>
      <c r="D1945" s="2" t="inlineStr">
        <is>
          <t>PUROLATOR</t>
        </is>
      </c>
      <c r="E1945" s="3" t="n">
        <v>6.1538</v>
      </c>
      <c r="F1945" s="4" t="n">
        <v>0.3</v>
      </c>
      <c r="G1945" s="5">
        <f>ROUND(E1945*(1+F1945),2)</f>
        <v>8.00</v>
      </c>
      <c r="H1945" s="5">
        <f>ROUND(G1945*NOTAS!$B$2,2)</f>
        <v>5770.76</v>
      </c>
      <c r="I1945" s="6">
        <f>ROUND(G1945*NOTAS!$B$3,0)</f>
        <v>25991</v>
      </c>
      <c r="J1945" s="2" t="n">
        <v>1</v>
      </c>
    </row>
    <row r="1946">
      <c r="A1946" s="2" t="inlineStr">
        <is>
          <t>PL25</t>
        </is>
      </c>
      <c r="B1946" s="2" t="inlineStr"/>
      <c r="C1946" s="2" t="inlineStr">
        <is>
          <t>FILTRO ACEITE</t>
        </is>
      </c>
      <c r="D1946" s="2" t="inlineStr">
        <is>
          <t>WIX</t>
        </is>
      </c>
      <c r="E1946" s="3" t="n">
        <v>6.1538</v>
      </c>
      <c r="F1946" s="4" t="n">
        <v>0.3</v>
      </c>
      <c r="G1946" s="5">
        <f>ROUND(E1946*(1+F1946),2)</f>
        <v>8.00</v>
      </c>
      <c r="H1946" s="5">
        <f>ROUND(G1946*NOTAS!$B$2,2)</f>
        <v>5770.76</v>
      </c>
      <c r="I1946" s="6">
        <f>ROUND(G1946*NOTAS!$B$3,0)</f>
        <v>25991</v>
      </c>
      <c r="J1946" s="2" t="n">
        <v>1</v>
      </c>
    </row>
    <row r="1947">
      <c r="A1947" s="2" t="inlineStr">
        <is>
          <t>51381</t>
        </is>
      </c>
      <c r="B1947" s="2" t="inlineStr"/>
      <c r="C1947" s="2" t="inlineStr">
        <is>
          <t>FILTRO ACEITE</t>
        </is>
      </c>
      <c r="D1947" s="2" t="inlineStr">
        <is>
          <t>WIX</t>
        </is>
      </c>
      <c r="E1947" s="3" t="n">
        <v>6.1538</v>
      </c>
      <c r="F1947" s="4" t="n">
        <v>0.3</v>
      </c>
      <c r="G1947" s="5">
        <f>ROUND(E1947*(1+F1947),2)</f>
        <v>8.00</v>
      </c>
      <c r="H1947" s="5">
        <f>ROUND(G1947*NOTAS!$B$2,2)</f>
        <v>5770.76</v>
      </c>
      <c r="I1947" s="6">
        <f>ROUND(G1947*NOTAS!$B$3,0)</f>
        <v>25991</v>
      </c>
      <c r="J1947" s="2" t="n">
        <v>1</v>
      </c>
    </row>
    <row r="1948">
      <c r="A1948" s="2" t="inlineStr">
        <is>
          <t>ML-3614</t>
        </is>
      </c>
      <c r="B1948" s="2" t="inlineStr"/>
      <c r="C1948" s="2" t="inlineStr">
        <is>
          <t>FILTRO ACEITE 4RUNNER/FORTUNER/HILUX</t>
        </is>
      </c>
      <c r="D1948" s="2" t="inlineStr">
        <is>
          <t>MILLARD</t>
        </is>
      </c>
      <c r="E1948" s="3" t="n">
        <v>3.4</v>
      </c>
      <c r="F1948" s="4" t="n">
        <v>0.3</v>
      </c>
      <c r="G1948" s="5">
        <f>ROUND(E1948*(1+F1948),2)</f>
        <v>4.42</v>
      </c>
      <c r="H1948" s="5">
        <f>ROUND(G1948*NOTAS!$B$2,2)</f>
        <v>3188.35</v>
      </c>
      <c r="I1948" s="6">
        <f>ROUND(G1948*NOTAS!$B$3,0)</f>
        <v>14360</v>
      </c>
      <c r="J1948" s="2" t="n">
        <v>3</v>
      </c>
    </row>
    <row r="1949">
      <c r="A1949" s="2" t="inlineStr">
        <is>
          <t>480-1012010</t>
        </is>
      </c>
      <c r="B1949" s="2" t="inlineStr"/>
      <c r="C1949" s="2" t="inlineStr">
        <is>
          <t>FILTRO ACEITE ARAUCA/X1</t>
        </is>
      </c>
      <c r="D1949" s="2" t="inlineStr">
        <is>
          <t>CHERY</t>
        </is>
      </c>
      <c r="E1949" s="3" t="n">
        <v>4.78</v>
      </c>
      <c r="F1949" s="4" t="n">
        <v>0.3</v>
      </c>
      <c r="G1949" s="5">
        <f>ROUND(E1949*(1+F1949),2)</f>
        <v>6.21</v>
      </c>
      <c r="H1949" s="5">
        <f>ROUND(G1949*NOTAS!$B$2,2)</f>
        <v>4479.56</v>
      </c>
      <c r="I1949" s="6">
        <f>ROUND(G1949*NOTAS!$B$3,0)</f>
        <v>20175</v>
      </c>
      <c r="J1949" s="2" t="n">
        <v>2</v>
      </c>
    </row>
    <row r="1950">
      <c r="A1950" s="2" t="inlineStr">
        <is>
          <t>51374</t>
        </is>
      </c>
      <c r="B1950" s="2" t="inlineStr"/>
      <c r="C1950" s="2" t="inlineStr">
        <is>
          <t>FILTRO ACEITE COROLLA …/89</t>
        </is>
      </c>
      <c r="D1950" s="2" t="inlineStr">
        <is>
          <t>WIX</t>
        </is>
      </c>
      <c r="E1950" s="3" t="n">
        <v>2</v>
      </c>
      <c r="F1950" s="4" t="n">
        <v>0.3</v>
      </c>
      <c r="G1950" s="5">
        <f>ROUND(E1950*(1+F1950),2)</f>
        <v>2.60</v>
      </c>
      <c r="H1950" s="5">
        <f>ROUND(G1950*NOTAS!$B$2,2)</f>
        <v>1875.50</v>
      </c>
      <c r="I1950" s="6">
        <f>ROUND(G1950*NOTAS!$B$3,0)</f>
        <v>8447</v>
      </c>
      <c r="J1950" s="2" t="n">
        <v>16</v>
      </c>
    </row>
    <row r="1951">
      <c r="A1951" s="2" t="inlineStr">
        <is>
          <t>51394</t>
        </is>
      </c>
      <c r="B1951" s="2" t="inlineStr"/>
      <c r="C1951" s="2" t="inlineStr">
        <is>
          <t>FILTRO ACEITE COROLLA/TERIOS/YARIS</t>
        </is>
      </c>
      <c r="D1951" s="2" t="inlineStr">
        <is>
          <t>WIX</t>
        </is>
      </c>
      <c r="E1951" s="3" t="n">
        <v>2</v>
      </c>
      <c r="F1951" s="4" t="n">
        <v>0.3</v>
      </c>
      <c r="G1951" s="5">
        <f>ROUND(E1951*(1+F1951),2)</f>
        <v>2.60</v>
      </c>
      <c r="H1951" s="5">
        <f>ROUND(G1951*NOTAS!$B$2,2)</f>
        <v>1875.50</v>
      </c>
      <c r="I1951" s="6">
        <f>ROUND(G1951*NOTAS!$B$3,0)</f>
        <v>8447</v>
      </c>
      <c r="J1951" s="2" t="n">
        <v>2</v>
      </c>
    </row>
    <row r="1952">
      <c r="A1952" s="2" t="inlineStr">
        <is>
          <t>ML-4967</t>
        </is>
      </c>
      <c r="B1952" s="2" t="inlineStr"/>
      <c r="C1952" s="2" t="inlineStr">
        <is>
          <t>FILTRO ACEITE COROLLA/TERIOS/YARIS</t>
        </is>
      </c>
      <c r="D1952" s="2" t="inlineStr">
        <is>
          <t>MILLARD</t>
        </is>
      </c>
      <c r="E1952" s="3" t="n">
        <v>2.97</v>
      </c>
      <c r="F1952" s="4" t="n">
        <v>0.3</v>
      </c>
      <c r="G1952" s="5">
        <f>ROUND(E1952*(1+F1952),2)</f>
        <v>3.86</v>
      </c>
      <c r="H1952" s="5">
        <f>ROUND(G1952*NOTAS!$B$2,2)</f>
        <v>2784.39</v>
      </c>
      <c r="I1952" s="6">
        <f>ROUND(G1952*NOTAS!$B$3,0)</f>
        <v>12541</v>
      </c>
      <c r="J1952" s="2" t="n">
        <v>12</v>
      </c>
    </row>
    <row r="1953">
      <c r="A1953" s="2" t="inlineStr">
        <is>
          <t>90915-YZZE1</t>
        </is>
      </c>
      <c r="B1953" s="2" t="inlineStr"/>
      <c r="C1953" s="2" t="inlineStr">
        <is>
          <t>FILTRO ACEITE COROLLA/TERIOS/YARIS</t>
        </is>
      </c>
      <c r="D1953" s="2" t="inlineStr">
        <is>
          <t>TOYOTA</t>
        </is>
      </c>
      <c r="E1953" s="3" t="n">
        <v>1.66</v>
      </c>
      <c r="F1953" s="4" t="n">
        <v>0.3</v>
      </c>
      <c r="G1953" s="5">
        <f>ROUND(E1953*(1+F1953),2)</f>
        <v>2.16</v>
      </c>
      <c r="H1953" s="5">
        <f>ROUND(G1953*NOTAS!$B$2,2)</f>
        <v>1558.11</v>
      </c>
      <c r="I1953" s="6">
        <f>ROUND(G1953*NOTAS!$B$3,0)</f>
        <v>7018</v>
      </c>
      <c r="J1953" s="2" t="n">
        <v>1</v>
      </c>
    </row>
    <row r="1954">
      <c r="A1954" s="2" t="inlineStr">
        <is>
          <t>51040</t>
        </is>
      </c>
      <c r="B1954" s="2" t="inlineStr"/>
      <c r="C1954" s="2" t="inlineStr">
        <is>
          <t>FILTRO ACEITE CORSA CIELO LANOS AVEO</t>
        </is>
      </c>
      <c r="D1954" s="2" t="inlineStr">
        <is>
          <t>WIX</t>
        </is>
      </c>
      <c r="E1954" s="3" t="n">
        <v>2</v>
      </c>
      <c r="F1954" s="4" t="n">
        <v>0.3</v>
      </c>
      <c r="G1954" s="5">
        <f>ROUND(E1954*(1+F1954),2)</f>
        <v>2.60</v>
      </c>
      <c r="H1954" s="5">
        <f>ROUND(G1954*NOTAS!$B$2,2)</f>
        <v>1875.50</v>
      </c>
      <c r="I1954" s="6">
        <f>ROUND(G1954*NOTAS!$B$3,0)</f>
        <v>8447</v>
      </c>
      <c r="J1954" s="2" t="n">
        <v>6</v>
      </c>
    </row>
    <row r="1955">
      <c r="A1955" s="2" t="inlineStr">
        <is>
          <t>PF47E</t>
        </is>
      </c>
      <c r="B1955" s="2" t="inlineStr"/>
      <c r="C1955" s="2" t="inlineStr">
        <is>
          <t>FILTRO ACEITE CORSA CIELO LANOS AVEO</t>
        </is>
      </c>
      <c r="D1955" s="2" t="inlineStr">
        <is>
          <t>ACDELCO</t>
        </is>
      </c>
      <c r="E1955" s="3" t="n">
        <v>3</v>
      </c>
      <c r="F1955" s="4" t="n">
        <v>0.3</v>
      </c>
      <c r="G1955" s="5">
        <f>ROUND(E1955*(1+F1955),2)</f>
        <v>3.90</v>
      </c>
      <c r="H1955" s="5">
        <f>ROUND(G1955*NOTAS!$B$2,2)</f>
        <v>2813.25</v>
      </c>
      <c r="I1955" s="6">
        <f>ROUND(G1955*NOTAS!$B$3,0)</f>
        <v>12671</v>
      </c>
      <c r="J1955" s="2" t="n">
        <v>1</v>
      </c>
    </row>
    <row r="1956">
      <c r="A1956" s="2" t="inlineStr">
        <is>
          <t>93156310</t>
        </is>
      </c>
      <c r="B1956" s="2" t="inlineStr"/>
      <c r="C1956" s="2" t="inlineStr">
        <is>
          <t>FILTRO ACEITE CORSA CIELO LANOS AVEO</t>
        </is>
      </c>
      <c r="D1956" s="2" t="inlineStr">
        <is>
          <t>GM</t>
        </is>
      </c>
      <c r="E1956" s="3" t="n">
        <v>3</v>
      </c>
      <c r="F1956" s="4" t="n">
        <v>0.3</v>
      </c>
      <c r="G1956" s="5">
        <f>ROUND(E1956*(1+F1956),2)</f>
        <v>3.90</v>
      </c>
      <c r="H1956" s="5">
        <f>ROUND(G1956*NOTAS!$B$2,2)</f>
        <v>2813.25</v>
      </c>
      <c r="I1956" s="6">
        <f>ROUND(G1956*NOTAS!$B$3,0)</f>
        <v>12671</v>
      </c>
      <c r="J1956" s="2" t="n">
        <v>7</v>
      </c>
    </row>
    <row r="1957">
      <c r="A1957" s="2" t="inlineStr">
        <is>
          <t>ML-3387</t>
        </is>
      </c>
      <c r="B1957" s="2" t="inlineStr"/>
      <c r="C1957" s="2" t="inlineStr">
        <is>
          <t>FILTRO ACEITE CORSA CIELO LANOS AVEO</t>
        </is>
      </c>
      <c r="D1957" s="2" t="inlineStr">
        <is>
          <t>MILLARD</t>
        </is>
      </c>
      <c r="E1957" s="3" t="n">
        <v>3.42</v>
      </c>
      <c r="F1957" s="4" t="n">
        <v>0.3</v>
      </c>
      <c r="G1957" s="5">
        <f>ROUND(E1957*(1+F1957),2)</f>
        <v>4.45</v>
      </c>
      <c r="H1957" s="5">
        <f>ROUND(G1957*NOTAS!$B$2,2)</f>
        <v>3209.99</v>
      </c>
      <c r="I1957" s="6">
        <f>ROUND(G1957*NOTAS!$B$3,0)</f>
        <v>14457</v>
      </c>
      <c r="J1957" s="2" t="n">
        <v>4</v>
      </c>
    </row>
    <row r="1958">
      <c r="A1958" s="2" t="inlineStr">
        <is>
          <t>AL-3387</t>
        </is>
      </c>
      <c r="B1958" s="2" t="inlineStr"/>
      <c r="C1958" s="2" t="inlineStr">
        <is>
          <t>FILTRO ACEITE CORSA CIELO LANOS AVEO</t>
        </is>
      </c>
      <c r="D1958" s="2" t="inlineStr">
        <is>
          <t>A1</t>
        </is>
      </c>
      <c r="E1958" s="3" t="n">
        <v>2.01</v>
      </c>
      <c r="F1958" s="4" t="n">
        <v>0.3</v>
      </c>
      <c r="G1958" s="5">
        <f>ROUND(E1958*(1+F1958),2)</f>
        <v>2.61</v>
      </c>
      <c r="H1958" s="5">
        <f>ROUND(G1958*NOTAS!$B$2,2)</f>
        <v>1882.71</v>
      </c>
      <c r="I1958" s="6">
        <f>ROUND(G1958*NOTAS!$B$3,0)</f>
        <v>8480</v>
      </c>
      <c r="J1958" s="2" t="n">
        <v>4</v>
      </c>
    </row>
    <row r="1959">
      <c r="A1959" s="2" t="inlineStr">
        <is>
          <t>CH3387/51040</t>
        </is>
      </c>
      <c r="B1959" s="2" t="inlineStr"/>
      <c r="C1959" s="2" t="inlineStr">
        <is>
          <t>FILTRO ACEITE CORSA CIELO LANOS AVEO</t>
        </is>
      </c>
      <c r="D1959" s="2" t="inlineStr">
        <is>
          <t>KTO</t>
        </is>
      </c>
      <c r="E1959" s="3" t="n">
        <v>1.86</v>
      </c>
      <c r="F1959" s="4" t="n">
        <v>0.3</v>
      </c>
      <c r="G1959" s="5">
        <f>ROUND(E1959*(1+F1959),2)</f>
        <v>2.42</v>
      </c>
      <c r="H1959" s="5">
        <f>ROUND(G1959*NOTAS!$B$2,2)</f>
        <v>1745.66</v>
      </c>
      <c r="I1959" s="6">
        <f>ROUND(G1959*NOTAS!$B$3,0)</f>
        <v>7862</v>
      </c>
      <c r="J1959" s="2" t="n">
        <v>3</v>
      </c>
    </row>
    <row r="1960">
      <c r="A1960" s="2" t="inlineStr">
        <is>
          <t>93185674</t>
        </is>
      </c>
      <c r="B1960" s="2" t="inlineStr"/>
      <c r="C1960" s="2" t="inlineStr">
        <is>
          <t>FILTRO ACEITE CRUZE</t>
        </is>
      </c>
      <c r="D1960" s="2" t="inlineStr">
        <is>
          <t>GM</t>
        </is>
      </c>
      <c r="E1960" s="3" t="n">
        <v>3</v>
      </c>
      <c r="F1960" s="4" t="n">
        <v>0.3</v>
      </c>
      <c r="G1960" s="5">
        <f>ROUND(E1960*(1+F1960),2)</f>
        <v>3.90</v>
      </c>
      <c r="H1960" s="5">
        <f>ROUND(G1960*NOTAS!$B$2,2)</f>
        <v>2813.25</v>
      </c>
      <c r="I1960" s="6">
        <f>ROUND(G1960*NOTAS!$B$3,0)</f>
        <v>12671</v>
      </c>
      <c r="J1960" s="2" t="n">
        <v>2</v>
      </c>
    </row>
    <row r="1961">
      <c r="A1961" s="2" t="inlineStr">
        <is>
          <t>EFL910</t>
        </is>
      </c>
      <c r="B1961" s="2" t="inlineStr">
        <is>
          <t>1S7G6714DA</t>
        </is>
      </c>
      <c r="C1961" s="2" t="inlineStr">
        <is>
          <t>FILTRO ACEITE ECOSPORT</t>
        </is>
      </c>
      <c r="D1961" s="2" t="inlineStr">
        <is>
          <t>FOMOCO</t>
        </is>
      </c>
      <c r="E1961" s="3" t="n">
        <v>5</v>
      </c>
      <c r="F1961" s="4" t="n">
        <v>0.3</v>
      </c>
      <c r="G1961" s="5">
        <f>ROUND(E1961*(1+F1961),2)</f>
        <v>6.50</v>
      </c>
      <c r="H1961" s="5">
        <f>ROUND(G1961*NOTAS!$B$2,2)</f>
        <v>4688.75</v>
      </c>
      <c r="I1961" s="6">
        <f>ROUND(G1961*NOTAS!$B$3,0)</f>
        <v>21118</v>
      </c>
      <c r="J1961" s="2" t="n">
        <v>2</v>
      </c>
    </row>
    <row r="1962">
      <c r="A1962" s="2" t="inlineStr">
        <is>
          <t>51372</t>
        </is>
      </c>
      <c r="B1962" s="2" t="inlineStr"/>
      <c r="C1962" s="2" t="inlineStr">
        <is>
          <t>FILTRO ACEITE EXPLORER 06/11 TRITON FX4</t>
        </is>
      </c>
      <c r="D1962" s="2" t="inlineStr">
        <is>
          <t>WIX</t>
        </is>
      </c>
      <c r="E1962" s="3" t="n">
        <v>3</v>
      </c>
      <c r="F1962" s="4" t="n">
        <v>0.3</v>
      </c>
      <c r="G1962" s="5">
        <f>ROUND(E1962*(1+F1962),2)</f>
        <v>3.90</v>
      </c>
      <c r="H1962" s="5">
        <f>ROUND(G1962*NOTAS!$B$2,2)</f>
        <v>2813.25</v>
      </c>
      <c r="I1962" s="6">
        <f>ROUND(G1962*NOTAS!$B$3,0)</f>
        <v>12671</v>
      </c>
      <c r="J1962" s="2" t="n">
        <v>2</v>
      </c>
    </row>
    <row r="1963">
      <c r="A1963" s="2" t="inlineStr">
        <is>
          <t>ML-2</t>
        </is>
      </c>
      <c r="B1963" s="2" t="inlineStr"/>
      <c r="C1963" s="2" t="inlineStr">
        <is>
          <t>FILTRO ACEITE F-150/FOTALEZA/EXPLORER</t>
        </is>
      </c>
      <c r="D1963" s="2" t="inlineStr">
        <is>
          <t>MILLARD</t>
        </is>
      </c>
      <c r="E1963" s="3" t="n">
        <v>4.85</v>
      </c>
      <c r="F1963" s="4" t="n">
        <v>0.3</v>
      </c>
      <c r="G1963" s="5">
        <f>ROUND(E1963*(1+F1963),2)</f>
        <v>6.31</v>
      </c>
      <c r="H1963" s="5">
        <f>ROUND(G1963*NOTAS!$B$2,2)</f>
        <v>4551.69</v>
      </c>
      <c r="I1963" s="6">
        <f>ROUND(G1963*NOTAS!$B$3,0)</f>
        <v>20500</v>
      </c>
      <c r="J1963" s="2" t="n">
        <v>2</v>
      </c>
    </row>
    <row r="1964">
      <c r="A1964" s="2" t="inlineStr">
        <is>
          <t>51334</t>
        </is>
      </c>
      <c r="B1964" s="2" t="inlineStr"/>
      <c r="C1964" s="2" t="inlineStr">
        <is>
          <t xml:space="preserve">FILTRO ACEITE FESTIVA HYUNDAI </t>
        </is>
      </c>
      <c r="D1964" s="2" t="inlineStr">
        <is>
          <t>WIX</t>
        </is>
      </c>
      <c r="E1964" s="3" t="n">
        <v>3</v>
      </c>
      <c r="F1964" s="4" t="n">
        <v>0.3</v>
      </c>
      <c r="G1964" s="5">
        <f>ROUND(E1964*(1+F1964),2)</f>
        <v>3.90</v>
      </c>
      <c r="H1964" s="5">
        <f>ROUND(G1964*NOTAS!$B$2,2)</f>
        <v>2813.25</v>
      </c>
      <c r="I1964" s="6">
        <f>ROUND(G1964*NOTAS!$B$3,0)</f>
        <v>12671</v>
      </c>
      <c r="J1964" s="2" t="n">
        <v>14</v>
      </c>
    </row>
    <row r="1965">
      <c r="A1965" s="2" t="inlineStr">
        <is>
          <t>ML-3807</t>
        </is>
      </c>
      <c r="B1965" s="2" t="inlineStr"/>
      <c r="C1965" s="2" t="inlineStr">
        <is>
          <t xml:space="preserve">FILTRO ACEITE FESTIVA HYUNDAI </t>
        </is>
      </c>
      <c r="D1965" s="2" t="inlineStr">
        <is>
          <t>MILLARD</t>
        </is>
      </c>
      <c r="E1965" s="3" t="n">
        <v>3.51</v>
      </c>
      <c r="F1965" s="4" t="n">
        <v>0.3</v>
      </c>
      <c r="G1965" s="5">
        <f>ROUND(E1965*(1+F1965),2)</f>
        <v>4.56</v>
      </c>
      <c r="H1965" s="5">
        <f>ROUND(G1965*NOTAS!$B$2,2)</f>
        <v>3289.34</v>
      </c>
      <c r="I1965" s="6">
        <f>ROUND(G1965*NOTAS!$B$3,0)</f>
        <v>14815</v>
      </c>
      <c r="J1965" s="2" t="n">
        <v>44</v>
      </c>
    </row>
    <row r="1966">
      <c r="A1966" s="2" t="inlineStr">
        <is>
          <t>51356</t>
        </is>
      </c>
      <c r="B1966" s="2" t="inlineStr"/>
      <c r="C1966" s="2" t="inlineStr">
        <is>
          <t>FILTRO ACEITE FIAT-PAL/SIE 1.3 16V FIRE</t>
        </is>
      </c>
      <c r="D1966" s="2" t="inlineStr">
        <is>
          <t>WIX</t>
        </is>
      </c>
      <c r="E1966" s="3" t="n">
        <v>2</v>
      </c>
      <c r="F1966" s="4" t="n">
        <v>0.3</v>
      </c>
      <c r="G1966" s="5">
        <f>ROUND(E1966*(1+F1966),2)</f>
        <v>2.60</v>
      </c>
      <c r="H1966" s="5">
        <f>ROUND(G1966*NOTAS!$B$2,2)</f>
        <v>1875.50</v>
      </c>
      <c r="I1966" s="6">
        <f>ROUND(G1966*NOTAS!$B$3,0)</f>
        <v>8447</v>
      </c>
      <c r="J1966" s="2" t="n">
        <v>2</v>
      </c>
    </row>
    <row r="1967">
      <c r="A1967" s="2" t="inlineStr">
        <is>
          <t>15318/3</t>
        </is>
      </c>
      <c r="B1967" s="2" t="inlineStr"/>
      <c r="C1967" s="2" t="inlineStr">
        <is>
          <t>FILTRO ACEITE FIAT-PAL/SIE 1.3 16V FIRE</t>
        </is>
      </c>
      <c r="D1967" s="2" t="inlineStr">
        <is>
          <t>MEAT DORIA</t>
        </is>
      </c>
      <c r="E1967" s="3" t="n">
        <v>3</v>
      </c>
      <c r="F1967" s="4" t="n">
        <v>0.3</v>
      </c>
      <c r="G1967" s="5">
        <f>ROUND(E1967*(1+F1967),2)</f>
        <v>3.90</v>
      </c>
      <c r="H1967" s="5">
        <f>ROUND(G1967*NOTAS!$B$2,2)</f>
        <v>2813.25</v>
      </c>
      <c r="I1967" s="6">
        <f>ROUND(G1967*NOTAS!$B$3,0)</f>
        <v>12671</v>
      </c>
      <c r="J1967" s="2" t="n">
        <v>1</v>
      </c>
    </row>
    <row r="1968">
      <c r="A1968" s="2" t="inlineStr">
        <is>
          <t>AL5949</t>
        </is>
      </c>
      <c r="B1968" s="2" t="inlineStr"/>
      <c r="C1968" s="2" t="inlineStr">
        <is>
          <t>FILTRO ACEITE FIAT-PAL/SIE 1.3 16V FIRE</t>
        </is>
      </c>
      <c r="D1968" s="2" t="inlineStr">
        <is>
          <t>A1</t>
        </is>
      </c>
      <c r="E1968" s="3" t="n">
        <v>1.75</v>
      </c>
      <c r="F1968" s="4" t="n">
        <v>0.3</v>
      </c>
      <c r="G1968" s="5">
        <f>ROUND(E1968*(1+F1968),2)</f>
        <v>2.28</v>
      </c>
      <c r="H1968" s="5">
        <f>ROUND(G1968*NOTAS!$B$2,2)</f>
        <v>1644.67</v>
      </c>
      <c r="I1968" s="6">
        <f>ROUND(G1968*NOTAS!$B$3,0)</f>
        <v>7407</v>
      </c>
      <c r="J1968" s="2" t="n">
        <v>2</v>
      </c>
    </row>
    <row r="1969">
      <c r="A1969" s="2" t="inlineStr">
        <is>
          <t>ML-5949</t>
        </is>
      </c>
      <c r="B1969" s="2" t="inlineStr"/>
      <c r="C1969" s="2" t="inlineStr">
        <is>
          <t>FILTRO ACEITE FIAT-PAL/SIE 1.3 16V FIRE</t>
        </is>
      </c>
      <c r="D1969" s="2" t="inlineStr">
        <is>
          <t>MILLARD</t>
        </is>
      </c>
      <c r="E1969" s="3" t="n">
        <v>3.25</v>
      </c>
      <c r="F1969" s="4" t="n">
        <v>0.3</v>
      </c>
      <c r="G1969" s="5">
        <f>ROUND(E1969*(1+F1969),2)</f>
        <v>4.23</v>
      </c>
      <c r="H1969" s="5">
        <f>ROUND(G1969*NOTAS!$B$2,2)</f>
        <v>3051.29</v>
      </c>
      <c r="I1969" s="6">
        <f>ROUND(G1969*NOTAS!$B$3,0)</f>
        <v>13743</v>
      </c>
      <c r="J1969" s="2" t="n">
        <v>7</v>
      </c>
    </row>
    <row r="1970">
      <c r="A1970" s="2" t="inlineStr">
        <is>
          <t>AL-4558</t>
        </is>
      </c>
      <c r="B1970" s="2" t="inlineStr"/>
      <c r="C1970" s="2" t="inlineStr">
        <is>
          <t>FILTRO ACEITE FIAT-PAL/SIE UNO INY</t>
        </is>
      </c>
      <c r="D1970" s="2" t="inlineStr">
        <is>
          <t>A1</t>
        </is>
      </c>
      <c r="E1970" s="3" t="n">
        <v>2.31</v>
      </c>
      <c r="F1970" s="4" t="n">
        <v>0.3</v>
      </c>
      <c r="G1970" s="5">
        <f>ROUND(E1970*(1+F1970),2)</f>
        <v>3.00</v>
      </c>
      <c r="H1970" s="5">
        <f>ROUND(G1970*NOTAS!$B$2,2)</f>
        <v>2164.04</v>
      </c>
      <c r="I1970" s="6">
        <f>ROUND(G1970*NOTAS!$B$3,0)</f>
        <v>9747</v>
      </c>
      <c r="J1970" s="2" t="n">
        <v>7</v>
      </c>
    </row>
    <row r="1971">
      <c r="A1971" s="2" t="inlineStr">
        <is>
          <t>AL16</t>
        </is>
      </c>
      <c r="B1971" s="2" t="inlineStr"/>
      <c r="C1971" s="2" t="inlineStr">
        <is>
          <t>FILTRO ACEITE FIAT-UNO …/89</t>
        </is>
      </c>
      <c r="D1971" s="2" t="inlineStr">
        <is>
          <t>A1</t>
        </is>
      </c>
      <c r="E1971" s="3" t="n">
        <v>2.74</v>
      </c>
      <c r="F1971" s="4" t="n">
        <v>0.3</v>
      </c>
      <c r="G1971" s="5">
        <f>ROUND(E1971*(1+F1971),2)</f>
        <v>3.56</v>
      </c>
      <c r="H1971" s="5">
        <f>ROUND(G1971*NOTAS!$B$2,2)</f>
        <v>2567.99</v>
      </c>
      <c r="I1971" s="6">
        <f>ROUND(G1971*NOTAS!$B$3,0)</f>
        <v>11566</v>
      </c>
      <c r="J1971" s="2" t="n">
        <v>2</v>
      </c>
    </row>
    <row r="1972">
      <c r="A1972" s="2" t="inlineStr">
        <is>
          <t>PL-16</t>
        </is>
      </c>
      <c r="B1972" s="2" t="inlineStr"/>
      <c r="C1972" s="2" t="inlineStr">
        <is>
          <t>FILTRO ACEITE FIAT-UNO …/89</t>
        </is>
      </c>
      <c r="D1972" s="2" t="inlineStr">
        <is>
          <t>LEE MARTIN</t>
        </is>
      </c>
      <c r="E1972" s="3" t="n">
        <v>2</v>
      </c>
      <c r="F1972" s="4" t="n">
        <v>0.3</v>
      </c>
      <c r="G1972" s="5">
        <f>ROUND(E1972*(1+F1972),2)</f>
        <v>2.60</v>
      </c>
      <c r="H1972" s="5">
        <f>ROUND(G1972*NOTAS!$B$2,2)</f>
        <v>1875.50</v>
      </c>
      <c r="I1972" s="6">
        <f>ROUND(G1972*NOTAS!$B$3,0)</f>
        <v>8447</v>
      </c>
      <c r="J1972" s="2" t="n">
        <v>4</v>
      </c>
    </row>
    <row r="1973">
      <c r="A1973" s="2" t="inlineStr">
        <is>
          <t>951041</t>
        </is>
      </c>
      <c r="B1973" s="2" t="inlineStr"/>
      <c r="C1973" s="2" t="inlineStr">
        <is>
          <t>FILTRO ACEITE FIAT-UNO 96/99</t>
        </is>
      </c>
      <c r="D1973" s="2" t="inlineStr">
        <is>
          <t>WIX</t>
        </is>
      </c>
      <c r="E1973" s="3" t="n">
        <v>2</v>
      </c>
      <c r="F1973" s="4" t="n">
        <v>0.3</v>
      </c>
      <c r="G1973" s="5">
        <f>ROUND(E1973*(1+F1973),2)</f>
        <v>2.60</v>
      </c>
      <c r="H1973" s="5">
        <f>ROUND(G1973*NOTAS!$B$2,2)</f>
        <v>1875.50</v>
      </c>
      <c r="I1973" s="6">
        <f>ROUND(G1973*NOTAS!$B$3,0)</f>
        <v>8447</v>
      </c>
      <c r="J1973" s="2" t="n">
        <v>5</v>
      </c>
    </row>
    <row r="1974">
      <c r="A1974" s="2" t="inlineStr">
        <is>
          <t>51019</t>
        </is>
      </c>
      <c r="B1974" s="2" t="inlineStr"/>
      <c r="C1974" s="2" t="inlineStr">
        <is>
          <t>FILTRO ACEITE FIESTA 1.25/1.3</t>
        </is>
      </c>
      <c r="D1974" s="2" t="inlineStr">
        <is>
          <t>WIX</t>
        </is>
      </c>
      <c r="E1974" s="3" t="n">
        <v>2</v>
      </c>
      <c r="F1974" s="4" t="n">
        <v>0.3</v>
      </c>
      <c r="G1974" s="5">
        <f>ROUND(E1974*(1+F1974),2)</f>
        <v>2.60</v>
      </c>
      <c r="H1974" s="5">
        <f>ROUND(G1974*NOTAS!$B$2,2)</f>
        <v>1875.50</v>
      </c>
      <c r="I1974" s="6">
        <f>ROUND(G1974*NOTAS!$B$3,0)</f>
        <v>8447</v>
      </c>
      <c r="J1974" s="2" t="n">
        <v>10</v>
      </c>
    </row>
    <row r="1975">
      <c r="A1975" s="2" t="inlineStr">
        <is>
          <t>ML-3600</t>
        </is>
      </c>
      <c r="B1975" s="2" t="inlineStr"/>
      <c r="C1975" s="2" t="inlineStr">
        <is>
          <t>FILTRO ACEITE FIESTA/KA</t>
        </is>
      </c>
      <c r="D1975" s="2" t="inlineStr">
        <is>
          <t>MILLARD</t>
        </is>
      </c>
      <c r="E1975" s="3" t="n">
        <v>4.14</v>
      </c>
      <c r="F1975" s="4" t="n">
        <v>0.3</v>
      </c>
      <c r="G1975" s="5">
        <f>ROUND(E1975*(1+F1975),2)</f>
        <v>5.38</v>
      </c>
      <c r="H1975" s="5">
        <f>ROUND(G1975*NOTAS!$B$2,2)</f>
        <v>3880.84</v>
      </c>
      <c r="I1975" s="6">
        <f>ROUND(G1975*NOTAS!$B$3,0)</f>
        <v>17479</v>
      </c>
      <c r="J1975" s="2" t="n">
        <v>8</v>
      </c>
    </row>
    <row r="1976">
      <c r="A1976" s="2" t="inlineStr">
        <is>
          <t>FL-400S</t>
        </is>
      </c>
      <c r="B1976" s="2" t="inlineStr"/>
      <c r="C1976" s="2" t="inlineStr">
        <is>
          <t>FILTRO ACEITE FIESTA/KA</t>
        </is>
      </c>
      <c r="D1976" s="2" t="inlineStr">
        <is>
          <t>MOTORCRAFT</t>
        </is>
      </c>
      <c r="E1976" s="3" t="n">
        <v>5</v>
      </c>
      <c r="F1976" s="4" t="n">
        <v>0.3</v>
      </c>
      <c r="G1976" s="5">
        <f>ROUND(E1976*(1+F1976),2)</f>
        <v>6.50</v>
      </c>
      <c r="H1976" s="5">
        <f>ROUND(G1976*NOTAS!$B$2,2)</f>
        <v>4688.75</v>
      </c>
      <c r="I1976" s="6">
        <f>ROUND(G1976*NOTAS!$B$3,0)</f>
        <v>21118</v>
      </c>
      <c r="J1976" s="2" t="n">
        <v>36</v>
      </c>
    </row>
    <row r="1977">
      <c r="A1977" s="2" t="inlineStr">
        <is>
          <t>ML-43</t>
        </is>
      </c>
      <c r="B1977" s="2" t="inlineStr"/>
      <c r="C1977" s="2" t="inlineStr">
        <is>
          <t>FILTRO ACEITE PL81</t>
        </is>
      </c>
      <c r="D1977" s="2" t="inlineStr">
        <is>
          <t>MILLARD</t>
        </is>
      </c>
      <c r="E1977" s="3" t="n">
        <v>3</v>
      </c>
      <c r="F1977" s="4" t="n">
        <v>0.3</v>
      </c>
      <c r="G1977" s="5">
        <f>ROUND(E1977*(1+F1977),2)</f>
        <v>3.90</v>
      </c>
      <c r="H1977" s="5">
        <f>ROUND(G1977*NOTAS!$B$2,2)</f>
        <v>2813.25</v>
      </c>
      <c r="I1977" s="6">
        <f>ROUND(G1977*NOTAS!$B$3,0)</f>
        <v>12671</v>
      </c>
      <c r="J1977" s="2" t="n">
        <v>16</v>
      </c>
    </row>
    <row r="1978">
      <c r="A1978" s="2" t="inlineStr">
        <is>
          <t>51380</t>
        </is>
      </c>
      <c r="B1978" s="2" t="inlineStr"/>
      <c r="C1978" s="2" t="inlineStr">
        <is>
          <t>FILTRO ACEITE R-18/FUEGO/21</t>
        </is>
      </c>
      <c r="D1978" s="2" t="inlineStr">
        <is>
          <t>WIX</t>
        </is>
      </c>
      <c r="E1978" s="3" t="n">
        <v>3</v>
      </c>
      <c r="F1978" s="4" t="n">
        <v>0.3</v>
      </c>
      <c r="G1978" s="5">
        <f>ROUND(E1978*(1+F1978),2)</f>
        <v>3.90</v>
      </c>
      <c r="H1978" s="5">
        <f>ROUND(G1978*NOTAS!$B$2,2)</f>
        <v>2813.25</v>
      </c>
      <c r="I1978" s="6">
        <f>ROUND(G1978*NOTAS!$B$3,0)</f>
        <v>12671</v>
      </c>
      <c r="J1978" s="2" t="n">
        <v>11</v>
      </c>
    </row>
    <row r="1979">
      <c r="A1979" s="2" t="inlineStr">
        <is>
          <t>PL35</t>
        </is>
      </c>
      <c r="B1979" s="2" t="inlineStr"/>
      <c r="C1979" s="2" t="inlineStr">
        <is>
          <t>FILTRO ACEITE R-5/12</t>
        </is>
      </c>
      <c r="D1979" s="2" t="inlineStr">
        <is>
          <t>LEE MARTIN</t>
        </is>
      </c>
      <c r="E1979" s="3" t="n">
        <v>2</v>
      </c>
      <c r="F1979" s="4" t="n">
        <v>0.3</v>
      </c>
      <c r="G1979" s="5">
        <f>ROUND(E1979*(1+F1979),2)</f>
        <v>2.60</v>
      </c>
      <c r="H1979" s="5">
        <f>ROUND(G1979*NOTAS!$B$2,2)</f>
        <v>1875.50</v>
      </c>
      <c r="I1979" s="6">
        <f>ROUND(G1979*NOTAS!$B$3,0)</f>
        <v>8447</v>
      </c>
      <c r="J1979" s="2" t="n">
        <v>1</v>
      </c>
    </row>
    <row r="1980">
      <c r="A1980" s="2" t="inlineStr">
        <is>
          <t>V-51397</t>
        </is>
      </c>
      <c r="B1980" s="2" t="inlineStr"/>
      <c r="C1980" s="2" t="inlineStr">
        <is>
          <t>FILTRO ACEITE R-CLIO</t>
        </is>
      </c>
      <c r="D1980" s="2" t="inlineStr">
        <is>
          <t>WIX</t>
        </is>
      </c>
      <c r="E1980" s="3" t="n">
        <v>2</v>
      </c>
      <c r="F1980" s="4" t="n">
        <v>0.3</v>
      </c>
      <c r="G1980" s="5">
        <f>ROUND(E1980*(1+F1980),2)</f>
        <v>2.60</v>
      </c>
      <c r="H1980" s="5">
        <f>ROUND(G1980*NOTAS!$B$2,2)</f>
        <v>1875.50</v>
      </c>
      <c r="I1980" s="6">
        <f>ROUND(G1980*NOTAS!$B$3,0)</f>
        <v>8447</v>
      </c>
      <c r="J1980" s="2" t="n">
        <v>1</v>
      </c>
    </row>
    <row r="1981">
      <c r="A1981" s="2" t="inlineStr">
        <is>
          <t>ML-5796</t>
        </is>
      </c>
      <c r="B1981" s="2" t="inlineStr"/>
      <c r="C1981" s="2" t="inlineStr">
        <is>
          <t>FILTRO ACEITE R-SYMB/MEG/CL</t>
        </is>
      </c>
      <c r="D1981" s="2" t="inlineStr">
        <is>
          <t>MILLARD</t>
        </is>
      </c>
      <c r="E1981" s="3" t="n">
        <v>2.94</v>
      </c>
      <c r="F1981" s="4" t="n">
        <v>0.3</v>
      </c>
      <c r="G1981" s="5">
        <f>ROUND(E1981*(1+F1981),2)</f>
        <v>3.82</v>
      </c>
      <c r="H1981" s="5">
        <f>ROUND(G1981*NOTAS!$B$2,2)</f>
        <v>2755.54</v>
      </c>
      <c r="I1981" s="6">
        <f>ROUND(G1981*NOTAS!$B$3,0)</f>
        <v>12411</v>
      </c>
      <c r="J1981" s="2" t="n">
        <v>10</v>
      </c>
    </row>
    <row r="1982">
      <c r="A1982" s="2" t="inlineStr">
        <is>
          <t>51083</t>
        </is>
      </c>
      <c r="B1982" s="2" t="inlineStr"/>
      <c r="C1982" s="2" t="inlineStr">
        <is>
          <t xml:space="preserve">FILTRO ACEITE R-SYMB/MEG/CL </t>
        </is>
      </c>
      <c r="D1982" s="2" t="inlineStr">
        <is>
          <t>WIX</t>
        </is>
      </c>
      <c r="E1982" s="3" t="n">
        <v>2</v>
      </c>
      <c r="F1982" s="4" t="n">
        <v>0.3</v>
      </c>
      <c r="G1982" s="5">
        <f>ROUND(E1982*(1+F1982),2)</f>
        <v>2.60</v>
      </c>
      <c r="H1982" s="5">
        <f>ROUND(G1982*NOTAS!$B$2,2)</f>
        <v>1875.50</v>
      </c>
      <c r="I1982" s="6">
        <f>ROUND(G1982*NOTAS!$B$3,0)</f>
        <v>8447</v>
      </c>
      <c r="J1982" s="2" t="n">
        <v>7</v>
      </c>
    </row>
    <row r="1983">
      <c r="A1983" s="2" t="inlineStr">
        <is>
          <t>951008</t>
        </is>
      </c>
      <c r="B1983" s="2" t="inlineStr"/>
      <c r="C1983" s="2" t="inlineStr">
        <is>
          <t>FILTRO ACEITE R-SYMB/MEG/CL/LOG</t>
        </is>
      </c>
      <c r="D1983" s="2" t="inlineStr">
        <is>
          <t>WIX</t>
        </is>
      </c>
      <c r="E1983" s="3" t="n">
        <v>2</v>
      </c>
      <c r="F1983" s="4" t="n">
        <v>0.3</v>
      </c>
      <c r="G1983" s="5">
        <f>ROUND(E1983*(1+F1983),2)</f>
        <v>2.60</v>
      </c>
      <c r="H1983" s="5">
        <f>ROUND(G1983*NOTAS!$B$2,2)</f>
        <v>1875.50</v>
      </c>
      <c r="I1983" s="6">
        <f>ROUND(G1983*NOTAS!$B$3,0)</f>
        <v>8447</v>
      </c>
      <c r="J1983" s="2" t="n">
        <v>9</v>
      </c>
    </row>
    <row r="1984">
      <c r="A1984" s="2" t="inlineStr">
        <is>
          <t>7700112686</t>
        </is>
      </c>
      <c r="B1984" s="2" t="inlineStr"/>
      <c r="C1984" s="2" t="inlineStr">
        <is>
          <t>FILTRO ACEITE R-TWINGO METALICO</t>
        </is>
      </c>
      <c r="D1984" s="2" t="inlineStr">
        <is>
          <t>RENAULT</t>
        </is>
      </c>
      <c r="E1984" s="3" t="n">
        <v>3</v>
      </c>
      <c r="F1984" s="4" t="n">
        <v>0.3</v>
      </c>
      <c r="G1984" s="5">
        <f>ROUND(E1984*(1+F1984),2)</f>
        <v>3.90</v>
      </c>
      <c r="H1984" s="5">
        <f>ROUND(G1984*NOTAS!$B$2,2)</f>
        <v>2813.25</v>
      </c>
      <c r="I1984" s="6">
        <f>ROUND(G1984*NOTAS!$B$3,0)</f>
        <v>12671</v>
      </c>
      <c r="J1984" s="2" t="n">
        <v>6</v>
      </c>
    </row>
    <row r="1985">
      <c r="A1985" s="2" t="inlineStr">
        <is>
          <t>ML-5885</t>
        </is>
      </c>
      <c r="B1985" s="2" t="inlineStr"/>
      <c r="C1985" s="2" t="inlineStr">
        <is>
          <t>FILTRO ACEITE R-TWINGO METALICO</t>
        </is>
      </c>
      <c r="D1985" s="2" t="inlineStr">
        <is>
          <t>MILLARD</t>
        </is>
      </c>
      <c r="E1985" s="3" t="n">
        <v>2.56</v>
      </c>
      <c r="F1985" s="4" t="n">
        <v>0.3</v>
      </c>
      <c r="G1985" s="5">
        <f>ROUND(E1985*(1+F1985),2)</f>
        <v>3.33</v>
      </c>
      <c r="H1985" s="5">
        <f>ROUND(G1985*NOTAS!$B$2,2)</f>
        <v>2402.08</v>
      </c>
      <c r="I1985" s="6">
        <f>ROUND(G1985*NOTAS!$B$3,0)</f>
        <v>10819</v>
      </c>
      <c r="J1985" s="2" t="n">
        <v>1</v>
      </c>
    </row>
    <row r="1986">
      <c r="A1986" s="2" t="inlineStr">
        <is>
          <t>7701206705</t>
        </is>
      </c>
      <c r="B1986" s="2" t="inlineStr"/>
      <c r="C1986" s="2" t="inlineStr">
        <is>
          <t>FILTRO ACEITE R-TWINGO PAPEL</t>
        </is>
      </c>
      <c r="D1986" s="2" t="inlineStr">
        <is>
          <t>RENAULT</t>
        </is>
      </c>
      <c r="E1986" s="3" t="n">
        <v>5</v>
      </c>
      <c r="F1986" s="4" t="n">
        <v>0.3</v>
      </c>
      <c r="G1986" s="5">
        <f>ROUND(E1986*(1+F1986),2)</f>
        <v>6.50</v>
      </c>
      <c r="H1986" s="5">
        <f>ROUND(G1986*NOTAS!$B$2,2)</f>
        <v>4688.75</v>
      </c>
      <c r="I1986" s="6">
        <f>ROUND(G1986*NOTAS!$B$3,0)</f>
        <v>21118</v>
      </c>
      <c r="J1986" s="2" t="n">
        <v>1</v>
      </c>
    </row>
    <row r="1987">
      <c r="A1987" s="2" t="inlineStr">
        <is>
          <t>ML-9437</t>
        </is>
      </c>
      <c r="B1987" s="2" t="inlineStr"/>
      <c r="C1987" s="2" t="inlineStr">
        <is>
          <t>FILTRO ACEITE R-TWINGO PAPEL</t>
        </is>
      </c>
      <c r="D1987" s="2" t="inlineStr">
        <is>
          <t>MILLARD</t>
        </is>
      </c>
      <c r="E1987" s="3" t="n">
        <v>4</v>
      </c>
      <c r="F1987" s="4" t="n">
        <v>0.3</v>
      </c>
      <c r="G1987" s="5">
        <f>ROUND(E1987*(1+F1987),2)</f>
        <v>5.20</v>
      </c>
      <c r="H1987" s="5">
        <f>ROUND(G1987*NOTAS!$B$2,2)</f>
        <v>3751.00</v>
      </c>
      <c r="I1987" s="6">
        <f>ROUND(G1987*NOTAS!$B$3,0)</f>
        <v>16894</v>
      </c>
      <c r="J1987" s="2" t="n">
        <v>7</v>
      </c>
    </row>
    <row r="1988">
      <c r="A1988" s="2" t="inlineStr">
        <is>
          <t>PF1233M</t>
        </is>
      </c>
      <c r="B1988" s="2" t="inlineStr"/>
      <c r="C1988" s="2" t="inlineStr">
        <is>
          <t>FILTRO ACEITE SPARK TICO MATIZ</t>
        </is>
      </c>
      <c r="D1988" s="2" t="inlineStr">
        <is>
          <t>ACDELCO</t>
        </is>
      </c>
      <c r="E1988" s="3" t="n">
        <v>3</v>
      </c>
      <c r="F1988" s="4" t="n">
        <v>0.3</v>
      </c>
      <c r="G1988" s="5">
        <f>ROUND(E1988*(1+F1988),2)</f>
        <v>3.90</v>
      </c>
      <c r="H1988" s="5">
        <f>ROUND(G1988*NOTAS!$B$2,2)</f>
        <v>2813.25</v>
      </c>
      <c r="I1988" s="6">
        <f>ROUND(G1988*NOTAS!$B$3,0)</f>
        <v>12671</v>
      </c>
      <c r="J1988" s="2" t="n">
        <v>8</v>
      </c>
    </row>
    <row r="1989">
      <c r="A1989" s="2" t="inlineStr">
        <is>
          <t>96570765</t>
        </is>
      </c>
      <c r="B1989" s="2" t="inlineStr"/>
      <c r="C1989" s="2" t="inlineStr">
        <is>
          <t>FILTRO ACEITE SPARK TICO MATIZ</t>
        </is>
      </c>
      <c r="D1989" s="2" t="inlineStr">
        <is>
          <t>GM</t>
        </is>
      </c>
      <c r="E1989" s="3" t="n">
        <v>3</v>
      </c>
      <c r="F1989" s="4" t="n">
        <v>0.3</v>
      </c>
      <c r="G1989" s="5">
        <f>ROUND(E1989*(1+F1989),2)</f>
        <v>3.90</v>
      </c>
      <c r="H1989" s="5">
        <f>ROUND(G1989*NOTAS!$B$2,2)</f>
        <v>2813.25</v>
      </c>
      <c r="I1989" s="6">
        <f>ROUND(G1989*NOTAS!$B$3,0)</f>
        <v>12671</v>
      </c>
      <c r="J1989" s="2" t="n">
        <v>1</v>
      </c>
    </row>
    <row r="1990">
      <c r="A1990" s="2" t="inlineStr">
        <is>
          <t>PL-394</t>
        </is>
      </c>
      <c r="B1990" s="2" t="inlineStr"/>
      <c r="C1990" s="2" t="inlineStr">
        <is>
          <t>FILTRO ACEITE SPARK TICO MATIZ</t>
        </is>
      </c>
      <c r="D1990" s="2" t="inlineStr">
        <is>
          <t>LEE MARTIN</t>
        </is>
      </c>
      <c r="E1990" s="3" t="n">
        <v>2</v>
      </c>
      <c r="F1990" s="4" t="n">
        <v>0.3</v>
      </c>
      <c r="G1990" s="5">
        <f>ROUND(E1990*(1+F1990),2)</f>
        <v>2.60</v>
      </c>
      <c r="H1990" s="5">
        <f>ROUND(G1990*NOTAS!$B$2,2)</f>
        <v>1875.50</v>
      </c>
      <c r="I1990" s="6">
        <f>ROUND(G1990*NOTAS!$B$3,0)</f>
        <v>8447</v>
      </c>
      <c r="J1990" s="2" t="n">
        <v>11</v>
      </c>
    </row>
    <row r="1991">
      <c r="A1991" s="2" t="inlineStr">
        <is>
          <t>51348</t>
        </is>
      </c>
      <c r="B1991" s="2" t="inlineStr"/>
      <c r="C1991" s="2" t="inlineStr">
        <is>
          <t>FILTRO ACEITE SWIFT NEON</t>
        </is>
      </c>
      <c r="D1991" s="2" t="inlineStr">
        <is>
          <t>WIX</t>
        </is>
      </c>
      <c r="E1991" s="3" t="n">
        <v>2</v>
      </c>
      <c r="F1991" s="4" t="n">
        <v>0.3</v>
      </c>
      <c r="G1991" s="5">
        <f>ROUND(E1991*(1+F1991),2)</f>
        <v>2.60</v>
      </c>
      <c r="H1991" s="5">
        <f>ROUND(G1991*NOTAS!$B$2,2)</f>
        <v>1875.50</v>
      </c>
      <c r="I1991" s="6">
        <f>ROUND(G1991*NOTAS!$B$3,0)</f>
        <v>8447</v>
      </c>
      <c r="J1991" s="2" t="n">
        <v>29</v>
      </c>
    </row>
    <row r="1992">
      <c r="A1992" s="2" t="inlineStr">
        <is>
          <t>481H-1012010</t>
        </is>
      </c>
      <c r="B1992" s="2" t="inlineStr"/>
      <c r="C1992" s="2" t="inlineStr">
        <is>
          <t>FILTRO ACEITE ORINOCO</t>
        </is>
      </c>
      <c r="D1992" s="2" t="inlineStr">
        <is>
          <t>CHERY</t>
        </is>
      </c>
      <c r="E1992" s="3" t="n">
        <v>4.78</v>
      </c>
      <c r="F1992" s="4" t="n">
        <v>0.3</v>
      </c>
      <c r="G1992" s="5">
        <f>ROUND(E1992*(1+F1992),2)</f>
        <v>6.21</v>
      </c>
      <c r="H1992" s="5">
        <f>ROUND(G1992*NOTAS!$B$2,2)</f>
        <v>4479.56</v>
      </c>
      <c r="I1992" s="6">
        <f>ROUND(G1992*NOTAS!$B$3,0)</f>
        <v>20175</v>
      </c>
      <c r="J1992" s="2" t="n">
        <v>2</v>
      </c>
    </row>
    <row r="1993">
      <c r="A1993" s="2" t="inlineStr">
        <is>
          <t>CA-660</t>
        </is>
      </c>
      <c r="B1993" s="2" t="inlineStr"/>
      <c r="C1993" s="2" t="inlineStr">
        <is>
          <t>FILTRO AIRE</t>
        </is>
      </c>
      <c r="D1993" s="2" t="inlineStr">
        <is>
          <t>CAR</t>
        </is>
      </c>
      <c r="E1993" s="3" t="n">
        <v>7.6923</v>
      </c>
      <c r="F1993" s="4" t="n">
        <v>0.3</v>
      </c>
      <c r="G1993" s="5">
        <f>ROUND(E1993*(1+F1993),2)</f>
        <v>10.00</v>
      </c>
      <c r="H1993" s="5">
        <f>ROUND(G1993*NOTAS!$B$2,2)</f>
        <v>7213.46</v>
      </c>
      <c r="I1993" s="6">
        <f>ROUND(G1993*NOTAS!$B$3,0)</f>
        <v>32489</v>
      </c>
      <c r="J1993" s="2" t="n">
        <v>2</v>
      </c>
    </row>
    <row r="1994">
      <c r="A1994" s="2" t="inlineStr">
        <is>
          <t>96539649</t>
        </is>
      </c>
      <c r="B1994" s="2" t="inlineStr"/>
      <c r="C1994" s="2" t="inlineStr">
        <is>
          <t>FILTRO AIRE ACONDICIONADO AVEO</t>
        </is>
      </c>
      <c r="D1994" s="2" t="inlineStr">
        <is>
          <t>A1</t>
        </is>
      </c>
      <c r="E1994" s="3" t="n">
        <v>3.29</v>
      </c>
      <c r="F1994" s="4" t="n">
        <v>0.3</v>
      </c>
      <c r="G1994" s="5">
        <f>ROUND(E1994*(1+F1994),2)</f>
        <v>4.28</v>
      </c>
      <c r="H1994" s="5">
        <f>ROUND(G1994*NOTAS!$B$2,2)</f>
        <v>3087.36</v>
      </c>
      <c r="I1994" s="6">
        <f>ROUND(G1994*NOTAS!$B$3,0)</f>
        <v>13905</v>
      </c>
      <c r="J1994" s="2" t="n">
        <v>2</v>
      </c>
    </row>
    <row r="1995">
      <c r="A1995" s="2" t="inlineStr">
        <is>
          <t>96962173</t>
        </is>
      </c>
      <c r="B1995" s="2" t="inlineStr"/>
      <c r="C1995" s="2" t="inlineStr">
        <is>
          <t>FILTRO AIRE ACONDICIONADO AVEO</t>
        </is>
      </c>
      <c r="D1995" s="2" t="inlineStr">
        <is>
          <t>GM</t>
        </is>
      </c>
      <c r="E1995" s="3" t="n">
        <v>7</v>
      </c>
      <c r="F1995" s="4" t="n">
        <v>0.3</v>
      </c>
      <c r="G1995" s="5">
        <f>ROUND(E1995*(1+F1995),2)</f>
        <v>9.10</v>
      </c>
      <c r="H1995" s="5">
        <f>ROUND(G1995*NOTAS!$B$2,2)</f>
        <v>6564.24</v>
      </c>
      <c r="I1995" s="6">
        <f>ROUND(G1995*NOTAS!$B$3,0)</f>
        <v>29565</v>
      </c>
      <c r="J1995" s="2" t="n">
        <v>2</v>
      </c>
    </row>
    <row r="1996">
      <c r="A1996" s="2" t="inlineStr">
        <is>
          <t>5M3518D543AA</t>
        </is>
      </c>
      <c r="B1996" s="2" t="inlineStr"/>
      <c r="C1996" s="2" t="inlineStr">
        <is>
          <t>FILTRO AIRE ACONDICIONADO FIESTA …/03 KA</t>
        </is>
      </c>
      <c r="D1996" s="2" t="inlineStr">
        <is>
          <t>FORD</t>
        </is>
      </c>
      <c r="E1996" s="3" t="n">
        <v>8</v>
      </c>
      <c r="F1996" s="4" t="n">
        <v>0.3</v>
      </c>
      <c r="G1996" s="5">
        <f>ROUND(E1996*(1+F1996),2)</f>
        <v>10.40</v>
      </c>
      <c r="H1996" s="5">
        <f>ROUND(G1996*NOTAS!$B$2,2)</f>
        <v>7501.99</v>
      </c>
      <c r="I1996" s="6">
        <f>ROUND(G1996*NOTAS!$B$3,0)</f>
        <v>33788</v>
      </c>
      <c r="J1996" s="2" t="n">
        <v>1</v>
      </c>
    </row>
    <row r="1997">
      <c r="A1997" s="2" t="inlineStr">
        <is>
          <t>M11-8107915</t>
        </is>
      </c>
      <c r="B1997" s="2" t="inlineStr"/>
      <c r="C1997" s="2" t="inlineStr">
        <is>
          <t>FILTRO AIRE ACONDICIONADO ORINOCO</t>
        </is>
      </c>
      <c r="D1997" s="2" t="inlineStr">
        <is>
          <t>CHERY</t>
        </is>
      </c>
      <c r="E1997" s="3" t="n">
        <v>3.57</v>
      </c>
      <c r="F1997" s="4" t="n">
        <v>0.3</v>
      </c>
      <c r="G1997" s="5">
        <f>ROUND(E1997*(1+F1997),2)</f>
        <v>4.64</v>
      </c>
      <c r="H1997" s="5">
        <f>ROUND(G1997*NOTAS!$B$2,2)</f>
        <v>3347.04</v>
      </c>
      <c r="I1997" s="6">
        <f>ROUND(G1997*NOTAS!$B$3,0)</f>
        <v>15075</v>
      </c>
      <c r="J1997" s="2" t="n">
        <v>2</v>
      </c>
    </row>
    <row r="1998">
      <c r="A1998" s="2" t="inlineStr">
        <is>
          <t>46117</t>
        </is>
      </c>
      <c r="B1998" s="2" t="inlineStr"/>
      <c r="C1998" s="2" t="inlineStr">
        <is>
          <t>FILTRO AIRE BLAZER 95/96</t>
        </is>
      </c>
      <c r="D1998" s="2" t="inlineStr">
        <is>
          <t>WIX</t>
        </is>
      </c>
      <c r="E1998" s="3" t="n">
        <v>3</v>
      </c>
      <c r="F1998" s="4" t="n">
        <v>0.3</v>
      </c>
      <c r="G1998" s="5">
        <f>ROUND(E1998*(1+F1998),2)</f>
        <v>3.90</v>
      </c>
      <c r="H1998" s="5">
        <f>ROUND(G1998*NOTAS!$B$2,2)</f>
        <v>2813.25</v>
      </c>
      <c r="I1998" s="6">
        <f>ROUND(G1998*NOTAS!$B$3,0)</f>
        <v>12671</v>
      </c>
      <c r="J1998" s="2" t="n">
        <v>2</v>
      </c>
    </row>
    <row r="1999">
      <c r="A1999" s="2" t="inlineStr">
        <is>
          <t>46117</t>
        </is>
      </c>
      <c r="B1999" s="2" t="inlineStr"/>
      <c r="C1999" s="2" t="inlineStr">
        <is>
          <t>FILTRO AIRE BLAZER 95/96</t>
        </is>
      </c>
      <c r="D1999" s="2" t="inlineStr">
        <is>
          <t>HEAVY DUTY</t>
        </is>
      </c>
      <c r="E1999" s="3" t="n">
        <v>3</v>
      </c>
      <c r="F1999" s="4" t="n">
        <v>0.3</v>
      </c>
      <c r="G1999" s="5">
        <f>ROUND(E1999*(1+F1999),2)</f>
        <v>3.90</v>
      </c>
      <c r="H1999" s="5">
        <f>ROUND(G1999*NOTAS!$B$2,2)</f>
        <v>2813.25</v>
      </c>
      <c r="I1999" s="6">
        <f>ROUND(G1999*NOTAS!$B$3,0)</f>
        <v>12671</v>
      </c>
      <c r="J1999" s="2" t="n">
        <v>1</v>
      </c>
    </row>
    <row r="2000">
      <c r="A2000" s="2" t="inlineStr">
        <is>
          <t>46174</t>
        </is>
      </c>
      <c r="B2000" s="2" t="inlineStr"/>
      <c r="C2000" s="2" t="inlineStr">
        <is>
          <t>FILTRO AIRE BRONCO</t>
        </is>
      </c>
      <c r="D2000" s="2" t="inlineStr">
        <is>
          <t>WIX</t>
        </is>
      </c>
      <c r="E2000" s="3" t="n">
        <v>3</v>
      </c>
      <c r="F2000" s="4" t="n">
        <v>0.3</v>
      </c>
      <c r="G2000" s="5">
        <f>ROUND(E2000*(1+F2000),2)</f>
        <v>3.90</v>
      </c>
      <c r="H2000" s="5">
        <f>ROUND(G2000*NOTAS!$B$2,2)</f>
        <v>2813.25</v>
      </c>
      <c r="I2000" s="6">
        <f>ROUND(G2000*NOTAS!$B$3,0)</f>
        <v>12671</v>
      </c>
      <c r="J2000" s="2" t="n">
        <v>1</v>
      </c>
    </row>
    <row r="2001">
      <c r="A2001" s="2" t="inlineStr">
        <is>
          <t>A24378</t>
        </is>
      </c>
      <c r="B2001" s="2" t="inlineStr"/>
      <c r="C2001" s="2" t="inlineStr">
        <is>
          <t>FILTRO AIRE BRONCO</t>
        </is>
      </c>
      <c r="D2001" s="2" t="inlineStr">
        <is>
          <t>PUROLATOR</t>
        </is>
      </c>
      <c r="E2001" s="3" t="n">
        <v>3</v>
      </c>
      <c r="F2001" s="4" t="n">
        <v>0.3</v>
      </c>
      <c r="G2001" s="5">
        <f>ROUND(E2001*(1+F2001),2)</f>
        <v>3.90</v>
      </c>
      <c r="H2001" s="5">
        <f>ROUND(G2001*NOTAS!$B$2,2)</f>
        <v>2813.25</v>
      </c>
      <c r="I2001" s="6">
        <f>ROUND(G2001*NOTAS!$B$3,0)</f>
        <v>12671</v>
      </c>
      <c r="J2001" s="2" t="n">
        <v>1</v>
      </c>
    </row>
    <row r="2002">
      <c r="A2002" s="2" t="inlineStr">
        <is>
          <t>CAL-187</t>
        </is>
      </c>
      <c r="B2002" s="2" t="inlineStr"/>
      <c r="C2002" s="2" t="inlineStr">
        <is>
          <t>FILTRO AIRE C30</t>
        </is>
      </c>
      <c r="D2002" s="2" t="inlineStr">
        <is>
          <t>LEE MARTIN</t>
        </is>
      </c>
      <c r="E2002" s="3" t="n">
        <v>2</v>
      </c>
      <c r="F2002" s="4" t="n">
        <v>0.3</v>
      </c>
      <c r="G2002" s="5">
        <f>ROUND(E2002*(1+F2002),2)</f>
        <v>2.60</v>
      </c>
      <c r="H2002" s="5">
        <f>ROUND(G2002*NOTAS!$B$2,2)</f>
        <v>1875.50</v>
      </c>
      <c r="I2002" s="6">
        <f>ROUND(G2002*NOTAS!$B$3,0)</f>
        <v>8447</v>
      </c>
      <c r="J2002" s="2" t="n">
        <v>1</v>
      </c>
    </row>
    <row r="2003">
      <c r="A2003" s="2" t="inlineStr">
        <is>
          <t>CAL-189</t>
        </is>
      </c>
      <c r="B2003" s="2" t="inlineStr"/>
      <c r="C2003" s="2" t="inlineStr">
        <is>
          <t>FILTRO AIRE CAPRICE 6C</t>
        </is>
      </c>
      <c r="D2003" s="2" t="inlineStr">
        <is>
          <t>LEE MARTIN</t>
        </is>
      </c>
      <c r="E2003" s="3" t="n">
        <v>2</v>
      </c>
      <c r="F2003" s="4" t="n">
        <v>0.3</v>
      </c>
      <c r="G2003" s="5">
        <f>ROUND(E2003*(1+F2003),2)</f>
        <v>2.60</v>
      </c>
      <c r="H2003" s="5">
        <f>ROUND(G2003*NOTAS!$B$2,2)</f>
        <v>1875.50</v>
      </c>
      <c r="I2003" s="6">
        <f>ROUND(G2003*NOTAS!$B$3,0)</f>
        <v>8447</v>
      </c>
      <c r="J2003" s="2" t="n">
        <v>3</v>
      </c>
    </row>
    <row r="2004">
      <c r="A2004" s="2" t="inlineStr">
        <is>
          <t>MK-3916</t>
        </is>
      </c>
      <c r="B2004" s="2" t="inlineStr"/>
      <c r="C2004" s="2" t="inlineStr">
        <is>
          <t>FILTRO AIRE CAVALIER</t>
        </is>
      </c>
      <c r="D2004" s="2" t="inlineStr">
        <is>
          <t>MILLARD</t>
        </is>
      </c>
      <c r="E2004" s="3" t="n">
        <v>3</v>
      </c>
      <c r="F2004" s="4" t="n">
        <v>0.3</v>
      </c>
      <c r="G2004" s="5">
        <f>ROUND(E2004*(1+F2004),2)</f>
        <v>3.90</v>
      </c>
      <c r="H2004" s="5">
        <f>ROUND(G2004*NOTAS!$B$2,2)</f>
        <v>2813.25</v>
      </c>
      <c r="I2004" s="6">
        <f>ROUND(G2004*NOTAS!$B$3,0)</f>
        <v>12671</v>
      </c>
      <c r="J2004" s="2" t="n">
        <v>8</v>
      </c>
    </row>
    <row r="2005">
      <c r="A2005" s="2" t="inlineStr">
        <is>
          <t>42039</t>
        </is>
      </c>
      <c r="B2005" s="2" t="inlineStr"/>
      <c r="C2005" s="2" t="inlineStr">
        <is>
          <t>FILTRO AIRE CENTURY</t>
        </is>
      </c>
      <c r="D2005" s="2" t="inlineStr">
        <is>
          <t>WIX</t>
        </is>
      </c>
      <c r="E2005" s="3" t="n">
        <v>2</v>
      </c>
      <c r="F2005" s="4" t="n">
        <v>0.3</v>
      </c>
      <c r="G2005" s="5">
        <f>ROUND(E2005*(1+F2005),2)</f>
        <v>2.60</v>
      </c>
      <c r="H2005" s="5">
        <f>ROUND(G2005*NOTAS!$B$2,2)</f>
        <v>1875.50</v>
      </c>
      <c r="I2005" s="6">
        <f>ROUND(G2005*NOTAS!$B$3,0)</f>
        <v>8447</v>
      </c>
      <c r="J2005" s="2" t="n">
        <v>1</v>
      </c>
    </row>
    <row r="2006">
      <c r="A2006" s="2" t="inlineStr">
        <is>
          <t>42039</t>
        </is>
      </c>
      <c r="B2006" s="2" t="inlineStr"/>
      <c r="C2006" s="2" t="inlineStr">
        <is>
          <t>FILTRO AIRE CENTURY</t>
        </is>
      </c>
      <c r="D2006" s="2" t="inlineStr">
        <is>
          <t>LEE MARTIN</t>
        </is>
      </c>
      <c r="E2006" s="3" t="n">
        <v>2</v>
      </c>
      <c r="F2006" s="4" t="n">
        <v>0.3</v>
      </c>
      <c r="G2006" s="5">
        <f>ROUND(E2006*(1+F2006),2)</f>
        <v>2.60</v>
      </c>
      <c r="H2006" s="5">
        <f>ROUND(G2006*NOTAS!$B$2,2)</f>
        <v>1875.50</v>
      </c>
      <c r="I2006" s="6">
        <f>ROUND(G2006*NOTAS!$B$3,0)</f>
        <v>8447</v>
      </c>
      <c r="J2006" s="2" t="n">
        <v>1</v>
      </c>
    </row>
    <row r="2007">
      <c r="A2007" s="2" t="inlineStr">
        <is>
          <t>WCA-3537</t>
        </is>
      </c>
      <c r="B2007" s="2" t="inlineStr"/>
      <c r="C2007" s="2" t="inlineStr">
        <is>
          <t>FILTRO AIRE CENTURY</t>
        </is>
      </c>
      <c r="D2007" s="2" t="inlineStr">
        <is>
          <t>WEB</t>
        </is>
      </c>
      <c r="E2007" s="3" t="n">
        <v>2</v>
      </c>
      <c r="F2007" s="4" t="n">
        <v>0.3</v>
      </c>
      <c r="G2007" s="5">
        <f>ROUND(E2007*(1+F2007),2)</f>
        <v>2.60</v>
      </c>
      <c r="H2007" s="5">
        <f>ROUND(G2007*NOTAS!$B$2,2)</f>
        <v>1875.50</v>
      </c>
      <c r="I2007" s="6">
        <f>ROUND(G2007*NOTAS!$B$3,0)</f>
        <v>8447</v>
      </c>
      <c r="J2007" s="2" t="n">
        <v>6</v>
      </c>
    </row>
    <row r="2008">
      <c r="A2008" s="2" t="inlineStr">
        <is>
          <t>46077</t>
        </is>
      </c>
      <c r="B2008" s="2" t="inlineStr"/>
      <c r="C2008" s="2" t="inlineStr">
        <is>
          <t>FILTRO AIRE CHEROKEE 97/01 RAM 2500 94/01 DAKOTA 04/08</t>
        </is>
      </c>
      <c r="D2008" s="2" t="inlineStr">
        <is>
          <t>HEAVY DUTY</t>
        </is>
      </c>
      <c r="E2008" s="3" t="n">
        <v>2</v>
      </c>
      <c r="F2008" s="4" t="n">
        <v>0.3</v>
      </c>
      <c r="G2008" s="5">
        <f>ROUND(E2008*(1+F2008),2)</f>
        <v>2.60</v>
      </c>
      <c r="H2008" s="5">
        <f>ROUND(G2008*NOTAS!$B$2,2)</f>
        <v>1875.50</v>
      </c>
      <c r="I2008" s="6">
        <f>ROUND(G2008*NOTAS!$B$3,0)</f>
        <v>8447</v>
      </c>
      <c r="J2008" s="2" t="n">
        <v>5</v>
      </c>
    </row>
    <row r="2009">
      <c r="A2009" s="2" t="inlineStr">
        <is>
          <t>CAL-303</t>
        </is>
      </c>
      <c r="B2009" s="2" t="inlineStr"/>
      <c r="C2009" s="2" t="inlineStr">
        <is>
          <t>FILTRO AIRE CHEVETTE</t>
        </is>
      </c>
      <c r="D2009" s="2" t="inlineStr">
        <is>
          <t>LEE MARTIN</t>
        </is>
      </c>
      <c r="E2009" s="3" t="n">
        <v>2</v>
      </c>
      <c r="F2009" s="4" t="n">
        <v>0.3</v>
      </c>
      <c r="G2009" s="5">
        <f>ROUND(E2009*(1+F2009),2)</f>
        <v>2.60</v>
      </c>
      <c r="H2009" s="5">
        <f>ROUND(G2009*NOTAS!$B$2,2)</f>
        <v>1875.50</v>
      </c>
      <c r="I2009" s="6">
        <f>ROUND(G2009*NOTAS!$B$3,0)</f>
        <v>8447</v>
      </c>
      <c r="J2009" s="2" t="n">
        <v>3</v>
      </c>
    </row>
    <row r="2010">
      <c r="A2010" s="2" t="inlineStr">
        <is>
          <t>A45090</t>
        </is>
      </c>
      <c r="B2010" s="2" t="inlineStr"/>
      <c r="C2010" s="2" t="inlineStr">
        <is>
          <t>FILTRO AIRE CHEVROLET PICK UP</t>
        </is>
      </c>
      <c r="D2010" s="2" t="inlineStr">
        <is>
          <t>PUROLATOR</t>
        </is>
      </c>
      <c r="E2010" s="3" t="n">
        <v>2</v>
      </c>
      <c r="F2010" s="4" t="n">
        <v>0.3</v>
      </c>
      <c r="G2010" s="5">
        <f>ROUND(E2010*(1+F2010),2)</f>
        <v>2.60</v>
      </c>
      <c r="H2010" s="5">
        <f>ROUND(G2010*NOTAS!$B$2,2)</f>
        <v>1875.50</v>
      </c>
      <c r="I2010" s="6">
        <f>ROUND(G2010*NOTAS!$B$3,0)</f>
        <v>8447</v>
      </c>
      <c r="J2010" s="2" t="n">
        <v>2</v>
      </c>
    </row>
    <row r="2011">
      <c r="A2011" s="2" t="inlineStr">
        <is>
          <t>WA-5371</t>
        </is>
      </c>
      <c r="B2011" s="2" t="inlineStr"/>
      <c r="C2011" s="2" t="inlineStr">
        <is>
          <t>FILTRO AIRE CIELO</t>
        </is>
      </c>
      <c r="D2011" s="2" t="inlineStr">
        <is>
          <t>WEB</t>
        </is>
      </c>
      <c r="E2011" s="3" t="n">
        <v>2</v>
      </c>
      <c r="F2011" s="4" t="n">
        <v>0.3</v>
      </c>
      <c r="G2011" s="5">
        <f>ROUND(E2011*(1+F2011),2)</f>
        <v>2.60</v>
      </c>
      <c r="H2011" s="5">
        <f>ROUND(G2011*NOTAS!$B$2,2)</f>
        <v>1875.50</v>
      </c>
      <c r="I2011" s="6">
        <f>ROUND(G2011*NOTAS!$B$3,0)</f>
        <v>8447</v>
      </c>
      <c r="J2011" s="2" t="n">
        <v>1</v>
      </c>
    </row>
    <row r="2012">
      <c r="A2012" s="2" t="inlineStr">
        <is>
          <t>92060868</t>
        </is>
      </c>
      <c r="B2012" s="2" t="inlineStr"/>
      <c r="C2012" s="2" t="inlineStr">
        <is>
          <t>FILTRO AIRE CIELO</t>
        </is>
      </c>
      <c r="D2012" s="2" t="inlineStr">
        <is>
          <t>GM</t>
        </is>
      </c>
      <c r="E2012" s="3" t="n">
        <v>2</v>
      </c>
      <c r="F2012" s="4" t="n">
        <v>0.3</v>
      </c>
      <c r="G2012" s="5">
        <f>ROUND(E2012*(1+F2012),2)</f>
        <v>2.60</v>
      </c>
      <c r="H2012" s="5">
        <f>ROUND(G2012*NOTAS!$B$2,2)</f>
        <v>1875.50</v>
      </c>
      <c r="I2012" s="6">
        <f>ROUND(G2012*NOTAS!$B$3,0)</f>
        <v>8447</v>
      </c>
      <c r="J2012" s="2" t="n">
        <v>38</v>
      </c>
    </row>
    <row r="2013">
      <c r="A2013" s="2" t="inlineStr">
        <is>
          <t>46007</t>
        </is>
      </c>
      <c r="B2013" s="2" t="inlineStr"/>
      <c r="C2013" s="2" t="inlineStr">
        <is>
          <t>FILTRO AIRE COROLLA .../89</t>
        </is>
      </c>
      <c r="D2013" s="2" t="inlineStr">
        <is>
          <t>WIX</t>
        </is>
      </c>
      <c r="E2013" s="3" t="n">
        <v>2</v>
      </c>
      <c r="F2013" s="4" t="n">
        <v>0.3</v>
      </c>
      <c r="G2013" s="5">
        <f>ROUND(E2013*(1+F2013),2)</f>
        <v>2.60</v>
      </c>
      <c r="H2013" s="5">
        <f>ROUND(G2013*NOTAS!$B$2,2)</f>
        <v>1875.50</v>
      </c>
      <c r="I2013" s="6">
        <f>ROUND(G2013*NOTAS!$B$3,0)</f>
        <v>8447</v>
      </c>
      <c r="J2013" s="2" t="n">
        <v>11</v>
      </c>
    </row>
    <row r="2014">
      <c r="A2014" s="2" t="inlineStr">
        <is>
          <t>17801-15060</t>
        </is>
      </c>
      <c r="B2014" s="2" t="inlineStr"/>
      <c r="C2014" s="2" t="inlineStr">
        <is>
          <t>FILTRO AIRE COROLLA 90/98</t>
        </is>
      </c>
      <c r="D2014" s="2" t="inlineStr">
        <is>
          <t>TOYOTA</t>
        </is>
      </c>
      <c r="E2014" s="3" t="n">
        <v>3</v>
      </c>
      <c r="F2014" s="4" t="n">
        <v>0.3</v>
      </c>
      <c r="G2014" s="5">
        <f>ROUND(E2014*(1+F2014),2)</f>
        <v>3.90</v>
      </c>
      <c r="H2014" s="5">
        <f>ROUND(G2014*NOTAS!$B$2,2)</f>
        <v>2813.25</v>
      </c>
      <c r="I2014" s="6">
        <f>ROUND(G2014*NOTAS!$B$3,0)</f>
        <v>12671</v>
      </c>
      <c r="J2014" s="2" t="n">
        <v>1</v>
      </c>
    </row>
    <row r="2015">
      <c r="A2015" s="2" t="inlineStr">
        <is>
          <t>46229</t>
        </is>
      </c>
      <c r="B2015" s="2" t="inlineStr"/>
      <c r="C2015" s="2" t="inlineStr">
        <is>
          <t>FILTRO AIRE COROLLA 90/98</t>
        </is>
      </c>
      <c r="D2015" s="2" t="inlineStr">
        <is>
          <t>WIX</t>
        </is>
      </c>
      <c r="E2015" s="3" t="n">
        <v>3</v>
      </c>
      <c r="F2015" s="4" t="n">
        <v>0.3</v>
      </c>
      <c r="G2015" s="5">
        <f>ROUND(E2015*(1+F2015),2)</f>
        <v>3.90</v>
      </c>
      <c r="H2015" s="5">
        <f>ROUND(G2015*NOTAS!$B$2,2)</f>
        <v>2813.25</v>
      </c>
      <c r="I2015" s="6">
        <f>ROUND(G2015*NOTAS!$B$3,0)</f>
        <v>12671</v>
      </c>
      <c r="J2015" s="2" t="n">
        <v>1</v>
      </c>
    </row>
    <row r="2016">
      <c r="A2016" s="2" t="inlineStr">
        <is>
          <t>17801-15060</t>
        </is>
      </c>
      <c r="B2016" s="2" t="inlineStr"/>
      <c r="C2016" s="2" t="inlineStr">
        <is>
          <t>FILTRO AIRE COROLLA 90/98 SKY</t>
        </is>
      </c>
      <c r="D2016" s="2" t="inlineStr">
        <is>
          <t>TOYOTA</t>
        </is>
      </c>
      <c r="E2016" s="3" t="n">
        <v>3</v>
      </c>
      <c r="F2016" s="4" t="n">
        <v>0.3</v>
      </c>
      <c r="G2016" s="5">
        <f>ROUND(E2016*(1+F2016),2)</f>
        <v>3.90</v>
      </c>
      <c r="H2016" s="5">
        <f>ROUND(G2016*NOTAS!$B$2,2)</f>
        <v>2813.25</v>
      </c>
      <c r="I2016" s="6">
        <f>ROUND(G2016*NOTAS!$B$3,0)</f>
        <v>12671</v>
      </c>
      <c r="J2016" s="2" t="n">
        <v>1</v>
      </c>
    </row>
    <row r="2017">
      <c r="A2017" s="2" t="inlineStr">
        <is>
          <t>17801-21050</t>
        </is>
      </c>
      <c r="B2017" s="2" t="inlineStr"/>
      <c r="C2017" s="2" t="inlineStr">
        <is>
          <t xml:space="preserve">FILTRO AIRE YARIS/COROLLA 06/10 </t>
        </is>
      </c>
      <c r="D2017" s="2" t="inlineStr">
        <is>
          <t>A1</t>
        </is>
      </c>
      <c r="E2017" s="3" t="n">
        <v>2.88</v>
      </c>
      <c r="F2017" s="4" t="n">
        <v>0.3</v>
      </c>
      <c r="G2017" s="5">
        <f>ROUND(E2017*(1+F2017),2)</f>
        <v>3.74</v>
      </c>
      <c r="H2017" s="5">
        <f>ROUND(G2017*NOTAS!$B$2,2)</f>
        <v>2697.83</v>
      </c>
      <c r="I2017" s="6">
        <f>ROUND(G2017*NOTAS!$B$3,0)</f>
        <v>12151</v>
      </c>
      <c r="J2017" s="2" t="n">
        <v>2</v>
      </c>
    </row>
    <row r="2018">
      <c r="A2018" s="2" t="inlineStr">
        <is>
          <t>17801-15070</t>
        </is>
      </c>
      <c r="B2018" s="2" t="inlineStr"/>
      <c r="C2018" s="2" t="inlineStr">
        <is>
          <t>FILTRO AIRE COROLLA 94/02</t>
        </is>
      </c>
      <c r="D2018" s="2" t="inlineStr">
        <is>
          <t>JAPON</t>
        </is>
      </c>
      <c r="E2018" s="3" t="n">
        <v>3</v>
      </c>
      <c r="F2018" s="4" t="n">
        <v>0.3</v>
      </c>
      <c r="G2018" s="5">
        <f>ROUND(E2018*(1+F2018),2)</f>
        <v>3.90</v>
      </c>
      <c r="H2018" s="5">
        <f>ROUND(G2018*NOTAS!$B$2,2)</f>
        <v>2813.25</v>
      </c>
      <c r="I2018" s="6">
        <f>ROUND(G2018*NOTAS!$B$3,0)</f>
        <v>12671</v>
      </c>
      <c r="J2018" s="2" t="n">
        <v>3</v>
      </c>
    </row>
    <row r="2019">
      <c r="A2019" s="2" t="inlineStr">
        <is>
          <t>17801-15070</t>
        </is>
      </c>
      <c r="B2019" s="2" t="inlineStr"/>
      <c r="C2019" s="2" t="inlineStr">
        <is>
          <t>FILTRO AIRE COROLLA 98/02 SAPITO</t>
        </is>
      </c>
      <c r="D2019" s="2" t="inlineStr"/>
      <c r="E2019" s="3" t="n">
        <v>3</v>
      </c>
      <c r="F2019" s="4" t="n">
        <v>0.3</v>
      </c>
      <c r="G2019" s="5">
        <f>ROUND(E2019*(1+F2019),2)</f>
        <v>3.90</v>
      </c>
      <c r="H2019" s="5">
        <f>ROUND(G2019*NOTAS!$B$2,2)</f>
        <v>2813.25</v>
      </c>
      <c r="I2019" s="6">
        <f>ROUND(G2019*NOTAS!$B$3,0)</f>
        <v>12671</v>
      </c>
      <c r="J2019" s="2" t="n">
        <v>1</v>
      </c>
    </row>
    <row r="2020">
      <c r="A2020" s="2" t="inlineStr">
        <is>
          <t>95622348</t>
        </is>
      </c>
      <c r="B2020" s="2" t="inlineStr"/>
      <c r="C2020" s="2" t="inlineStr">
        <is>
          <t>FILTRO AIRE CORSA</t>
        </is>
      </c>
      <c r="D2020" s="2" t="inlineStr">
        <is>
          <t>CHEVY PARTES</t>
        </is>
      </c>
      <c r="E2020" s="3" t="n">
        <v>3</v>
      </c>
      <c r="F2020" s="4" t="n">
        <v>0.3</v>
      </c>
      <c r="G2020" s="5">
        <f>ROUND(E2020*(1+F2020),2)</f>
        <v>3.90</v>
      </c>
      <c r="H2020" s="5">
        <f>ROUND(G2020*NOTAS!$B$2,2)</f>
        <v>2813.25</v>
      </c>
      <c r="I2020" s="6">
        <f>ROUND(G2020*NOTAS!$B$3,0)</f>
        <v>12671</v>
      </c>
      <c r="J2020" s="2" t="n">
        <v>10</v>
      </c>
    </row>
    <row r="2021">
      <c r="A2021" s="2" t="inlineStr">
        <is>
          <t>93428149</t>
        </is>
      </c>
      <c r="B2021" s="2" t="inlineStr"/>
      <c r="C2021" s="2" t="inlineStr">
        <is>
          <t>FILTRO AIRE CORSA</t>
        </is>
      </c>
      <c r="D2021" s="2" t="inlineStr">
        <is>
          <t>ACDELCO</t>
        </is>
      </c>
      <c r="E2021" s="3" t="n">
        <v>3</v>
      </c>
      <c r="F2021" s="4" t="n">
        <v>0.3</v>
      </c>
      <c r="G2021" s="5">
        <f>ROUND(E2021*(1+F2021),2)</f>
        <v>3.90</v>
      </c>
      <c r="H2021" s="5">
        <f>ROUND(G2021*NOTAS!$B$2,2)</f>
        <v>2813.25</v>
      </c>
      <c r="I2021" s="6">
        <f>ROUND(G2021*NOTAS!$B$3,0)</f>
        <v>12671</v>
      </c>
      <c r="J2021" s="2" t="n">
        <v>17</v>
      </c>
    </row>
    <row r="2022">
      <c r="A2022" s="2" t="inlineStr">
        <is>
          <t>MK-5496</t>
        </is>
      </c>
      <c r="B2022" s="2" t="inlineStr"/>
      <c r="C2022" s="2" t="inlineStr">
        <is>
          <t>FILTRO AIRE CORSA</t>
        </is>
      </c>
      <c r="D2022" s="2" t="inlineStr">
        <is>
          <t>MILLARD</t>
        </is>
      </c>
      <c r="E2022" s="3" t="n">
        <v>5</v>
      </c>
      <c r="F2022" s="4" t="n">
        <v>0.3</v>
      </c>
      <c r="G2022" s="5">
        <f>ROUND(E2022*(1+F2022),2)</f>
        <v>6.50</v>
      </c>
      <c r="H2022" s="5">
        <f>ROUND(G2022*NOTAS!$B$2,2)</f>
        <v>4688.75</v>
      </c>
      <c r="I2022" s="6">
        <f>ROUND(G2022*NOTAS!$B$3,0)</f>
        <v>21118</v>
      </c>
      <c r="J2022" s="2" t="n">
        <v>2</v>
      </c>
    </row>
    <row r="2023">
      <c r="A2023" s="2" t="inlineStr">
        <is>
          <t>46644</t>
        </is>
      </c>
      <c r="B2023" s="2" t="inlineStr"/>
      <c r="C2023" s="2" t="inlineStr">
        <is>
          <t>FILTRO AIRE CORSA</t>
        </is>
      </c>
      <c r="D2023" s="2" t="inlineStr">
        <is>
          <t>WIX</t>
        </is>
      </c>
      <c r="E2023" s="3" t="n">
        <v>2</v>
      </c>
      <c r="F2023" s="4" t="n">
        <v>0.3</v>
      </c>
      <c r="G2023" s="5">
        <f>ROUND(E2023*(1+F2023),2)</f>
        <v>2.60</v>
      </c>
      <c r="H2023" s="5">
        <f>ROUND(G2023*NOTAS!$B$2,2)</f>
        <v>1875.50</v>
      </c>
      <c r="I2023" s="6">
        <f>ROUND(G2023*NOTAS!$B$3,0)</f>
        <v>8447</v>
      </c>
      <c r="J2023" s="2" t="n">
        <v>55</v>
      </c>
    </row>
    <row r="2024">
      <c r="A2024" s="2" t="inlineStr">
        <is>
          <t>CAL-381</t>
        </is>
      </c>
      <c r="B2024" s="2" t="inlineStr"/>
      <c r="C2024" s="2" t="inlineStr">
        <is>
          <t>FILTRO AIRE COUGAR</t>
        </is>
      </c>
      <c r="D2024" s="2" t="inlineStr">
        <is>
          <t>LEE MARTIN</t>
        </is>
      </c>
      <c r="E2024" s="3" t="n">
        <v>2</v>
      </c>
      <c r="F2024" s="4" t="n">
        <v>0.3</v>
      </c>
      <c r="G2024" s="5">
        <f>ROUND(E2024*(1+F2024),2)</f>
        <v>2.60</v>
      </c>
      <c r="H2024" s="5">
        <f>ROUND(G2024*NOTAS!$B$2,2)</f>
        <v>1875.50</v>
      </c>
      <c r="I2024" s="6">
        <f>ROUND(G2024*NOTAS!$B$3,0)</f>
        <v>8447</v>
      </c>
      <c r="J2024" s="2" t="n">
        <v>1</v>
      </c>
    </row>
    <row r="2025">
      <c r="A2025" s="2" t="inlineStr">
        <is>
          <t>13272717</t>
        </is>
      </c>
      <c r="B2025" s="2" t="inlineStr"/>
      <c r="C2025" s="2" t="inlineStr">
        <is>
          <t>FILTRO AIRE CRUZE</t>
        </is>
      </c>
      <c r="D2025" s="2" t="inlineStr">
        <is>
          <t>GM</t>
        </is>
      </c>
      <c r="E2025" s="3" t="n">
        <v>3</v>
      </c>
      <c r="F2025" s="4" t="n">
        <v>0.3</v>
      </c>
      <c r="G2025" s="5">
        <f>ROUND(E2025*(1+F2025),2)</f>
        <v>3.90</v>
      </c>
      <c r="H2025" s="5">
        <f>ROUND(G2025*NOTAS!$B$2,2)</f>
        <v>2813.25</v>
      </c>
      <c r="I2025" s="6">
        <f>ROUND(G2025*NOTAS!$B$3,0)</f>
        <v>12671</v>
      </c>
      <c r="J2025" s="2" t="n">
        <v>2</v>
      </c>
    </row>
    <row r="2026">
      <c r="A2026" s="2" t="inlineStr">
        <is>
          <t>901796</t>
        </is>
      </c>
      <c r="B2026" s="2" t="inlineStr">
        <is>
          <t>7N159601AA</t>
        </is>
      </c>
      <c r="C2026" s="2" t="inlineStr">
        <is>
          <t>FILTRO AIRE ECOSPORT 2.0 08/… AUTOMATICA</t>
        </is>
      </c>
      <c r="D2026" s="2" t="inlineStr">
        <is>
          <t>FORD</t>
        </is>
      </c>
      <c r="E2026" s="3" t="n">
        <v>10</v>
      </c>
      <c r="F2026" s="4" t="n">
        <v>0.3</v>
      </c>
      <c r="G2026" s="5">
        <f>ROUND(E2026*(1+F2026),2)</f>
        <v>13.00</v>
      </c>
      <c r="H2026" s="5">
        <f>ROUND(G2026*NOTAS!$B$2,2)</f>
        <v>9377.49</v>
      </c>
      <c r="I2026" s="6">
        <f>ROUND(G2026*NOTAS!$B$3,0)</f>
        <v>42235</v>
      </c>
      <c r="J2026" s="2" t="n">
        <v>4</v>
      </c>
    </row>
    <row r="2027">
      <c r="A2027" s="2" t="inlineStr">
        <is>
          <t>47020</t>
        </is>
      </c>
      <c r="B2027" s="2" t="inlineStr"/>
      <c r="C2027" s="2" t="inlineStr">
        <is>
          <t>FILTRO AIRE ECOSPORT 2.0 SINCRONICA</t>
        </is>
      </c>
      <c r="D2027" s="2" t="inlineStr">
        <is>
          <t>WIX</t>
        </is>
      </c>
      <c r="E2027" s="3" t="n">
        <v>5</v>
      </c>
      <c r="F2027" s="4" t="n">
        <v>0.3</v>
      </c>
      <c r="G2027" s="5">
        <f>ROUND(E2027*(1+F2027),2)</f>
        <v>6.50</v>
      </c>
      <c r="H2027" s="5">
        <f>ROUND(G2027*NOTAS!$B$2,2)</f>
        <v>4688.75</v>
      </c>
      <c r="I2027" s="6">
        <f>ROUND(G2027*NOTAS!$B$3,0)</f>
        <v>21118</v>
      </c>
      <c r="J2027" s="2" t="n">
        <v>3</v>
      </c>
    </row>
    <row r="2028">
      <c r="A2028" s="2" t="inlineStr">
        <is>
          <t>900810</t>
        </is>
      </c>
      <c r="B2028" s="2" t="inlineStr">
        <is>
          <t>2N1U9601CB</t>
        </is>
      </c>
      <c r="C2028" s="2" t="inlineStr">
        <is>
          <t>FILTRO AIRE ECOSPORT 2.0 SINCRONICA</t>
        </is>
      </c>
      <c r="D2028" s="2" t="inlineStr">
        <is>
          <t>FORD</t>
        </is>
      </c>
      <c r="E2028" s="3" t="n">
        <v>10</v>
      </c>
      <c r="F2028" s="4" t="n">
        <v>0.3</v>
      </c>
      <c r="G2028" s="5">
        <f>ROUND(E2028*(1+F2028),2)</f>
        <v>13.00</v>
      </c>
      <c r="H2028" s="5">
        <f>ROUND(G2028*NOTAS!$B$2,2)</f>
        <v>9377.49</v>
      </c>
      <c r="I2028" s="6">
        <f>ROUND(G2028*NOTAS!$B$3,0)</f>
        <v>42235</v>
      </c>
      <c r="J2028" s="2" t="n">
        <v>1</v>
      </c>
    </row>
    <row r="2029">
      <c r="A2029" s="2" t="inlineStr">
        <is>
          <t>4126542</t>
        </is>
      </c>
      <c r="B2029" s="2" t="inlineStr">
        <is>
          <t>FA-1780</t>
        </is>
      </c>
      <c r="C2029" s="2" t="inlineStr">
        <is>
          <t>FILTRO AIRE EXPLORER 06/11</t>
        </is>
      </c>
      <c r="D2029" s="2" t="inlineStr">
        <is>
          <t>MOTORCRAFT</t>
        </is>
      </c>
      <c r="E2029" s="3" t="n">
        <v>10</v>
      </c>
      <c r="F2029" s="4" t="n">
        <v>0.3</v>
      </c>
      <c r="G2029" s="5">
        <f>ROUND(E2029*(1+F2029),2)</f>
        <v>13.00</v>
      </c>
      <c r="H2029" s="5">
        <f>ROUND(G2029*NOTAS!$B$2,2)</f>
        <v>9377.49</v>
      </c>
      <c r="I2029" s="6">
        <f>ROUND(G2029*NOTAS!$B$3,0)</f>
        <v>42235</v>
      </c>
      <c r="J2029" s="2" t="n">
        <v>1</v>
      </c>
    </row>
    <row r="2030">
      <c r="A2030" s="2" t="inlineStr">
        <is>
          <t>46253</t>
        </is>
      </c>
      <c r="B2030" s="2" t="inlineStr"/>
      <c r="C2030" s="2" t="inlineStr">
        <is>
          <t>FILTRO AIRE EXPLORER 97/01 RANGER 97/12</t>
        </is>
      </c>
      <c r="D2030" s="2" t="inlineStr">
        <is>
          <t>WIX</t>
        </is>
      </c>
      <c r="E2030" s="3" t="n">
        <v>4</v>
      </c>
      <c r="F2030" s="4" t="n">
        <v>0.3</v>
      </c>
      <c r="G2030" s="5">
        <f>ROUND(E2030*(1+F2030),2)</f>
        <v>5.20</v>
      </c>
      <c r="H2030" s="5">
        <f>ROUND(G2030*NOTAS!$B$2,2)</f>
        <v>3751.00</v>
      </c>
      <c r="I2030" s="6">
        <f>ROUND(G2030*NOTAS!$B$3,0)</f>
        <v>16894</v>
      </c>
      <c r="J2030" s="2" t="n">
        <v>1</v>
      </c>
    </row>
    <row r="2031">
      <c r="A2031" s="2" t="inlineStr">
        <is>
          <t>46253</t>
        </is>
      </c>
      <c r="B2031" s="2" t="inlineStr"/>
      <c r="C2031" s="2" t="inlineStr">
        <is>
          <t>FILTRO AIRE EXPLORER 97/05</t>
        </is>
      </c>
      <c r="D2031" s="2" t="inlineStr">
        <is>
          <t>WIX</t>
        </is>
      </c>
      <c r="E2031" s="3" t="n">
        <v>5</v>
      </c>
      <c r="F2031" s="4" t="n">
        <v>0.3</v>
      </c>
      <c r="G2031" s="5">
        <f>ROUND(E2031*(1+F2031),2)</f>
        <v>6.50</v>
      </c>
      <c r="H2031" s="5">
        <f>ROUND(G2031*NOTAS!$B$2,2)</f>
        <v>4688.75</v>
      </c>
      <c r="I2031" s="6">
        <f>ROUND(G2031*NOTAS!$B$3,0)</f>
        <v>21118</v>
      </c>
      <c r="J2031" s="2" t="n">
        <v>2</v>
      </c>
    </row>
    <row r="2032">
      <c r="A2032" s="2" t="inlineStr">
        <is>
          <t>CAL-2718</t>
        </is>
      </c>
      <c r="B2032" s="2" t="inlineStr"/>
      <c r="C2032" s="2" t="inlineStr">
        <is>
          <t>FILTRO AIRE FIAT-147/SPAZIO RENAULT-5</t>
        </is>
      </c>
      <c r="D2032" s="2" t="inlineStr">
        <is>
          <t>LEE MARTIN</t>
        </is>
      </c>
      <c r="E2032" s="3" t="n">
        <v>2</v>
      </c>
      <c r="F2032" s="4" t="n">
        <v>0.3</v>
      </c>
      <c r="G2032" s="5">
        <f>ROUND(E2032*(1+F2032),2)</f>
        <v>2.60</v>
      </c>
      <c r="H2032" s="5">
        <f>ROUND(G2032*NOTAS!$B$2,2)</f>
        <v>1875.50</v>
      </c>
      <c r="I2032" s="6">
        <f>ROUND(G2032*NOTAS!$B$3,0)</f>
        <v>8447</v>
      </c>
      <c r="J2032" s="2" t="n">
        <v>15</v>
      </c>
    </row>
    <row r="2033">
      <c r="A2033" s="2" t="inlineStr">
        <is>
          <t>7722936</t>
        </is>
      </c>
      <c r="B2033" s="2" t="inlineStr"/>
      <c r="C2033" s="2" t="inlineStr">
        <is>
          <t>FILTRO AIRE FIAT-UNO INY</t>
        </is>
      </c>
      <c r="D2033" s="2" t="inlineStr">
        <is>
          <t>FIAT</t>
        </is>
      </c>
      <c r="E2033" s="3" t="n">
        <v>2</v>
      </c>
      <c r="F2033" s="4" t="n">
        <v>0.3</v>
      </c>
      <c r="G2033" s="5">
        <f>ROUND(E2033*(1+F2033),2)</f>
        <v>2.60</v>
      </c>
      <c r="H2033" s="5">
        <f>ROUND(G2033*NOTAS!$B$2,2)</f>
        <v>1875.50</v>
      </c>
      <c r="I2033" s="6">
        <f>ROUND(G2033*NOTAS!$B$3,0)</f>
        <v>8447</v>
      </c>
      <c r="J2033" s="2" t="n">
        <v>1</v>
      </c>
    </row>
    <row r="2034">
      <c r="A2034" s="2" t="inlineStr">
        <is>
          <t>LX907</t>
        </is>
      </c>
      <c r="B2034" s="2" t="inlineStr"/>
      <c r="C2034" s="2" t="inlineStr">
        <is>
          <t>FILTRO AIRE FIAT-UNO INY</t>
        </is>
      </c>
      <c r="D2034" s="2" t="inlineStr">
        <is>
          <t>MAHLE</t>
        </is>
      </c>
      <c r="E2034" s="3" t="n">
        <v>3</v>
      </c>
      <c r="F2034" s="4" t="n">
        <v>0.3</v>
      </c>
      <c r="G2034" s="5">
        <f>ROUND(E2034*(1+F2034),2)</f>
        <v>3.90</v>
      </c>
      <c r="H2034" s="5">
        <f>ROUND(G2034*NOTAS!$B$2,2)</f>
        <v>2813.25</v>
      </c>
      <c r="I2034" s="6">
        <f>ROUND(G2034*NOTAS!$B$3,0)</f>
        <v>12671</v>
      </c>
      <c r="J2034" s="2" t="n">
        <v>14</v>
      </c>
    </row>
    <row r="2035">
      <c r="A2035" s="2" t="inlineStr">
        <is>
          <t>CAL-147</t>
        </is>
      </c>
      <c r="B2035" s="2" t="inlineStr"/>
      <c r="C2035" s="2" t="inlineStr">
        <is>
          <t>FILTRO AIRE FIAT-UNO PREMIO CONICO</t>
        </is>
      </c>
      <c r="D2035" s="2" t="inlineStr">
        <is>
          <t>LEE MARTIN</t>
        </is>
      </c>
      <c r="E2035" s="3" t="n">
        <v>2</v>
      </c>
      <c r="F2035" s="4" t="n">
        <v>0.3</v>
      </c>
      <c r="G2035" s="5">
        <f>ROUND(E2035*(1+F2035),2)</f>
        <v>2.60</v>
      </c>
      <c r="H2035" s="5">
        <f>ROUND(G2035*NOTAS!$B$2,2)</f>
        <v>1875.50</v>
      </c>
      <c r="I2035" s="6">
        <f>ROUND(G2035*NOTAS!$B$3,0)</f>
        <v>8447</v>
      </c>
      <c r="J2035" s="2" t="n">
        <v>4</v>
      </c>
    </row>
    <row r="2036">
      <c r="A2036" s="2" t="inlineStr">
        <is>
          <t>42001</t>
        </is>
      </c>
      <c r="B2036" s="2" t="inlineStr"/>
      <c r="C2036" s="2" t="inlineStr">
        <is>
          <t>FILTRO AIRE FIAT-UNO PREMIO CONICO</t>
        </is>
      </c>
      <c r="D2036" s="2" t="inlineStr">
        <is>
          <t>WIX</t>
        </is>
      </c>
      <c r="E2036" s="3" t="n">
        <v>2</v>
      </c>
      <c r="F2036" s="4" t="n">
        <v>0.3</v>
      </c>
      <c r="G2036" s="5">
        <f>ROUND(E2036*(1+F2036),2)</f>
        <v>2.60</v>
      </c>
      <c r="H2036" s="5">
        <f>ROUND(G2036*NOTAS!$B$2,2)</f>
        <v>1875.50</v>
      </c>
      <c r="I2036" s="6">
        <f>ROUND(G2036*NOTAS!$B$3,0)</f>
        <v>8447</v>
      </c>
      <c r="J2036" s="2" t="n">
        <v>5</v>
      </c>
    </row>
    <row r="2037">
      <c r="A2037" s="2" t="inlineStr">
        <is>
          <t>B/FA5//</t>
        </is>
      </c>
      <c r="B2037" s="2" t="inlineStr"/>
      <c r="C2037" s="2" t="inlineStr">
        <is>
          <t>FILTRO AIRE FIESTA …/03</t>
        </is>
      </c>
      <c r="D2037" s="2" t="inlineStr">
        <is>
          <t>MOTORCRAFT</t>
        </is>
      </c>
      <c r="E2037" s="3" t="n">
        <v>10</v>
      </c>
      <c r="F2037" s="4" t="n">
        <v>0.3</v>
      </c>
      <c r="G2037" s="5">
        <f>ROUND(E2037*(1+F2037),2)</f>
        <v>13.00</v>
      </c>
      <c r="H2037" s="5">
        <f>ROUND(G2037*NOTAS!$B$2,2)</f>
        <v>9377.49</v>
      </c>
      <c r="I2037" s="6">
        <f>ROUND(G2037*NOTAS!$B$3,0)</f>
        <v>42235</v>
      </c>
      <c r="J2037" s="2" t="n">
        <v>3</v>
      </c>
    </row>
    <row r="2038">
      <c r="A2038" s="2" t="inlineStr">
        <is>
          <t>MK-5682</t>
        </is>
      </c>
      <c r="B2038" s="2" t="inlineStr"/>
      <c r="C2038" s="2" t="inlineStr">
        <is>
          <t>FILTRO AIRE FIESTA …/03</t>
        </is>
      </c>
      <c r="D2038" s="2" t="inlineStr">
        <is>
          <t>MILLARD</t>
        </is>
      </c>
      <c r="E2038" s="3" t="n">
        <v>6</v>
      </c>
      <c r="F2038" s="4" t="n">
        <v>0.3</v>
      </c>
      <c r="G2038" s="5">
        <f>ROUND(E2038*(1+F2038),2)</f>
        <v>7.80</v>
      </c>
      <c r="H2038" s="5">
        <f>ROUND(G2038*NOTAS!$B$2,2)</f>
        <v>5626.50</v>
      </c>
      <c r="I2038" s="6">
        <f>ROUND(G2038*NOTAS!$B$3,0)</f>
        <v>25341</v>
      </c>
      <c r="J2038" s="2" t="n">
        <v>6</v>
      </c>
    </row>
    <row r="2039">
      <c r="A2039" s="2" t="inlineStr">
        <is>
          <t>45001</t>
        </is>
      </c>
      <c r="B2039" s="2" t="inlineStr"/>
      <c r="C2039" s="2" t="inlineStr">
        <is>
          <t>FILTRO AIRE FIESTA …/03</t>
        </is>
      </c>
      <c r="D2039" s="2" t="inlineStr">
        <is>
          <t>WIX</t>
        </is>
      </c>
      <c r="E2039" s="3" t="n">
        <v>4</v>
      </c>
      <c r="F2039" s="4" t="n">
        <v>0.3</v>
      </c>
      <c r="G2039" s="5">
        <f>ROUND(E2039*(1+F2039),2)</f>
        <v>5.20</v>
      </c>
      <c r="H2039" s="5">
        <f>ROUND(G2039*NOTAS!$B$2,2)</f>
        <v>3751.00</v>
      </c>
      <c r="I2039" s="6">
        <f>ROUND(G2039*NOTAS!$B$3,0)</f>
        <v>16894</v>
      </c>
      <c r="J2039" s="2" t="n">
        <v>1</v>
      </c>
    </row>
    <row r="2040">
      <c r="A2040" s="2" t="inlineStr">
        <is>
          <t>930048</t>
        </is>
      </c>
      <c r="B2040" s="2" t="inlineStr">
        <is>
          <t>2N1U9601BD</t>
        </is>
      </c>
      <c r="C2040" s="2" t="inlineStr">
        <is>
          <t>FILTRO AIRE FIESTA/ECOSPORT 1.6</t>
        </is>
      </c>
      <c r="D2040" s="2" t="inlineStr">
        <is>
          <t>FORD</t>
        </is>
      </c>
      <c r="E2040" s="3" t="n">
        <v>10</v>
      </c>
      <c r="F2040" s="4" t="n">
        <v>0.3</v>
      </c>
      <c r="G2040" s="5">
        <f>ROUND(E2040*(1+F2040),2)</f>
        <v>13.00</v>
      </c>
      <c r="H2040" s="5">
        <f>ROUND(G2040*NOTAS!$B$2,2)</f>
        <v>9377.49</v>
      </c>
      <c r="I2040" s="6">
        <f>ROUND(G2040*NOTAS!$B$3,0)</f>
        <v>42235</v>
      </c>
      <c r="J2040" s="2" t="n">
        <v>6</v>
      </c>
    </row>
    <row r="2041">
      <c r="A2041" s="2" t="inlineStr">
        <is>
          <t>47019</t>
        </is>
      </c>
      <c r="B2041" s="2" t="inlineStr"/>
      <c r="C2041" s="2" t="inlineStr">
        <is>
          <t>FILTRO AIRE FIESTA/ECOSPORT 1.6</t>
        </is>
      </c>
      <c r="D2041" s="2" t="inlineStr">
        <is>
          <t>WIX</t>
        </is>
      </c>
      <c r="E2041" s="3" t="n">
        <v>5</v>
      </c>
      <c r="F2041" s="4" t="n">
        <v>0.3</v>
      </c>
      <c r="G2041" s="5">
        <f>ROUND(E2041*(1+F2041),2)</f>
        <v>6.50</v>
      </c>
      <c r="H2041" s="5">
        <f>ROUND(G2041*NOTAS!$B$2,2)</f>
        <v>4688.75</v>
      </c>
      <c r="I2041" s="6">
        <f>ROUND(G2041*NOTAS!$B$3,0)</f>
        <v>21118</v>
      </c>
      <c r="J2041" s="2" t="n">
        <v>10</v>
      </c>
    </row>
    <row r="2042">
      <c r="A2042" s="2" t="inlineStr">
        <is>
          <t>MK-5627</t>
        </is>
      </c>
      <c r="B2042" s="2" t="inlineStr"/>
      <c r="C2042" s="2" t="inlineStr">
        <is>
          <t>FILTRO AIRE F-PALIO/SIENA</t>
        </is>
      </c>
      <c r="D2042" s="2" t="inlineStr">
        <is>
          <t>MILLARD</t>
        </is>
      </c>
      <c r="E2042" s="3" t="n">
        <v>6</v>
      </c>
      <c r="F2042" s="4" t="n">
        <v>0.3</v>
      </c>
      <c r="G2042" s="5">
        <f>ROUND(E2042*(1+F2042),2)</f>
        <v>7.80</v>
      </c>
      <c r="H2042" s="5">
        <f>ROUND(G2042*NOTAS!$B$2,2)</f>
        <v>5626.50</v>
      </c>
      <c r="I2042" s="6">
        <f>ROUND(G2042*NOTAS!$B$3,0)</f>
        <v>25341</v>
      </c>
      <c r="J2042" s="2" t="n">
        <v>5</v>
      </c>
    </row>
    <row r="2043">
      <c r="A2043" s="2" t="inlineStr">
        <is>
          <t>42343</t>
        </is>
      </c>
      <c r="B2043" s="2" t="inlineStr"/>
      <c r="C2043" s="2" t="inlineStr">
        <is>
          <t>FILTRO AIRE F-PALIO/SIENA</t>
        </is>
      </c>
      <c r="D2043" s="2" t="inlineStr">
        <is>
          <t>WIX</t>
        </is>
      </c>
      <c r="E2043" s="3" t="n">
        <v>5</v>
      </c>
      <c r="F2043" s="4" t="n">
        <v>0.3</v>
      </c>
      <c r="G2043" s="5">
        <f>ROUND(E2043*(1+F2043),2)</f>
        <v>6.50</v>
      </c>
      <c r="H2043" s="5">
        <f>ROUND(G2043*NOTAS!$B$2,2)</f>
        <v>4688.75</v>
      </c>
      <c r="I2043" s="6">
        <f>ROUND(G2043*NOTAS!$B$3,0)</f>
        <v>21118</v>
      </c>
      <c r="J2043" s="2" t="n">
        <v>8</v>
      </c>
    </row>
    <row r="2044">
      <c r="A2044" s="2" t="inlineStr">
        <is>
          <t>7082141</t>
        </is>
      </c>
      <c r="B2044" s="2" t="inlineStr"/>
      <c r="C2044" s="2" t="inlineStr">
        <is>
          <t>FILTRO AIRE F-PALIO/SIENA</t>
        </is>
      </c>
      <c r="D2044" s="2" t="inlineStr">
        <is>
          <t>FIAT</t>
        </is>
      </c>
      <c r="E2044" s="3" t="n">
        <v>6</v>
      </c>
      <c r="F2044" s="4" t="n">
        <v>0.3</v>
      </c>
      <c r="G2044" s="5">
        <f>ROUND(E2044*(1+F2044),2)</f>
        <v>7.80</v>
      </c>
      <c r="H2044" s="5">
        <f>ROUND(G2044*NOTAS!$B$2,2)</f>
        <v>5626.50</v>
      </c>
      <c r="I2044" s="6">
        <f>ROUND(G2044*NOTAS!$B$3,0)</f>
        <v>25341</v>
      </c>
      <c r="J2044" s="2" t="n">
        <v>3</v>
      </c>
    </row>
    <row r="2045">
      <c r="A2045" s="2" t="inlineStr">
        <is>
          <t>WCA-4565</t>
        </is>
      </c>
      <c r="B2045" s="2" t="inlineStr"/>
      <c r="C2045" s="2" t="inlineStr">
        <is>
          <t>FILTRO AIRE F-REGATA</t>
        </is>
      </c>
      <c r="D2045" s="2" t="inlineStr">
        <is>
          <t>WEB</t>
        </is>
      </c>
      <c r="E2045" s="3" t="n">
        <v>2</v>
      </c>
      <c r="F2045" s="4" t="n">
        <v>0.3</v>
      </c>
      <c r="G2045" s="5">
        <f>ROUND(E2045*(1+F2045),2)</f>
        <v>2.60</v>
      </c>
      <c r="H2045" s="5">
        <f>ROUND(G2045*NOTAS!$B$2,2)</f>
        <v>1875.50</v>
      </c>
      <c r="I2045" s="6">
        <f>ROUND(G2045*NOTAS!$B$3,0)</f>
        <v>8447</v>
      </c>
      <c r="J2045" s="2" t="n">
        <v>4</v>
      </c>
    </row>
    <row r="2046">
      <c r="A2046" s="2" t="inlineStr">
        <is>
          <t>LX453</t>
        </is>
      </c>
      <c r="B2046" s="2" t="inlineStr"/>
      <c r="C2046" s="2" t="inlineStr">
        <is>
          <t>FILTRO AIRE F-TEMPRA/TIPO</t>
        </is>
      </c>
      <c r="D2046" s="2" t="inlineStr">
        <is>
          <t>MAHLE</t>
        </is>
      </c>
      <c r="E2046" s="3" t="n">
        <v>3</v>
      </c>
      <c r="F2046" s="4" t="n">
        <v>0.3</v>
      </c>
      <c r="G2046" s="5">
        <f>ROUND(E2046*(1+F2046),2)</f>
        <v>3.90</v>
      </c>
      <c r="H2046" s="5">
        <f>ROUND(G2046*NOTAS!$B$2,2)</f>
        <v>2813.25</v>
      </c>
      <c r="I2046" s="6">
        <f>ROUND(G2046*NOTAS!$B$3,0)</f>
        <v>12671</v>
      </c>
      <c r="J2046" s="2" t="n">
        <v>9</v>
      </c>
    </row>
    <row r="2047">
      <c r="A2047" s="2" t="inlineStr">
        <is>
          <t>7554</t>
        </is>
      </c>
      <c r="B2047" s="2" t="inlineStr"/>
      <c r="C2047" s="2" t="inlineStr">
        <is>
          <t>FILTRO AIRE F-UNO SELECTA</t>
        </is>
      </c>
      <c r="D2047" s="2" t="inlineStr">
        <is>
          <t>FIAT</t>
        </is>
      </c>
      <c r="E2047" s="3" t="n">
        <v>2</v>
      </c>
      <c r="F2047" s="4" t="n">
        <v>0.3</v>
      </c>
      <c r="G2047" s="5">
        <f>ROUND(E2047*(1+F2047),2)</f>
        <v>2.60</v>
      </c>
      <c r="H2047" s="5">
        <f>ROUND(G2047*NOTAS!$B$2,2)</f>
        <v>1875.50</v>
      </c>
      <c r="I2047" s="6">
        <f>ROUND(G2047*NOTAS!$B$3,0)</f>
        <v>8447</v>
      </c>
      <c r="J2047" s="2" t="n">
        <v>1</v>
      </c>
    </row>
    <row r="2048">
      <c r="A2048" s="2" t="inlineStr">
        <is>
          <t>A35219</t>
        </is>
      </c>
      <c r="B2048" s="2" t="inlineStr"/>
      <c r="C2048" s="2" t="inlineStr">
        <is>
          <t>FILTRO AIRE GRAND VITARA 2.0 2.5 99/08</t>
        </is>
      </c>
      <c r="D2048" s="2" t="inlineStr">
        <is>
          <t>PUROLATOR</t>
        </is>
      </c>
      <c r="E2048" s="3" t="n">
        <v>4</v>
      </c>
      <c r="F2048" s="4" t="n">
        <v>0.3</v>
      </c>
      <c r="G2048" s="5">
        <f>ROUND(E2048*(1+F2048),2)</f>
        <v>5.20</v>
      </c>
      <c r="H2048" s="5">
        <f>ROUND(G2048*NOTAS!$B$2,2)</f>
        <v>3751.00</v>
      </c>
      <c r="I2048" s="6">
        <f>ROUND(G2048*NOTAS!$B$3,0)</f>
        <v>16894</v>
      </c>
      <c r="J2048" s="2" t="n">
        <v>1</v>
      </c>
    </row>
    <row r="2049">
      <c r="A2049" s="2" t="inlineStr">
        <is>
          <t>WA-7775</t>
        </is>
      </c>
      <c r="B2049" s="2" t="inlineStr"/>
      <c r="C2049" s="2" t="inlineStr">
        <is>
          <t>FILTRO AIRE HYUNDAI ACCENT</t>
        </is>
      </c>
      <c r="D2049" s="2" t="inlineStr">
        <is>
          <t>WEB</t>
        </is>
      </c>
      <c r="E2049" s="3" t="n">
        <v>2</v>
      </c>
      <c r="F2049" s="4" t="n">
        <v>0.3</v>
      </c>
      <c r="G2049" s="5">
        <f>ROUND(E2049*(1+F2049),2)</f>
        <v>2.60</v>
      </c>
      <c r="H2049" s="5">
        <f>ROUND(G2049*NOTAS!$B$2,2)</f>
        <v>1875.50</v>
      </c>
      <c r="I2049" s="6">
        <f>ROUND(G2049*NOTAS!$B$3,0)</f>
        <v>8447</v>
      </c>
      <c r="J2049" s="2" t="n">
        <v>2</v>
      </c>
    </row>
    <row r="2050">
      <c r="A2050" s="2" t="inlineStr">
        <is>
          <t>WA-5646</t>
        </is>
      </c>
      <c r="B2050" s="2" t="inlineStr"/>
      <c r="C2050" s="2" t="inlineStr">
        <is>
          <t>FILTRO AIRE HYUNDAI ACCENT</t>
        </is>
      </c>
      <c r="D2050" s="2" t="inlineStr">
        <is>
          <t>WEB</t>
        </is>
      </c>
      <c r="E2050" s="3" t="n">
        <v>2</v>
      </c>
      <c r="F2050" s="4" t="n">
        <v>0.3</v>
      </c>
      <c r="G2050" s="5">
        <f>ROUND(E2050*(1+F2050),2)</f>
        <v>2.60</v>
      </c>
      <c r="H2050" s="5">
        <f>ROUND(G2050*NOTAS!$B$2,2)</f>
        <v>1875.50</v>
      </c>
      <c r="I2050" s="6">
        <f>ROUND(G2050*NOTAS!$B$3,0)</f>
        <v>8447</v>
      </c>
      <c r="J2050" s="2" t="n">
        <v>6</v>
      </c>
    </row>
    <row r="2051">
      <c r="A2051" s="2" t="inlineStr">
        <is>
          <t>1089896</t>
        </is>
      </c>
      <c r="B2051" s="2" t="inlineStr">
        <is>
          <t>XS5X9601DA</t>
        </is>
      </c>
      <c r="C2051" s="2" t="inlineStr">
        <is>
          <t>FILTRO AIRE KA</t>
        </is>
      </c>
      <c r="D2051" s="2" t="inlineStr">
        <is>
          <t>FORD</t>
        </is>
      </c>
      <c r="E2051" s="3" t="n">
        <v>10</v>
      </c>
      <c r="F2051" s="4" t="n">
        <v>0.3</v>
      </c>
      <c r="G2051" s="5">
        <f>ROUND(E2051*(1+F2051),2)</f>
        <v>13.00</v>
      </c>
      <c r="H2051" s="5">
        <f>ROUND(G2051*NOTAS!$B$2,2)</f>
        <v>9377.49</v>
      </c>
      <c r="I2051" s="6">
        <f>ROUND(G2051*NOTAS!$B$3,0)</f>
        <v>42235</v>
      </c>
      <c r="J2051" s="2" t="n">
        <v>3</v>
      </c>
    </row>
    <row r="2052">
      <c r="A2052" s="2" t="inlineStr">
        <is>
          <t>MK-9896</t>
        </is>
      </c>
      <c r="B2052" s="2" t="inlineStr"/>
      <c r="C2052" s="2" t="inlineStr">
        <is>
          <t>FILTRO AIRE KA</t>
        </is>
      </c>
      <c r="D2052" s="2" t="inlineStr">
        <is>
          <t>MILLARD</t>
        </is>
      </c>
      <c r="E2052" s="3" t="n">
        <v>6</v>
      </c>
      <c r="F2052" s="4" t="n">
        <v>0.3</v>
      </c>
      <c r="G2052" s="5">
        <f>ROUND(E2052*(1+F2052),2)</f>
        <v>7.80</v>
      </c>
      <c r="H2052" s="5">
        <f>ROUND(G2052*NOTAS!$B$2,2)</f>
        <v>5626.50</v>
      </c>
      <c r="I2052" s="6">
        <f>ROUND(G2052*NOTAS!$B$3,0)</f>
        <v>25341</v>
      </c>
      <c r="J2052" s="2" t="n">
        <v>4</v>
      </c>
    </row>
    <row r="2053">
      <c r="A2053" s="2" t="inlineStr">
        <is>
          <t>96182220</t>
        </is>
      </c>
      <c r="B2053" s="2" t="inlineStr"/>
      <c r="C2053" s="2" t="inlineStr">
        <is>
          <t>FILTRO AIRE LANOS</t>
        </is>
      </c>
      <c r="D2053" s="2" t="inlineStr">
        <is>
          <t>GM</t>
        </is>
      </c>
      <c r="E2053" s="3" t="n">
        <v>4</v>
      </c>
      <c r="F2053" s="4" t="n">
        <v>0.3</v>
      </c>
      <c r="G2053" s="5">
        <f>ROUND(E2053*(1+F2053),2)</f>
        <v>5.20</v>
      </c>
      <c r="H2053" s="5">
        <f>ROUND(G2053*NOTAS!$B$2,2)</f>
        <v>3751.00</v>
      </c>
      <c r="I2053" s="6">
        <f>ROUND(G2053*NOTAS!$B$3,0)</f>
        <v>16894</v>
      </c>
      <c r="J2053" s="2" t="n">
        <v>24</v>
      </c>
    </row>
    <row r="2054">
      <c r="A2054" s="2" t="inlineStr">
        <is>
          <t>CA-376</t>
        </is>
      </c>
      <c r="B2054" s="2" t="inlineStr"/>
      <c r="C2054" s="2" t="inlineStr">
        <is>
          <t xml:space="preserve">FILTRO AIRE MACHO </t>
        </is>
      </c>
      <c r="D2054" s="2" t="inlineStr">
        <is>
          <t>CAR</t>
        </is>
      </c>
      <c r="E2054" s="3" t="n">
        <v>3</v>
      </c>
      <c r="F2054" s="4" t="n">
        <v>0.3</v>
      </c>
      <c r="G2054" s="5">
        <f>ROUND(E2054*(1+F2054),2)</f>
        <v>3.90</v>
      </c>
      <c r="H2054" s="5">
        <f>ROUND(G2054*NOTAS!$B$2,2)</f>
        <v>2813.25</v>
      </c>
      <c r="I2054" s="6">
        <f>ROUND(G2054*NOTAS!$B$3,0)</f>
        <v>12671</v>
      </c>
      <c r="J2054" s="2" t="n">
        <v>8</v>
      </c>
    </row>
    <row r="2055">
      <c r="A2055" s="2" t="inlineStr">
        <is>
          <t>LX999</t>
        </is>
      </c>
      <c r="B2055" s="2" t="inlineStr"/>
      <c r="C2055" s="2" t="inlineStr">
        <is>
          <t>FILTRO AIRE MONTANA/MERIVA</t>
        </is>
      </c>
      <c r="D2055" s="2" t="inlineStr">
        <is>
          <t>METAL LEVE</t>
        </is>
      </c>
      <c r="E2055" s="3" t="n">
        <v>5</v>
      </c>
      <c r="F2055" s="4" t="n">
        <v>0.3</v>
      </c>
      <c r="G2055" s="5">
        <f>ROUND(E2055*(1+F2055),2)</f>
        <v>6.50</v>
      </c>
      <c r="H2055" s="5">
        <f>ROUND(G2055*NOTAS!$B$2,2)</f>
        <v>4688.75</v>
      </c>
      <c r="I2055" s="6">
        <f>ROUND(G2055*NOTAS!$B$3,0)</f>
        <v>21118</v>
      </c>
      <c r="J2055" s="2" t="n">
        <v>6</v>
      </c>
    </row>
    <row r="2056">
      <c r="A2056" s="2" t="inlineStr">
        <is>
          <t>AK-9902</t>
        </is>
      </c>
      <c r="B2056" s="2" t="inlineStr"/>
      <c r="C2056" s="2" t="inlineStr">
        <is>
          <t>FILTRO AIRE AVEO</t>
        </is>
      </c>
      <c r="D2056" s="2" t="inlineStr">
        <is>
          <t>A1</t>
        </is>
      </c>
      <c r="E2056" s="3" t="n">
        <v>4</v>
      </c>
      <c r="F2056" s="4" t="n">
        <v>0.3</v>
      </c>
      <c r="G2056" s="5">
        <f>ROUND(E2056*(1+F2056),2)</f>
        <v>5.20</v>
      </c>
      <c r="H2056" s="5">
        <f>ROUND(G2056*NOTAS!$B$2,2)</f>
        <v>3751.00</v>
      </c>
      <c r="I2056" s="6">
        <f>ROUND(G2056*NOTAS!$B$3,0)</f>
        <v>16894</v>
      </c>
      <c r="J2056" s="2" t="n">
        <v>4</v>
      </c>
    </row>
    <row r="2057">
      <c r="A2057" s="2" t="inlineStr">
        <is>
          <t>MK9902</t>
        </is>
      </c>
      <c r="B2057" s="2" t="inlineStr"/>
      <c r="C2057" s="2" t="inlineStr">
        <is>
          <t>FILTRO AIRE AVEO</t>
        </is>
      </c>
      <c r="D2057" s="2" t="inlineStr">
        <is>
          <t>MILLARD</t>
        </is>
      </c>
      <c r="E2057" s="3" t="n">
        <v>5.51</v>
      </c>
      <c r="F2057" s="4" t="n">
        <v>0.3</v>
      </c>
      <c r="G2057" s="5">
        <f>ROUND(E2057*(1+F2057),2)</f>
        <v>7.16</v>
      </c>
      <c r="H2057" s="5">
        <f>ROUND(G2057*NOTAS!$B$2,2)</f>
        <v>5164.83</v>
      </c>
      <c r="I2057" s="6">
        <f>ROUND(G2057*NOTAS!$B$3,0)</f>
        <v>23262</v>
      </c>
      <c r="J2057" s="2" t="n">
        <v>2</v>
      </c>
    </row>
    <row r="2058">
      <c r="A2058" s="2" t="inlineStr">
        <is>
          <t>A23465</t>
        </is>
      </c>
      <c r="B2058" s="2" t="inlineStr"/>
      <c r="C2058" s="2" t="inlineStr">
        <is>
          <t>FILTRO AIRE NEON</t>
        </is>
      </c>
      <c r="D2058" s="2" t="inlineStr">
        <is>
          <t>PUROLATOR</t>
        </is>
      </c>
      <c r="E2058" s="3" t="n">
        <v>5</v>
      </c>
      <c r="F2058" s="4" t="n">
        <v>0.3</v>
      </c>
      <c r="G2058" s="5">
        <f>ROUND(E2058*(1+F2058),2)</f>
        <v>6.50</v>
      </c>
      <c r="H2058" s="5">
        <f>ROUND(G2058*NOTAS!$B$2,2)</f>
        <v>4688.75</v>
      </c>
      <c r="I2058" s="6">
        <f>ROUND(G2058*NOTAS!$B$3,0)</f>
        <v>21118</v>
      </c>
      <c r="J2058" s="2" t="n">
        <v>2</v>
      </c>
    </row>
    <row r="2059">
      <c r="A2059" s="2" t="inlineStr">
        <is>
          <t>2606</t>
        </is>
      </c>
      <c r="B2059" s="2" t="inlineStr"/>
      <c r="C2059" s="2" t="inlineStr">
        <is>
          <t>FILTRO AIRE NUBIRA</t>
        </is>
      </c>
      <c r="D2059" s="2" t="inlineStr">
        <is>
          <t>LEE MARTIN</t>
        </is>
      </c>
      <c r="E2059" s="3" t="n">
        <v>4</v>
      </c>
      <c r="F2059" s="4" t="n">
        <v>0.3</v>
      </c>
      <c r="G2059" s="5">
        <f>ROUND(E2059*(1+F2059),2)</f>
        <v>5.20</v>
      </c>
      <c r="H2059" s="5">
        <f>ROUND(G2059*NOTAS!$B$2,2)</f>
        <v>3751.00</v>
      </c>
      <c r="I2059" s="6">
        <f>ROUND(G2059*NOTAS!$B$3,0)</f>
        <v>16894</v>
      </c>
      <c r="J2059" s="2" t="n">
        <v>6</v>
      </c>
    </row>
    <row r="2060">
      <c r="A2060" s="2" t="inlineStr">
        <is>
          <t>96553450</t>
        </is>
      </c>
      <c r="B2060" s="2" t="inlineStr"/>
      <c r="C2060" s="2" t="inlineStr">
        <is>
          <t>FILTRO AIRE OPTRA</t>
        </is>
      </c>
      <c r="D2060" s="2" t="inlineStr">
        <is>
          <t>GM</t>
        </is>
      </c>
      <c r="E2060" s="3" t="n">
        <v>8</v>
      </c>
      <c r="F2060" s="4" t="n">
        <v>0.3</v>
      </c>
      <c r="G2060" s="5">
        <f>ROUND(E2060*(1+F2060),2)</f>
        <v>10.40</v>
      </c>
      <c r="H2060" s="5">
        <f>ROUND(G2060*NOTAS!$B$2,2)</f>
        <v>7501.99</v>
      </c>
      <c r="I2060" s="6">
        <f>ROUND(G2060*NOTAS!$B$3,0)</f>
        <v>33788</v>
      </c>
      <c r="J2060" s="2" t="n">
        <v>2</v>
      </c>
    </row>
    <row r="2061">
      <c r="A2061" s="2" t="inlineStr">
        <is>
          <t>42826</t>
        </is>
      </c>
      <c r="B2061" s="2" t="inlineStr"/>
      <c r="C2061" s="2" t="inlineStr">
        <is>
          <t>FILTRO AIRE OPTRA</t>
        </is>
      </c>
      <c r="D2061" s="2" t="inlineStr">
        <is>
          <t>WIX</t>
        </is>
      </c>
      <c r="E2061" s="3" t="n">
        <v>5</v>
      </c>
      <c r="F2061" s="4" t="n">
        <v>0.3</v>
      </c>
      <c r="G2061" s="5">
        <f>ROUND(E2061*(1+F2061),2)</f>
        <v>6.50</v>
      </c>
      <c r="H2061" s="5">
        <f>ROUND(G2061*NOTAS!$B$2,2)</f>
        <v>4688.75</v>
      </c>
      <c r="I2061" s="6">
        <f>ROUND(G2061*NOTAS!$B$3,0)</f>
        <v>21118</v>
      </c>
      <c r="J2061" s="2" t="n">
        <v>8</v>
      </c>
    </row>
    <row r="2062">
      <c r="A2062" s="2" t="inlineStr">
        <is>
          <t>MK-8732</t>
        </is>
      </c>
      <c r="B2062" s="2" t="inlineStr"/>
      <c r="C2062" s="2" t="inlineStr">
        <is>
          <t>FILTRO AIRE OPTRA</t>
        </is>
      </c>
      <c r="D2062" s="2" t="inlineStr">
        <is>
          <t>MILLARD</t>
        </is>
      </c>
      <c r="E2062" s="3" t="n">
        <v>6</v>
      </c>
      <c r="F2062" s="4" t="n">
        <v>0.3</v>
      </c>
      <c r="G2062" s="5">
        <f>ROUND(E2062*(1+F2062),2)</f>
        <v>7.80</v>
      </c>
      <c r="H2062" s="5">
        <f>ROUND(G2062*NOTAS!$B$2,2)</f>
        <v>5626.50</v>
      </c>
      <c r="I2062" s="6">
        <f>ROUND(G2062*NOTAS!$B$3,0)</f>
        <v>25341</v>
      </c>
      <c r="J2062" s="2" t="n">
        <v>4</v>
      </c>
    </row>
    <row r="2063">
      <c r="A2063" s="2" t="inlineStr">
        <is>
          <t>7701034872</t>
        </is>
      </c>
      <c r="B2063" s="2" t="inlineStr"/>
      <c r="C2063" s="2" t="inlineStr">
        <is>
          <t>FILTRO AIRE R-19 1.4</t>
        </is>
      </c>
      <c r="D2063" s="2" t="inlineStr">
        <is>
          <t>RENAULT</t>
        </is>
      </c>
      <c r="E2063" s="3" t="n">
        <v>7</v>
      </c>
      <c r="F2063" s="4" t="n">
        <v>0.3</v>
      </c>
      <c r="G2063" s="5">
        <f>ROUND(E2063*(1+F2063),2)</f>
        <v>9.10</v>
      </c>
      <c r="H2063" s="5">
        <f>ROUND(G2063*NOTAS!$B$2,2)</f>
        <v>6564.24</v>
      </c>
      <c r="I2063" s="6">
        <f>ROUND(G2063*NOTAS!$B$3,0)</f>
        <v>29565</v>
      </c>
      <c r="J2063" s="2" t="n">
        <v>2</v>
      </c>
    </row>
    <row r="2064">
      <c r="A2064" s="2" t="inlineStr">
        <is>
          <t>0986B02007</t>
        </is>
      </c>
      <c r="B2064" s="2" t="inlineStr"/>
      <c r="C2064" s="2" t="inlineStr">
        <is>
          <t>FILTRO AIRE R-19 1.4</t>
        </is>
      </c>
      <c r="D2064" s="2" t="inlineStr">
        <is>
          <t>BOSCH</t>
        </is>
      </c>
      <c r="E2064" s="3" t="n">
        <v>4</v>
      </c>
      <c r="F2064" s="4" t="n">
        <v>0.3</v>
      </c>
      <c r="G2064" s="5">
        <f>ROUND(E2064*(1+F2064),2)</f>
        <v>5.20</v>
      </c>
      <c r="H2064" s="5">
        <f>ROUND(G2064*NOTAS!$B$2,2)</f>
        <v>3751.00</v>
      </c>
      <c r="I2064" s="6">
        <f>ROUND(G2064*NOTAS!$B$3,0)</f>
        <v>16894</v>
      </c>
      <c r="J2064" s="2" t="n">
        <v>1</v>
      </c>
    </row>
    <row r="2065">
      <c r="A2065" s="2" t="inlineStr">
        <is>
          <t>MK-5309</t>
        </is>
      </c>
      <c r="B2065" s="2" t="inlineStr"/>
      <c r="C2065" s="2" t="inlineStr">
        <is>
          <t>FILTRO AIRE R-19 1.4</t>
        </is>
      </c>
      <c r="D2065" s="2" t="inlineStr">
        <is>
          <t>MILLARD</t>
        </is>
      </c>
      <c r="E2065" s="3" t="n">
        <v>5</v>
      </c>
      <c r="F2065" s="4" t="n">
        <v>0.3</v>
      </c>
      <c r="G2065" s="5">
        <f>ROUND(E2065*(1+F2065),2)</f>
        <v>6.50</v>
      </c>
      <c r="H2065" s="5">
        <f>ROUND(G2065*NOTAS!$B$2,2)</f>
        <v>4688.75</v>
      </c>
      <c r="I2065" s="6">
        <f>ROUND(G2065*NOTAS!$B$3,0)</f>
        <v>21118</v>
      </c>
      <c r="J2065" s="2" t="n">
        <v>2</v>
      </c>
    </row>
    <row r="2066">
      <c r="A2066" s="2" t="inlineStr">
        <is>
          <t>CA-2100</t>
        </is>
      </c>
      <c r="B2066" s="2" t="inlineStr"/>
      <c r="C2066" s="2" t="inlineStr">
        <is>
          <t>FILTRO AIRE R-19 1.7/1.8 CONICO</t>
        </is>
      </c>
      <c r="D2066" s="2" t="inlineStr">
        <is>
          <t>CAR</t>
        </is>
      </c>
      <c r="E2066" s="3" t="n">
        <v>2</v>
      </c>
      <c r="F2066" s="4" t="n">
        <v>0.3</v>
      </c>
      <c r="G2066" s="5">
        <f>ROUND(E2066*(1+F2066),2)</f>
        <v>2.60</v>
      </c>
      <c r="H2066" s="5">
        <f>ROUND(G2066*NOTAS!$B$2,2)</f>
        <v>1875.50</v>
      </c>
      <c r="I2066" s="6">
        <f>ROUND(G2066*NOTAS!$B$3,0)</f>
        <v>8447</v>
      </c>
      <c r="J2066" s="2" t="n">
        <v>2</v>
      </c>
    </row>
    <row r="2067">
      <c r="A2067" s="2" t="inlineStr">
        <is>
          <t>MK-5109</t>
        </is>
      </c>
      <c r="B2067" s="2" t="inlineStr"/>
      <c r="C2067" s="2" t="inlineStr">
        <is>
          <t>FILTRO AIRE RACER INY</t>
        </is>
      </c>
      <c r="D2067" s="2" t="inlineStr">
        <is>
          <t>MILLARD</t>
        </is>
      </c>
      <c r="E2067" s="3" t="n">
        <v>6</v>
      </c>
      <c r="F2067" s="4" t="n">
        <v>0.3</v>
      </c>
      <c r="G2067" s="5">
        <f>ROUND(E2067*(1+F2067),2)</f>
        <v>7.80</v>
      </c>
      <c r="H2067" s="5">
        <f>ROUND(G2067*NOTAS!$B$2,2)</f>
        <v>5626.50</v>
      </c>
      <c r="I2067" s="6">
        <f>ROUND(G2067*NOTAS!$B$3,0)</f>
        <v>25341</v>
      </c>
      <c r="J2067" s="2" t="n">
        <v>2</v>
      </c>
    </row>
    <row r="2068">
      <c r="A2068" s="2" t="inlineStr">
        <is>
          <t>A35227</t>
        </is>
      </c>
      <c r="B2068" s="2" t="inlineStr"/>
      <c r="C2068" s="2" t="inlineStr">
        <is>
          <t>FILTRO AIRE RAM</t>
        </is>
      </c>
      <c r="D2068" s="2" t="inlineStr">
        <is>
          <t>PUROLATOR</t>
        </is>
      </c>
      <c r="E2068" s="3" t="n">
        <v>4</v>
      </c>
      <c r="F2068" s="4" t="n">
        <v>0.3</v>
      </c>
      <c r="G2068" s="5">
        <f>ROUND(E2068*(1+F2068),2)</f>
        <v>5.20</v>
      </c>
      <c r="H2068" s="5">
        <f>ROUND(G2068*NOTAS!$B$2,2)</f>
        <v>3751.00</v>
      </c>
      <c r="I2068" s="6">
        <f>ROUND(G2068*NOTAS!$B$3,0)</f>
        <v>16894</v>
      </c>
      <c r="J2068" s="2" t="n">
        <v>3</v>
      </c>
    </row>
    <row r="2069">
      <c r="A2069" s="2" t="inlineStr">
        <is>
          <t>47087</t>
        </is>
      </c>
      <c r="B2069" s="2" t="inlineStr"/>
      <c r="C2069" s="2" t="inlineStr">
        <is>
          <t>FILTRO AIRE R-SYMBOL/LOGAN</t>
        </is>
      </c>
      <c r="D2069" s="2" t="inlineStr">
        <is>
          <t>WIX</t>
        </is>
      </c>
      <c r="E2069" s="3" t="n">
        <v>5</v>
      </c>
      <c r="F2069" s="4" t="n">
        <v>0.3</v>
      </c>
      <c r="G2069" s="5">
        <f>ROUND(E2069*(1+F2069),2)</f>
        <v>6.50</v>
      </c>
      <c r="H2069" s="5">
        <f>ROUND(G2069*NOTAS!$B$2,2)</f>
        <v>4688.75</v>
      </c>
      <c r="I2069" s="6">
        <f>ROUND(G2069*NOTAS!$B$3,0)</f>
        <v>21118</v>
      </c>
      <c r="J2069" s="2" t="n">
        <v>10</v>
      </c>
    </row>
    <row r="2070">
      <c r="A2070" s="2" t="inlineStr">
        <is>
          <t>7701047655</t>
        </is>
      </c>
      <c r="B2070" s="2" t="inlineStr"/>
      <c r="C2070" s="2" t="inlineStr">
        <is>
          <t>FILTRO AIRE R-SYMBOL/LOGAN</t>
        </is>
      </c>
      <c r="D2070" s="2" t="inlineStr">
        <is>
          <t>GKP</t>
        </is>
      </c>
      <c r="E2070" s="3" t="n">
        <v>5</v>
      </c>
      <c r="F2070" s="4" t="n">
        <v>0.3</v>
      </c>
      <c r="G2070" s="5">
        <f>ROUND(E2070*(1+F2070),2)</f>
        <v>6.50</v>
      </c>
      <c r="H2070" s="5">
        <f>ROUND(G2070*NOTAS!$B$2,2)</f>
        <v>4688.75</v>
      </c>
      <c r="I2070" s="6">
        <f>ROUND(G2070*NOTAS!$B$3,0)</f>
        <v>21118</v>
      </c>
      <c r="J2070" s="2" t="n">
        <v>22</v>
      </c>
    </row>
    <row r="2071">
      <c r="A2071" s="2" t="inlineStr">
        <is>
          <t>7701065985</t>
        </is>
      </c>
      <c r="B2071" s="2" t="inlineStr"/>
      <c r="C2071" s="2" t="inlineStr">
        <is>
          <t>FILTRO AIRE R-TWINGO CONICO</t>
        </is>
      </c>
      <c r="D2071" s="2" t="inlineStr">
        <is>
          <t>RENAULT</t>
        </is>
      </c>
      <c r="E2071" s="3" t="n">
        <v>8</v>
      </c>
      <c r="F2071" s="4" t="n">
        <v>0.3</v>
      </c>
      <c r="G2071" s="5">
        <f>ROUND(E2071*(1+F2071),2)</f>
        <v>10.40</v>
      </c>
      <c r="H2071" s="5">
        <f>ROUND(G2071*NOTAS!$B$2,2)</f>
        <v>7501.99</v>
      </c>
      <c r="I2071" s="6">
        <f>ROUND(G2071*NOTAS!$B$3,0)</f>
        <v>33788</v>
      </c>
      <c r="J2071" s="2" t="n">
        <v>1</v>
      </c>
    </row>
    <row r="2072">
      <c r="A2072" s="2" t="inlineStr">
        <is>
          <t>AK9937</t>
        </is>
      </c>
      <c r="B2072" s="2" t="inlineStr"/>
      <c r="C2072" s="2" t="inlineStr">
        <is>
          <t>FILTRO AIRE R-TWINGO LARGO</t>
        </is>
      </c>
      <c r="D2072" s="2" t="inlineStr">
        <is>
          <t>MILLARD</t>
        </is>
      </c>
      <c r="E2072" s="3" t="n">
        <v>4.39</v>
      </c>
      <c r="F2072" s="4" t="n">
        <v>0.3</v>
      </c>
      <c r="G2072" s="5">
        <f>ROUND(E2072*(1+F2072),2)</f>
        <v>5.71</v>
      </c>
      <c r="H2072" s="5">
        <f>ROUND(G2072*NOTAS!$B$2,2)</f>
        <v>4118.88</v>
      </c>
      <c r="I2072" s="6">
        <f>ROUND(G2072*NOTAS!$B$3,0)</f>
        <v>18551</v>
      </c>
      <c r="J2072" s="2" t="n">
        <v>2</v>
      </c>
    </row>
    <row r="2073">
      <c r="A2073" s="2" t="inlineStr">
        <is>
          <t>MK-5463</t>
        </is>
      </c>
      <c r="B2073" s="2" t="inlineStr"/>
      <c r="C2073" s="2" t="inlineStr">
        <is>
          <t>FILTRO AIRE R-TWINGO CORTO</t>
        </is>
      </c>
      <c r="D2073" s="2" t="inlineStr">
        <is>
          <t>MILLARD</t>
        </is>
      </c>
      <c r="E2073" s="3" t="n">
        <v>5</v>
      </c>
      <c r="F2073" s="4" t="n">
        <v>0.3</v>
      </c>
      <c r="G2073" s="5">
        <f>ROUND(E2073*(1+F2073),2)</f>
        <v>6.50</v>
      </c>
      <c r="H2073" s="5">
        <f>ROUND(G2073*NOTAS!$B$2,2)</f>
        <v>4688.75</v>
      </c>
      <c r="I2073" s="6">
        <f>ROUND(G2073*NOTAS!$B$3,0)</f>
        <v>21118</v>
      </c>
      <c r="J2073" s="2" t="n">
        <v>4</v>
      </c>
    </row>
    <row r="2074">
      <c r="A2074" s="2" t="inlineStr">
        <is>
          <t>MA1016</t>
        </is>
      </c>
      <c r="B2074" s="2" t="inlineStr"/>
      <c r="C2074" s="2" t="inlineStr">
        <is>
          <t>FILTRO AIRE R-TWINGO CORTO</t>
        </is>
      </c>
      <c r="D2074" s="2" t="inlineStr">
        <is>
          <t>CLEAN FILTER</t>
        </is>
      </c>
      <c r="E2074" s="3" t="n">
        <v>3</v>
      </c>
      <c r="F2074" s="4" t="n">
        <v>0.3</v>
      </c>
      <c r="G2074" s="5">
        <f>ROUND(E2074*(1+F2074),2)</f>
        <v>3.90</v>
      </c>
      <c r="H2074" s="5">
        <f>ROUND(G2074*NOTAS!$B$2,2)</f>
        <v>2813.25</v>
      </c>
      <c r="I2074" s="6">
        <f>ROUND(G2074*NOTAS!$B$3,0)</f>
        <v>12671</v>
      </c>
      <c r="J2074" s="2" t="n">
        <v>4</v>
      </c>
    </row>
    <row r="2075">
      <c r="A2075" s="2" t="inlineStr">
        <is>
          <t>WA-4309</t>
        </is>
      </c>
      <c r="B2075" s="2" t="inlineStr"/>
      <c r="C2075" s="2" t="inlineStr">
        <is>
          <t>FILTRO AIRE SENTRA</t>
        </is>
      </c>
      <c r="D2075" s="2" t="inlineStr">
        <is>
          <t>WEB</t>
        </is>
      </c>
      <c r="E2075" s="3" t="n">
        <v>4</v>
      </c>
      <c r="F2075" s="4" t="n">
        <v>0.3</v>
      </c>
      <c r="G2075" s="5">
        <f>ROUND(E2075*(1+F2075),2)</f>
        <v>5.20</v>
      </c>
      <c r="H2075" s="5">
        <f>ROUND(G2075*NOTAS!$B$2,2)</f>
        <v>3751.00</v>
      </c>
      <c r="I2075" s="6">
        <f>ROUND(G2075*NOTAS!$B$3,0)</f>
        <v>16894</v>
      </c>
      <c r="J2075" s="2" t="n">
        <v>2</v>
      </c>
    </row>
    <row r="2076">
      <c r="A2076" s="2" t="inlineStr">
        <is>
          <t>96591485</t>
        </is>
      </c>
      <c r="B2076" s="2" t="inlineStr"/>
      <c r="C2076" s="2" t="inlineStr">
        <is>
          <t>FILTRO AIRE SPARK</t>
        </is>
      </c>
      <c r="D2076" s="2" t="inlineStr">
        <is>
          <t>GM</t>
        </is>
      </c>
      <c r="E2076" s="3" t="n">
        <v>8</v>
      </c>
      <c r="F2076" s="4" t="n">
        <v>0.3</v>
      </c>
      <c r="G2076" s="5">
        <f>ROUND(E2076*(1+F2076),2)</f>
        <v>10.40</v>
      </c>
      <c r="H2076" s="5">
        <f>ROUND(G2076*NOTAS!$B$2,2)</f>
        <v>7501.99</v>
      </c>
      <c r="I2076" s="6">
        <f>ROUND(G2076*NOTAS!$B$3,0)</f>
        <v>33788</v>
      </c>
      <c r="J2076" s="2" t="n">
        <v>5</v>
      </c>
    </row>
    <row r="2077">
      <c r="A2077" s="2" t="inlineStr">
        <is>
          <t>96591485</t>
        </is>
      </c>
      <c r="B2077" s="2" t="inlineStr"/>
      <c r="C2077" s="2" t="inlineStr">
        <is>
          <t>FILTRO AIRE SPARK</t>
        </is>
      </c>
      <c r="D2077" s="2" t="inlineStr">
        <is>
          <t>GM</t>
        </is>
      </c>
      <c r="E2077" s="3" t="n">
        <v>2.83</v>
      </c>
      <c r="F2077" s="4" t="n">
        <v>0.3</v>
      </c>
      <c r="G2077" s="5">
        <f>ROUND(E2077*(1+F2077),2)</f>
        <v>3.68</v>
      </c>
      <c r="H2077" s="5">
        <f>ROUND(G2077*NOTAS!$B$2,2)</f>
        <v>2654.55</v>
      </c>
      <c r="I2077" s="6">
        <f>ROUND(G2077*NOTAS!$B$3,0)</f>
        <v>11956</v>
      </c>
      <c r="J2077" s="2" t="n">
        <v>5</v>
      </c>
    </row>
    <row r="2078">
      <c r="A2078" s="2" t="inlineStr">
        <is>
          <t>MK-4940</t>
        </is>
      </c>
      <c r="B2078" s="2" t="inlineStr"/>
      <c r="C2078" s="2" t="inlineStr">
        <is>
          <t>FILTRO AIRE STARLET</t>
        </is>
      </c>
      <c r="D2078" s="2" t="inlineStr">
        <is>
          <t>MILLARD</t>
        </is>
      </c>
      <c r="E2078" s="3" t="n">
        <v>5</v>
      </c>
      <c r="F2078" s="4" t="n">
        <v>0.3</v>
      </c>
      <c r="G2078" s="5">
        <f>ROUND(E2078*(1+F2078),2)</f>
        <v>6.50</v>
      </c>
      <c r="H2078" s="5">
        <f>ROUND(G2078*NOTAS!$B$2,2)</f>
        <v>4688.75</v>
      </c>
      <c r="I2078" s="6">
        <f>ROUND(G2078*NOTAS!$B$3,0)</f>
        <v>21118</v>
      </c>
      <c r="J2078" s="2" t="n">
        <v>4</v>
      </c>
    </row>
    <row r="2079">
      <c r="A2079" s="2" t="inlineStr">
        <is>
          <t>17801-11100</t>
        </is>
      </c>
      <c r="B2079" s="2" t="inlineStr"/>
      <c r="C2079" s="2" t="inlineStr">
        <is>
          <t>FILTRO AIRE STARLET</t>
        </is>
      </c>
      <c r="D2079" s="2" t="inlineStr">
        <is>
          <t>HEAVY DUTY</t>
        </is>
      </c>
      <c r="E2079" s="3" t="n">
        <v>3</v>
      </c>
      <c r="F2079" s="4" t="n">
        <v>0.3</v>
      </c>
      <c r="G2079" s="5">
        <f>ROUND(E2079*(1+F2079),2)</f>
        <v>3.90</v>
      </c>
      <c r="H2079" s="5">
        <f>ROUND(G2079*NOTAS!$B$2,2)</f>
        <v>2813.25</v>
      </c>
      <c r="I2079" s="6">
        <f>ROUND(G2079*NOTAS!$B$3,0)</f>
        <v>12671</v>
      </c>
      <c r="J2079" s="2" t="n">
        <v>1</v>
      </c>
    </row>
    <row r="2080">
      <c r="A2080" s="2" t="inlineStr">
        <is>
          <t>MK-5524</t>
        </is>
      </c>
      <c r="B2080" s="2" t="inlineStr"/>
      <c r="C2080" s="2" t="inlineStr">
        <is>
          <t>FILTRO AIRE SWIFT</t>
        </is>
      </c>
      <c r="D2080" s="2" t="inlineStr">
        <is>
          <t>MILLARD</t>
        </is>
      </c>
      <c r="E2080" s="3" t="n">
        <v>6</v>
      </c>
      <c r="F2080" s="4" t="n">
        <v>0.3</v>
      </c>
      <c r="G2080" s="5">
        <f>ROUND(E2080*(1+F2080),2)</f>
        <v>7.80</v>
      </c>
      <c r="H2080" s="5">
        <f>ROUND(G2080*NOTAS!$B$2,2)</f>
        <v>5626.50</v>
      </c>
      <c r="I2080" s="6">
        <f>ROUND(G2080*NOTAS!$B$3,0)</f>
        <v>25341</v>
      </c>
      <c r="J2080" s="2" t="n">
        <v>3</v>
      </c>
    </row>
    <row r="2081">
      <c r="A2081" s="2" t="inlineStr">
        <is>
          <t>15410-63B01</t>
        </is>
      </c>
      <c r="B2081" s="2" t="inlineStr"/>
      <c r="C2081" s="2" t="inlineStr">
        <is>
          <t>FILTRO AIRE SWIFT</t>
        </is>
      </c>
      <c r="D2081" s="2" t="inlineStr">
        <is>
          <t>JAPON</t>
        </is>
      </c>
      <c r="E2081" s="3" t="n">
        <v>4</v>
      </c>
      <c r="F2081" s="4" t="n">
        <v>0.3</v>
      </c>
      <c r="G2081" s="5">
        <f>ROUND(E2081*(1+F2081),2)</f>
        <v>5.20</v>
      </c>
      <c r="H2081" s="5">
        <f>ROUND(G2081*NOTAS!$B$2,2)</f>
        <v>3751.00</v>
      </c>
      <c r="I2081" s="6">
        <f>ROUND(G2081*NOTAS!$B$3,0)</f>
        <v>16894</v>
      </c>
      <c r="J2081" s="2" t="n">
        <v>1</v>
      </c>
    </row>
    <row r="2082">
      <c r="A2082" s="2" t="inlineStr">
        <is>
          <t>S18-1109111</t>
        </is>
      </c>
      <c r="B2082" s="2" t="inlineStr"/>
      <c r="C2082" s="2" t="inlineStr">
        <is>
          <t>FILTRO AIRE X1</t>
        </is>
      </c>
      <c r="D2082" s="2" t="inlineStr">
        <is>
          <t>CHERY</t>
        </is>
      </c>
      <c r="E2082" s="3" t="n">
        <v>4.5</v>
      </c>
      <c r="F2082" s="4" t="n">
        <v>0.3</v>
      </c>
      <c r="G2082" s="5">
        <f>ROUND(E2082*(1+F2082),2)</f>
        <v>5.85</v>
      </c>
      <c r="H2082" s="5">
        <f>ROUND(G2082*NOTAS!$B$2,2)</f>
        <v>4219.87</v>
      </c>
      <c r="I2082" s="6">
        <f>ROUND(G2082*NOTAS!$B$3,0)</f>
        <v>19006</v>
      </c>
      <c r="J2082" s="2" t="n">
        <v>2</v>
      </c>
    </row>
    <row r="2083">
      <c r="A2083" s="2" t="inlineStr">
        <is>
          <t>CAL-3300</t>
        </is>
      </c>
      <c r="B2083" s="2" t="inlineStr"/>
      <c r="C2083" s="2" t="inlineStr">
        <is>
          <t>FILTRO AIRE ZEPHIR</t>
        </is>
      </c>
      <c r="D2083" s="2" t="inlineStr">
        <is>
          <t>LEE MARTIN</t>
        </is>
      </c>
      <c r="E2083" s="3" t="n">
        <v>2</v>
      </c>
      <c r="F2083" s="4" t="n">
        <v>0.3</v>
      </c>
      <c r="G2083" s="5">
        <f>ROUND(E2083*(1+F2083),2)</f>
        <v>2.60</v>
      </c>
      <c r="H2083" s="5">
        <f>ROUND(G2083*NOTAS!$B$2,2)</f>
        <v>1875.50</v>
      </c>
      <c r="I2083" s="6">
        <f>ROUND(G2083*NOTAS!$B$3,0)</f>
        <v>8447</v>
      </c>
      <c r="J2083" s="2" t="n">
        <v>3</v>
      </c>
    </row>
    <row r="2084">
      <c r="A2084" s="2" t="inlineStr">
        <is>
          <t>YFBG38241</t>
        </is>
      </c>
      <c r="B2084" s="2" t="inlineStr"/>
      <c r="C2084" s="2" t="inlineStr">
        <is>
          <t>FILTRO BOMBA GASOLINA FIESTA</t>
        </is>
      </c>
      <c r="D2084" s="2" t="inlineStr">
        <is>
          <t>KOREA</t>
        </is>
      </c>
      <c r="E2084" s="3" t="n">
        <v>1.01</v>
      </c>
      <c r="F2084" s="4" t="n">
        <v>0.3</v>
      </c>
      <c r="G2084" s="5">
        <f>ROUND(E2084*(1+F2084),2)</f>
        <v>1.31</v>
      </c>
      <c r="H2084" s="5">
        <f>ROUND(G2084*NOTAS!$B$2,2)</f>
        <v>944.96</v>
      </c>
      <c r="I2084" s="6">
        <f>ROUND(G2084*NOTAS!$B$3,0)</f>
        <v>4256</v>
      </c>
      <c r="J2084" s="2" t="n">
        <v>5</v>
      </c>
    </row>
    <row r="2085">
      <c r="A2085" s="2" t="inlineStr">
        <is>
          <t>3002</t>
        </is>
      </c>
      <c r="B2085" s="2" t="inlineStr"/>
      <c r="C2085" s="2" t="inlineStr">
        <is>
          <t>FILTRO BOMBA GASOLINA F-PALIO/SIENA 1.3 16V FIRE</t>
        </is>
      </c>
      <c r="D2085" s="2" t="inlineStr">
        <is>
          <t>DSC</t>
        </is>
      </c>
      <c r="E2085" s="3" t="n">
        <v>7.6923</v>
      </c>
      <c r="F2085" s="4" t="n">
        <v>0.3</v>
      </c>
      <c r="G2085" s="5">
        <f>ROUND(E2085*(1+F2085),2)</f>
        <v>10.00</v>
      </c>
      <c r="H2085" s="5">
        <f>ROUND(G2085*NOTAS!$B$2,2)</f>
        <v>7213.46</v>
      </c>
      <c r="I2085" s="6">
        <f>ROUND(G2085*NOTAS!$B$3,0)</f>
        <v>32489</v>
      </c>
      <c r="J2085" s="2" t="n">
        <v>2</v>
      </c>
    </row>
    <row r="2086">
      <c r="A2086" s="2" t="inlineStr">
        <is>
          <t>87131</t>
        </is>
      </c>
      <c r="B2086" s="2" t="inlineStr"/>
      <c r="C2086" s="2" t="inlineStr">
        <is>
          <t xml:space="preserve">FILTRO GASES MOTOR FIAT UNO </t>
        </is>
      </c>
      <c r="D2086" s="2" t="inlineStr">
        <is>
          <t>AJE</t>
        </is>
      </c>
      <c r="E2086" s="3" t="n">
        <v>6.1538</v>
      </c>
      <c r="F2086" s="4" t="n">
        <v>0.3</v>
      </c>
      <c r="G2086" s="5">
        <f>ROUND(E2086*(1+F2086),2)</f>
        <v>8.00</v>
      </c>
      <c r="H2086" s="5">
        <f>ROUND(G2086*NOTAS!$B$2,2)</f>
        <v>5770.76</v>
      </c>
      <c r="I2086" s="6">
        <f>ROUND(G2086*NOTAS!$B$3,0)</f>
        <v>25991</v>
      </c>
      <c r="J2086" s="2" t="n">
        <v>2</v>
      </c>
    </row>
    <row r="2087">
      <c r="A2087" s="2" t="inlineStr">
        <is>
          <t>AF-31100</t>
        </is>
      </c>
      <c r="B2087" s="2" t="inlineStr"/>
      <c r="C2087" s="2" t="inlineStr">
        <is>
          <t>FILTRO GASOLINA</t>
        </is>
      </c>
      <c r="D2087" s="2" t="inlineStr">
        <is>
          <t>A1</t>
        </is>
      </c>
      <c r="E2087" s="3" t="n">
        <v>6.1538</v>
      </c>
      <c r="F2087" s="4" t="n">
        <v>0.3</v>
      </c>
      <c r="G2087" s="5">
        <f>ROUND(E2087*(1+F2087),2)</f>
        <v>8.00</v>
      </c>
      <c r="H2087" s="5">
        <f>ROUND(G2087*NOTAS!$B$2,2)</f>
        <v>5770.76</v>
      </c>
      <c r="I2087" s="6">
        <f>ROUND(G2087*NOTAS!$B$3,0)</f>
        <v>25991</v>
      </c>
      <c r="J2087" s="2" t="n">
        <v>3</v>
      </c>
    </row>
    <row r="2088">
      <c r="A2088" s="2" t="inlineStr">
        <is>
          <t>MF-2407</t>
        </is>
      </c>
      <c r="B2088" s="2" t="inlineStr"/>
      <c r="C2088" s="2" t="inlineStr">
        <is>
          <t>FILTRO GASOLINA</t>
        </is>
      </c>
      <c r="D2088" s="2" t="inlineStr">
        <is>
          <t>MILLARD</t>
        </is>
      </c>
      <c r="E2088" s="3" t="n">
        <v>6.1538</v>
      </c>
      <c r="F2088" s="4" t="n">
        <v>0.3</v>
      </c>
      <c r="G2088" s="5">
        <f>ROUND(E2088*(1+F2088),2)</f>
        <v>8.00</v>
      </c>
      <c r="H2088" s="5">
        <f>ROUND(G2088*NOTAS!$B$2,2)</f>
        <v>5770.76</v>
      </c>
      <c r="I2088" s="6">
        <f>ROUND(G2088*NOTAS!$B$3,0)</f>
        <v>25991</v>
      </c>
      <c r="J2088" s="2" t="n">
        <v>1</v>
      </c>
    </row>
    <row r="2089">
      <c r="A2089" s="2" t="inlineStr">
        <is>
          <t>B14-1117110</t>
        </is>
      </c>
      <c r="B2089" s="2" t="inlineStr"/>
      <c r="C2089" s="2" t="inlineStr">
        <is>
          <t>FILTRO GASOLINA ARAUCA/ORINOCO/X1</t>
        </is>
      </c>
      <c r="D2089" s="2" t="inlineStr">
        <is>
          <t>KTO</t>
        </is>
      </c>
      <c r="E2089" s="3" t="n">
        <v>2.12</v>
      </c>
      <c r="F2089" s="4" t="n">
        <v>0.3</v>
      </c>
      <c r="G2089" s="5">
        <f>ROUND(E2089*(1+F2089),2)</f>
        <v>2.76</v>
      </c>
      <c r="H2089" s="5">
        <f>ROUND(G2089*NOTAS!$B$2,2)</f>
        <v>1990.91</v>
      </c>
      <c r="I2089" s="6">
        <f>ROUND(G2089*NOTAS!$B$3,0)</f>
        <v>8967</v>
      </c>
      <c r="J2089" s="2" t="n">
        <v>3</v>
      </c>
    </row>
    <row r="2090">
      <c r="A2090" s="2" t="inlineStr">
        <is>
          <t>B14-1117110</t>
        </is>
      </c>
      <c r="B2090" s="2" t="inlineStr"/>
      <c r="C2090" s="2" t="inlineStr">
        <is>
          <t>FILTRO GASOLINA ARAUCA/ORINOCO/X1</t>
        </is>
      </c>
      <c r="D2090" s="2" t="inlineStr">
        <is>
          <t>CHERY</t>
        </is>
      </c>
      <c r="E2090" s="3" t="n">
        <v>4</v>
      </c>
      <c r="F2090" s="4" t="n">
        <v>0.3</v>
      </c>
      <c r="G2090" s="5">
        <f>ROUND(E2090*(1+F2090),2)</f>
        <v>5.20</v>
      </c>
      <c r="H2090" s="5">
        <f>ROUND(G2090*NOTAS!$B$2,2)</f>
        <v>3751.00</v>
      </c>
      <c r="I2090" s="6">
        <f>ROUND(G2090*NOTAS!$B$3,0)</f>
        <v>16894</v>
      </c>
      <c r="J2090" s="2" t="n">
        <v>2</v>
      </c>
    </row>
    <row r="2091">
      <c r="A2091" s="2" t="inlineStr">
        <is>
          <t>MF-619</t>
        </is>
      </c>
      <c r="B2091" s="2" t="inlineStr"/>
      <c r="C2091" s="2" t="inlineStr">
        <is>
          <t>FILTRO GASOLINA AVEO OPTRA LANOS</t>
        </is>
      </c>
      <c r="D2091" s="2" t="inlineStr">
        <is>
          <t>MILLARD</t>
        </is>
      </c>
      <c r="E2091" s="3" t="n">
        <v>3.51</v>
      </c>
      <c r="F2091" s="4" t="n">
        <v>0.3</v>
      </c>
      <c r="G2091" s="5">
        <f>ROUND(E2091*(1+F2091),2)</f>
        <v>4.56</v>
      </c>
      <c r="H2091" s="5">
        <f>ROUND(G2091*NOTAS!$B$2,2)</f>
        <v>3289.34</v>
      </c>
      <c r="I2091" s="6">
        <f>ROUND(G2091*NOTAS!$B$3,0)</f>
        <v>14815</v>
      </c>
      <c r="J2091" s="2" t="n">
        <v>2</v>
      </c>
    </row>
    <row r="2092">
      <c r="A2092" s="2" t="inlineStr">
        <is>
          <t>FGGM500</t>
        </is>
      </c>
      <c r="B2092" s="2" t="inlineStr"/>
      <c r="C2092" s="2" t="inlineStr">
        <is>
          <t>FILTRO GASOLINA AVEO OPTRA LANOS</t>
        </is>
      </c>
      <c r="D2092" s="2" t="inlineStr">
        <is>
          <t>DAVER</t>
        </is>
      </c>
      <c r="E2092" s="3" t="n">
        <v>2</v>
      </c>
      <c r="F2092" s="4" t="n">
        <v>0.3</v>
      </c>
      <c r="G2092" s="5">
        <f>ROUND(E2092*(1+F2092),2)</f>
        <v>2.60</v>
      </c>
      <c r="H2092" s="5">
        <f>ROUND(G2092*NOTAS!$B$2,2)</f>
        <v>1875.50</v>
      </c>
      <c r="I2092" s="6">
        <f>ROUND(G2092*NOTAS!$B$3,0)</f>
        <v>8447</v>
      </c>
      <c r="J2092" s="2" t="n">
        <v>1</v>
      </c>
    </row>
    <row r="2093">
      <c r="A2093" s="2" t="inlineStr">
        <is>
          <t>AF-0619</t>
        </is>
      </c>
      <c r="B2093" s="2" t="inlineStr"/>
      <c r="C2093" s="2" t="inlineStr">
        <is>
          <t>FILTRO GASOLINA AVEO OPTRA LANOS</t>
        </is>
      </c>
      <c r="D2093" s="2" t="inlineStr">
        <is>
          <t>A1</t>
        </is>
      </c>
      <c r="E2093" s="3" t="n">
        <v>2.32</v>
      </c>
      <c r="F2093" s="4" t="n">
        <v>0.3</v>
      </c>
      <c r="G2093" s="5">
        <f>ROUND(E2093*(1+F2093),2)</f>
        <v>3.02</v>
      </c>
      <c r="H2093" s="5">
        <f>ROUND(G2093*NOTAS!$B$2,2)</f>
        <v>2178.46</v>
      </c>
      <c r="I2093" s="6">
        <f>ROUND(G2093*NOTAS!$B$3,0)</f>
        <v>9812</v>
      </c>
      <c r="J2093" s="2" t="n">
        <v>5</v>
      </c>
    </row>
    <row r="2094">
      <c r="A2094" s="2" t="inlineStr">
        <is>
          <t>MF-618</t>
        </is>
      </c>
      <c r="B2094" s="2" t="inlineStr"/>
      <c r="C2094" s="2" t="inlineStr">
        <is>
          <t>FILTRO GASOLINA CORSA</t>
        </is>
      </c>
      <c r="D2094" s="2" t="inlineStr">
        <is>
          <t>MILLARD</t>
        </is>
      </c>
      <c r="E2094" s="3" t="n">
        <v>3.36</v>
      </c>
      <c r="F2094" s="4" t="n">
        <v>0.3</v>
      </c>
      <c r="G2094" s="5">
        <f>ROUND(E2094*(1+F2094),2)</f>
        <v>4.37</v>
      </c>
      <c r="H2094" s="5">
        <f>ROUND(G2094*NOTAS!$B$2,2)</f>
        <v>3152.28</v>
      </c>
      <c r="I2094" s="6">
        <f>ROUND(G2094*NOTAS!$B$3,0)</f>
        <v>14198</v>
      </c>
      <c r="J2094" s="2" t="n">
        <v>1</v>
      </c>
    </row>
    <row r="2095">
      <c r="A2095" s="2" t="inlineStr">
        <is>
          <t>FGI-10173</t>
        </is>
      </c>
      <c r="B2095" s="2" t="inlineStr"/>
      <c r="C2095" s="2" t="inlineStr">
        <is>
          <t>FILTRO GASOLINA BLAZER PICO LARGO ROSCA</t>
        </is>
      </c>
      <c r="D2095" s="2" t="inlineStr">
        <is>
          <t>INTERFIL</t>
        </is>
      </c>
      <c r="E2095" s="3" t="n">
        <v>2</v>
      </c>
      <c r="F2095" s="4" t="n">
        <v>0.3</v>
      </c>
      <c r="G2095" s="5">
        <f>ROUND(E2095*(1+F2095),2)</f>
        <v>2.60</v>
      </c>
      <c r="H2095" s="5">
        <f>ROUND(G2095*NOTAS!$B$2,2)</f>
        <v>1875.50</v>
      </c>
      <c r="I2095" s="6">
        <f>ROUND(G2095*NOTAS!$B$3,0)</f>
        <v>8447</v>
      </c>
      <c r="J2095" s="2" t="n">
        <v>2</v>
      </c>
    </row>
    <row r="2096">
      <c r="A2096" s="2" t="inlineStr">
        <is>
          <t>FGI-1023</t>
        </is>
      </c>
      <c r="B2096" s="2" t="inlineStr"/>
      <c r="C2096" s="2" t="inlineStr">
        <is>
          <t>FILTRO GASOLINA BLAZER PICO ROSCA</t>
        </is>
      </c>
      <c r="D2096" s="2" t="inlineStr">
        <is>
          <t>INTERFIL</t>
        </is>
      </c>
      <c r="E2096" s="3" t="n">
        <v>2</v>
      </c>
      <c r="F2096" s="4" t="n">
        <v>0.3</v>
      </c>
      <c r="G2096" s="5">
        <f>ROUND(E2096*(1+F2096),2)</f>
        <v>2.60</v>
      </c>
      <c r="H2096" s="5">
        <f>ROUND(G2096*NOTAS!$B$2,2)</f>
        <v>1875.50</v>
      </c>
      <c r="I2096" s="6">
        <f>ROUND(G2096*NOTAS!$B$3,0)</f>
        <v>8447</v>
      </c>
      <c r="J2096" s="2" t="n">
        <v>2</v>
      </c>
    </row>
    <row r="2097">
      <c r="A2097" s="2" t="inlineStr">
        <is>
          <t>MF-578</t>
        </is>
      </c>
      <c r="B2097" s="2" t="inlineStr"/>
      <c r="C2097" s="2" t="inlineStr">
        <is>
          <t>FILTRO GASOLINA CAVALIER</t>
        </is>
      </c>
      <c r="D2097" s="2" t="inlineStr">
        <is>
          <t>MILLARD</t>
        </is>
      </c>
      <c r="E2097" s="3" t="n">
        <v>3</v>
      </c>
      <c r="F2097" s="4" t="n">
        <v>0.3</v>
      </c>
      <c r="G2097" s="5">
        <f>ROUND(E2097*(1+F2097),2)</f>
        <v>3.90</v>
      </c>
      <c r="H2097" s="5">
        <f>ROUND(G2097*NOTAS!$B$2,2)</f>
        <v>2813.25</v>
      </c>
      <c r="I2097" s="6">
        <f>ROUND(G2097*NOTAS!$B$3,0)</f>
        <v>12671</v>
      </c>
      <c r="J2097" s="2" t="n">
        <v>3</v>
      </c>
    </row>
    <row r="2098">
      <c r="A2098" s="2" t="inlineStr">
        <is>
          <t>MF-481</t>
        </is>
      </c>
      <c r="B2098" s="2" t="inlineStr"/>
      <c r="C2098" s="2" t="inlineStr">
        <is>
          <t>FILTRO GASOLINA CIELO</t>
        </is>
      </c>
      <c r="D2098" s="2" t="inlineStr">
        <is>
          <t>MILLARD</t>
        </is>
      </c>
      <c r="E2098" s="3" t="n">
        <v>3</v>
      </c>
      <c r="F2098" s="4" t="n">
        <v>0.3</v>
      </c>
      <c r="G2098" s="5">
        <f>ROUND(E2098*(1+F2098),2)</f>
        <v>3.90</v>
      </c>
      <c r="H2098" s="5">
        <f>ROUND(G2098*NOTAS!$B$2,2)</f>
        <v>2813.25</v>
      </c>
      <c r="I2098" s="6">
        <f>ROUND(G2098*NOTAS!$B$3,0)</f>
        <v>12671</v>
      </c>
      <c r="J2098" s="2" t="n">
        <v>1</v>
      </c>
    </row>
    <row r="2099">
      <c r="A2099" s="2" t="inlineStr">
        <is>
          <t>96130396</t>
        </is>
      </c>
      <c r="B2099" s="2" t="inlineStr"/>
      <c r="C2099" s="2" t="inlineStr">
        <is>
          <t>FILTRO GASOLINA CIELO</t>
        </is>
      </c>
      <c r="D2099" s="2" t="inlineStr">
        <is>
          <t>GM</t>
        </is>
      </c>
      <c r="E2099" s="3" t="n">
        <v>2</v>
      </c>
      <c r="F2099" s="4" t="n">
        <v>0.3</v>
      </c>
      <c r="G2099" s="5">
        <f>ROUND(E2099*(1+F2099),2)</f>
        <v>2.60</v>
      </c>
      <c r="H2099" s="5">
        <f>ROUND(G2099*NOTAS!$B$2,2)</f>
        <v>1875.50</v>
      </c>
      <c r="I2099" s="6">
        <f>ROUND(G2099*NOTAS!$B$3,0)</f>
        <v>8447</v>
      </c>
      <c r="J2099" s="2" t="n">
        <v>1</v>
      </c>
    </row>
    <row r="2100">
      <c r="A2100" s="2" t="inlineStr">
        <is>
          <t>96130396</t>
        </is>
      </c>
      <c r="B2100" s="2" t="inlineStr"/>
      <c r="C2100" s="2" t="inlineStr">
        <is>
          <t>FILTRO GASOLINA CIELO</t>
        </is>
      </c>
      <c r="D2100" s="2" t="inlineStr">
        <is>
          <t>GKP</t>
        </is>
      </c>
      <c r="E2100" s="3" t="n">
        <v>2</v>
      </c>
      <c r="F2100" s="4" t="n">
        <v>0.3</v>
      </c>
      <c r="G2100" s="5">
        <f>ROUND(E2100*(1+F2100),2)</f>
        <v>2.60</v>
      </c>
      <c r="H2100" s="5">
        <f>ROUND(G2100*NOTAS!$B$2,2)</f>
        <v>1875.50</v>
      </c>
      <c r="I2100" s="6">
        <f>ROUND(G2100*NOTAS!$B$3,0)</f>
        <v>8447</v>
      </c>
      <c r="J2100" s="2" t="n">
        <v>7</v>
      </c>
    </row>
    <row r="2101">
      <c r="A2101" s="2" t="inlineStr">
        <is>
          <t>MF-9145</t>
        </is>
      </c>
      <c r="B2101" s="2" t="inlineStr"/>
      <c r="C2101" s="2" t="inlineStr">
        <is>
          <t>FILTRO GASOLINA COROLLA 93/02</t>
        </is>
      </c>
      <c r="D2101" s="2" t="inlineStr">
        <is>
          <t>A1</t>
        </is>
      </c>
      <c r="E2101" s="3" t="n">
        <v>3</v>
      </c>
      <c r="F2101" s="4" t="n">
        <v>0.3</v>
      </c>
      <c r="G2101" s="5">
        <f>ROUND(E2101*(1+F2101),2)</f>
        <v>3.90</v>
      </c>
      <c r="H2101" s="5">
        <f>ROUND(G2101*NOTAS!$B$2,2)</f>
        <v>2813.25</v>
      </c>
      <c r="I2101" s="6">
        <f>ROUND(G2101*NOTAS!$B$3,0)</f>
        <v>12671</v>
      </c>
      <c r="J2101" s="2" t="n">
        <v>1</v>
      </c>
    </row>
    <row r="2102">
      <c r="A2102" s="2" t="inlineStr">
        <is>
          <t>FGI-10136</t>
        </is>
      </c>
      <c r="B2102" s="2" t="inlineStr"/>
      <c r="C2102" s="2" t="inlineStr">
        <is>
          <t>FILTRO GASOLINA EXPLORER/TRITON/MUSTANG</t>
        </is>
      </c>
      <c r="D2102" s="2" t="inlineStr">
        <is>
          <t>INTERFIL</t>
        </is>
      </c>
      <c r="E2102" s="3" t="n">
        <v>4</v>
      </c>
      <c r="F2102" s="4" t="n">
        <v>0.3</v>
      </c>
      <c r="G2102" s="5">
        <f>ROUND(E2102*(1+F2102),2)</f>
        <v>5.20</v>
      </c>
      <c r="H2102" s="5">
        <f>ROUND(G2102*NOTAS!$B$2,2)</f>
        <v>3751.00</v>
      </c>
      <c r="I2102" s="6">
        <f>ROUND(G2102*NOTAS!$B$3,0)</f>
        <v>16894</v>
      </c>
      <c r="J2102" s="2" t="n">
        <v>2</v>
      </c>
    </row>
    <row r="2103">
      <c r="A2103" s="2" t="inlineStr">
        <is>
          <t>FG-1083</t>
        </is>
      </c>
      <c r="B2103" s="2" t="inlineStr">
        <is>
          <t>2C5E9155BB</t>
        </is>
      </c>
      <c r="C2103" s="2" t="inlineStr">
        <is>
          <t>FILTRO GASOLINA EXPLORER/TRITON/MUSTANG</t>
        </is>
      </c>
      <c r="D2103" s="2" t="inlineStr">
        <is>
          <t>MOTORCRAFT</t>
        </is>
      </c>
      <c r="E2103" s="3" t="n">
        <v>8</v>
      </c>
      <c r="F2103" s="4" t="n">
        <v>0.3</v>
      </c>
      <c r="G2103" s="5">
        <f>ROUND(E2103*(1+F2103),2)</f>
        <v>10.40</v>
      </c>
      <c r="H2103" s="5">
        <f>ROUND(G2103*NOTAS!$B$2,2)</f>
        <v>7501.99</v>
      </c>
      <c r="I2103" s="6">
        <f>ROUND(G2103*NOTAS!$B$3,0)</f>
        <v>33788</v>
      </c>
      <c r="J2103" s="2" t="n">
        <v>2</v>
      </c>
    </row>
    <row r="2104">
      <c r="A2104" s="2" t="inlineStr">
        <is>
          <t>FGI-073</t>
        </is>
      </c>
      <c r="B2104" s="2" t="inlineStr"/>
      <c r="C2104" s="2" t="inlineStr">
        <is>
          <t>FILTRO GASOLINA FESTIVA CARBURADO</t>
        </is>
      </c>
      <c r="D2104" s="2" t="inlineStr">
        <is>
          <t>INTERFIL</t>
        </is>
      </c>
      <c r="E2104" s="3" t="n">
        <v>2</v>
      </c>
      <c r="F2104" s="4" t="n">
        <v>0.3</v>
      </c>
      <c r="G2104" s="5">
        <f>ROUND(E2104*(1+F2104),2)</f>
        <v>2.60</v>
      </c>
      <c r="H2104" s="5">
        <f>ROUND(G2104*NOTAS!$B$2,2)</f>
        <v>1875.50</v>
      </c>
      <c r="I2104" s="6">
        <f>ROUND(G2104*NOTAS!$B$3,0)</f>
        <v>8447</v>
      </c>
      <c r="J2104" s="2" t="n">
        <v>7</v>
      </c>
    </row>
    <row r="2105">
      <c r="A2105" s="2" t="inlineStr">
        <is>
          <t>KL224</t>
        </is>
      </c>
      <c r="B2105" s="2" t="inlineStr"/>
      <c r="C2105" s="2" t="inlineStr">
        <is>
          <t>FILTRO GASOLINA FIESTA 00/03-KA</t>
        </is>
      </c>
      <c r="D2105" s="2" t="inlineStr">
        <is>
          <t>MAHLE</t>
        </is>
      </c>
      <c r="E2105" s="3" t="n">
        <v>3</v>
      </c>
      <c r="F2105" s="4" t="n">
        <v>0.3</v>
      </c>
      <c r="G2105" s="5">
        <f>ROUND(E2105*(1+F2105),2)</f>
        <v>3.90</v>
      </c>
      <c r="H2105" s="5">
        <f>ROUND(G2105*NOTAS!$B$2,2)</f>
        <v>2813.25</v>
      </c>
      <c r="I2105" s="6">
        <f>ROUND(G2105*NOTAS!$B$3,0)</f>
        <v>12671</v>
      </c>
      <c r="J2105" s="2" t="n">
        <v>7</v>
      </c>
    </row>
    <row r="2106">
      <c r="A2106" s="2" t="inlineStr">
        <is>
          <t>XFF-55AA</t>
        </is>
      </c>
      <c r="B2106" s="2" t="inlineStr"/>
      <c r="C2106" s="2" t="inlineStr">
        <is>
          <t>FILTRO GASOLINA FIESTA 00/03-KA</t>
        </is>
      </c>
      <c r="D2106" s="2" t="inlineStr">
        <is>
          <t>XPC</t>
        </is>
      </c>
      <c r="E2106" s="3" t="n">
        <v>2</v>
      </c>
      <c r="F2106" s="4" t="n">
        <v>0.3</v>
      </c>
      <c r="G2106" s="5">
        <f>ROUND(E2106*(1+F2106),2)</f>
        <v>2.60</v>
      </c>
      <c r="H2106" s="5">
        <f>ROUND(G2106*NOTAS!$B$2,2)</f>
        <v>1875.50</v>
      </c>
      <c r="I2106" s="6">
        <f>ROUND(G2106*NOTAS!$B$3,0)</f>
        <v>8447</v>
      </c>
      <c r="J2106" s="2" t="n">
        <v>1</v>
      </c>
    </row>
    <row r="2107">
      <c r="A2107" s="2" t="inlineStr">
        <is>
          <t>MF-3521</t>
        </is>
      </c>
      <c r="B2107" s="2" t="inlineStr"/>
      <c r="C2107" s="2" t="inlineStr">
        <is>
          <t>FILTRO GASOLINA FIESTA 00/03-KA</t>
        </is>
      </c>
      <c r="D2107" s="2" t="inlineStr">
        <is>
          <t>MILLARD</t>
        </is>
      </c>
      <c r="E2107" s="3" t="n">
        <v>4</v>
      </c>
      <c r="F2107" s="4" t="n">
        <v>0.3</v>
      </c>
      <c r="G2107" s="5">
        <f>ROUND(E2107*(1+F2107),2)</f>
        <v>5.20</v>
      </c>
      <c r="H2107" s="5">
        <f>ROUND(G2107*NOTAS!$B$2,2)</f>
        <v>3751.00</v>
      </c>
      <c r="I2107" s="6">
        <f>ROUND(G2107*NOTAS!$B$3,0)</f>
        <v>16894</v>
      </c>
      <c r="J2107" s="2" t="n">
        <v>3</v>
      </c>
    </row>
    <row r="2108">
      <c r="A2108" s="2" t="inlineStr">
        <is>
          <t>33296</t>
        </is>
      </c>
      <c r="B2108" s="2" t="inlineStr"/>
      <c r="C2108" s="2" t="inlineStr">
        <is>
          <t>FILTRO GASOLINA FIESTA 00/03-KA</t>
        </is>
      </c>
      <c r="D2108" s="2" t="inlineStr">
        <is>
          <t>WIX</t>
        </is>
      </c>
      <c r="E2108" s="3" t="n">
        <v>2</v>
      </c>
      <c r="F2108" s="4" t="n">
        <v>0.3</v>
      </c>
      <c r="G2108" s="5">
        <f>ROUND(E2108*(1+F2108),2)</f>
        <v>2.60</v>
      </c>
      <c r="H2108" s="5">
        <f>ROUND(G2108*NOTAS!$B$2,2)</f>
        <v>1875.50</v>
      </c>
      <c r="I2108" s="6">
        <f>ROUND(G2108*NOTAS!$B$3,0)</f>
        <v>8447</v>
      </c>
      <c r="J2108" s="2" t="n">
        <v>1</v>
      </c>
    </row>
    <row r="2109">
      <c r="A2109" s="2" t="inlineStr">
        <is>
          <t>34004</t>
        </is>
      </c>
      <c r="B2109" s="2" t="inlineStr"/>
      <c r="C2109" s="2" t="inlineStr">
        <is>
          <t>FILTRO GASOLINA FIESTA 00/03-KA</t>
        </is>
      </c>
      <c r="D2109" s="2" t="inlineStr">
        <is>
          <t>WIX</t>
        </is>
      </c>
      <c r="E2109" s="3" t="n">
        <v>2</v>
      </c>
      <c r="F2109" s="4" t="n">
        <v>0.3</v>
      </c>
      <c r="G2109" s="5">
        <f>ROUND(E2109*(1+F2109),2)</f>
        <v>2.60</v>
      </c>
      <c r="H2109" s="5">
        <f>ROUND(G2109*NOTAS!$B$2,2)</f>
        <v>1875.50</v>
      </c>
      <c r="I2109" s="6">
        <f>ROUND(G2109*NOTAS!$B$3,0)</f>
        <v>8447</v>
      </c>
      <c r="J2109" s="2" t="n">
        <v>2</v>
      </c>
    </row>
    <row r="2110">
      <c r="A2110" s="2" t="inlineStr">
        <is>
          <t>FG-872M</t>
        </is>
      </c>
      <c r="B2110" s="2" t="inlineStr"/>
      <c r="C2110" s="2" t="inlineStr">
        <is>
          <t>FILTRO GASOLINA FIESTA 00/03-KA/BRONCO</t>
        </is>
      </c>
      <c r="D2110" s="2" t="inlineStr">
        <is>
          <t>KOSHIYO</t>
        </is>
      </c>
      <c r="E2110" s="3" t="n">
        <v>2</v>
      </c>
      <c r="F2110" s="4" t="n">
        <v>0.3</v>
      </c>
      <c r="G2110" s="5">
        <f>ROUND(E2110*(1+F2110),2)</f>
        <v>2.60</v>
      </c>
      <c r="H2110" s="5">
        <f>ROUND(G2110*NOTAS!$B$2,2)</f>
        <v>1875.50</v>
      </c>
      <c r="I2110" s="6">
        <f>ROUND(G2110*NOTAS!$B$3,0)</f>
        <v>8447</v>
      </c>
      <c r="J2110" s="2" t="n">
        <v>2</v>
      </c>
    </row>
    <row r="2111">
      <c r="A2111" s="2" t="inlineStr">
        <is>
          <t>FGI-018</t>
        </is>
      </c>
      <c r="B2111" s="2" t="inlineStr"/>
      <c r="C2111" s="2" t="inlineStr">
        <is>
          <t>FILTRO GASOLINA FIESTA 00/03-KA/BRONCO</t>
        </is>
      </c>
      <c r="D2111" s="2" t="inlineStr">
        <is>
          <t>INTERFIL</t>
        </is>
      </c>
      <c r="E2111" s="3" t="n">
        <v>2</v>
      </c>
      <c r="F2111" s="4" t="n">
        <v>0.3</v>
      </c>
      <c r="G2111" s="5">
        <f>ROUND(E2111*(1+F2111),2)</f>
        <v>2.60</v>
      </c>
      <c r="H2111" s="5">
        <f>ROUND(G2111*NOTAS!$B$2,2)</f>
        <v>1875.50</v>
      </c>
      <c r="I2111" s="6">
        <f>ROUND(G2111*NOTAS!$B$3,0)</f>
        <v>8447</v>
      </c>
      <c r="J2111" s="2" t="n">
        <v>3</v>
      </c>
    </row>
    <row r="2112">
      <c r="A2112" s="2" t="inlineStr">
        <is>
          <t>FG-986B</t>
        </is>
      </c>
      <c r="B2112" s="2" t="inlineStr">
        <is>
          <t>F89Z-9155-A</t>
        </is>
      </c>
      <c r="C2112" s="2" t="inlineStr">
        <is>
          <t>FILTRO GASOLINA FIESTA 04/…</t>
        </is>
      </c>
      <c r="D2112" s="2" t="inlineStr">
        <is>
          <t>MOTORCRAFT</t>
        </is>
      </c>
      <c r="E2112" s="3" t="n">
        <v>5</v>
      </c>
      <c r="F2112" s="4" t="n">
        <v>0.3</v>
      </c>
      <c r="G2112" s="5">
        <f>ROUND(E2112*(1+F2112),2)</f>
        <v>6.50</v>
      </c>
      <c r="H2112" s="5">
        <f>ROUND(G2112*NOTAS!$B$2,2)</f>
        <v>4688.75</v>
      </c>
      <c r="I2112" s="6">
        <f>ROUND(G2112*NOTAS!$B$3,0)</f>
        <v>21118</v>
      </c>
      <c r="J2112" s="2" t="n">
        <v>4</v>
      </c>
    </row>
    <row r="2113">
      <c r="A2113" s="2" t="inlineStr">
        <is>
          <t>AF9292</t>
        </is>
      </c>
      <c r="B2113" s="2" t="inlineStr"/>
      <c r="C2113" s="2" t="inlineStr">
        <is>
          <t>FILTRO GASOLINA FIESTA 04/…</t>
        </is>
      </c>
      <c r="D2113" s="2" t="inlineStr">
        <is>
          <t>KTO</t>
        </is>
      </c>
      <c r="E2113" s="3" t="n">
        <v>2.44</v>
      </c>
      <c r="F2113" s="4" t="n">
        <v>0.3</v>
      </c>
      <c r="G2113" s="5">
        <f>ROUND(E2113*(1+F2113),2)</f>
        <v>3.17</v>
      </c>
      <c r="H2113" s="5">
        <f>ROUND(G2113*NOTAS!$B$2,2)</f>
        <v>2286.67</v>
      </c>
      <c r="I2113" s="6">
        <f>ROUND(G2113*NOTAS!$B$3,0)</f>
        <v>10299</v>
      </c>
      <c r="J2113" s="2" t="n">
        <v>1</v>
      </c>
    </row>
    <row r="2114">
      <c r="A2114" s="2" t="inlineStr">
        <is>
          <t>AF-9292</t>
        </is>
      </c>
      <c r="B2114" s="2" t="inlineStr"/>
      <c r="C2114" s="2" t="inlineStr">
        <is>
          <t>FILTRO GASOLINA FIESTA 04/…</t>
        </is>
      </c>
      <c r="D2114" s="2" t="inlineStr">
        <is>
          <t>A1</t>
        </is>
      </c>
      <c r="E2114" s="3" t="n">
        <v>2</v>
      </c>
      <c r="F2114" s="4" t="n">
        <v>0.3</v>
      </c>
      <c r="G2114" s="5">
        <f>ROUND(E2114*(1+F2114),2)</f>
        <v>2.60</v>
      </c>
      <c r="H2114" s="5">
        <f>ROUND(G2114*NOTAS!$B$2,2)</f>
        <v>1875.50</v>
      </c>
      <c r="I2114" s="6">
        <f>ROUND(G2114*NOTAS!$B$3,0)</f>
        <v>8447</v>
      </c>
      <c r="J2114" s="2" t="n">
        <v>1</v>
      </c>
    </row>
    <row r="2115">
      <c r="A2115" s="2" t="inlineStr">
        <is>
          <t>MF-1410</t>
        </is>
      </c>
      <c r="B2115" s="2" t="inlineStr"/>
      <c r="C2115" s="2" t="inlineStr">
        <is>
          <t xml:space="preserve">FILTRO GASOLINA F-PAL/SIE </t>
        </is>
      </c>
      <c r="D2115" s="2" t="inlineStr">
        <is>
          <t>MILLARD</t>
        </is>
      </c>
      <c r="E2115" s="3" t="n">
        <v>5</v>
      </c>
      <c r="F2115" s="4" t="n">
        <v>0.3</v>
      </c>
      <c r="G2115" s="5">
        <f>ROUND(E2115*(1+F2115),2)</f>
        <v>6.50</v>
      </c>
      <c r="H2115" s="5">
        <f>ROUND(G2115*NOTAS!$B$2,2)</f>
        <v>4688.75</v>
      </c>
      <c r="I2115" s="6">
        <f>ROUND(G2115*NOTAS!$B$3,0)</f>
        <v>21118</v>
      </c>
      <c r="J2115" s="2" t="n">
        <v>2</v>
      </c>
    </row>
    <row r="2116">
      <c r="A2116" s="2" t="inlineStr">
        <is>
          <t>AM1254</t>
        </is>
      </c>
      <c r="B2116" s="2" t="inlineStr"/>
      <c r="C2116" s="2" t="inlineStr">
        <is>
          <t xml:space="preserve">FILTRO GASOLINA F-PAL/SIE </t>
        </is>
      </c>
      <c r="D2116" s="2" t="inlineStr">
        <is>
          <t>KTO</t>
        </is>
      </c>
      <c r="E2116" s="3" t="n">
        <v>2.98</v>
      </c>
      <c r="F2116" s="4" t="n">
        <v>0.3</v>
      </c>
      <c r="G2116" s="5">
        <f>ROUND(E2116*(1+F2116),2)</f>
        <v>3.87</v>
      </c>
      <c r="H2116" s="5">
        <f>ROUND(G2116*NOTAS!$B$2,2)</f>
        <v>2791.61</v>
      </c>
      <c r="I2116" s="6">
        <f>ROUND(G2116*NOTAS!$B$3,0)</f>
        <v>12573</v>
      </c>
      <c r="J2116" s="2" t="n">
        <v>1</v>
      </c>
    </row>
    <row r="2117">
      <c r="A2117" s="2" t="inlineStr">
        <is>
          <t>AF1410</t>
        </is>
      </c>
      <c r="B2117" s="2" t="inlineStr"/>
      <c r="C2117" s="2" t="inlineStr">
        <is>
          <t xml:space="preserve">FILTRO GASOLINA F-PAL/SIE </t>
        </is>
      </c>
      <c r="D2117" s="2" t="inlineStr">
        <is>
          <t>A1</t>
        </is>
      </c>
      <c r="E2117" s="3" t="n">
        <v>2.46</v>
      </c>
      <c r="F2117" s="4" t="n">
        <v>0.3</v>
      </c>
      <c r="G2117" s="5">
        <f>ROUND(E2117*(1+F2117),2)</f>
        <v>3.20</v>
      </c>
      <c r="H2117" s="5">
        <f>ROUND(G2117*NOTAS!$B$2,2)</f>
        <v>2308.31</v>
      </c>
      <c r="I2117" s="6">
        <f>ROUND(G2117*NOTAS!$B$3,0)</f>
        <v>10396</v>
      </c>
      <c r="J2117" s="2" t="n">
        <v>4</v>
      </c>
    </row>
    <row r="2118">
      <c r="A2118" s="2" t="inlineStr">
        <is>
          <t>4195</t>
        </is>
      </c>
      <c r="B2118" s="2" t="inlineStr">
        <is>
          <t>46416684</t>
        </is>
      </c>
      <c r="C2118" s="2" t="inlineStr">
        <is>
          <t xml:space="preserve">FILTRO GASOLINA F-PAL/SIE </t>
        </is>
      </c>
      <c r="D2118" s="2" t="inlineStr">
        <is>
          <t>MEAT DORIA</t>
        </is>
      </c>
      <c r="E2118" s="3" t="n">
        <v>3</v>
      </c>
      <c r="F2118" s="4" t="n">
        <v>0.3</v>
      </c>
      <c r="G2118" s="5">
        <f>ROUND(E2118*(1+F2118),2)</f>
        <v>3.90</v>
      </c>
      <c r="H2118" s="5">
        <f>ROUND(G2118*NOTAS!$B$2,2)</f>
        <v>2813.25</v>
      </c>
      <c r="I2118" s="6">
        <f>ROUND(G2118*NOTAS!$B$3,0)</f>
        <v>12671</v>
      </c>
      <c r="J2118" s="2" t="n">
        <v>1</v>
      </c>
    </row>
    <row r="2119">
      <c r="A2119" s="2" t="inlineStr">
        <is>
          <t>AF5312</t>
        </is>
      </c>
      <c r="B2119" s="2" t="inlineStr"/>
      <c r="C2119" s="2" t="inlineStr">
        <is>
          <t>FILTRO GASOLINA F-UNO INY/FIRE</t>
        </is>
      </c>
      <c r="D2119" s="2" t="inlineStr">
        <is>
          <t>A1</t>
        </is>
      </c>
      <c r="E2119" s="3" t="n">
        <v>2.57</v>
      </c>
      <c r="F2119" s="4" t="n">
        <v>0.3</v>
      </c>
      <c r="G2119" s="5">
        <f>ROUND(E2119*(1+F2119),2)</f>
        <v>3.34</v>
      </c>
      <c r="H2119" s="5">
        <f>ROUND(G2119*NOTAS!$B$2,2)</f>
        <v>2409.29</v>
      </c>
      <c r="I2119" s="6">
        <f>ROUND(G2119*NOTAS!$B$3,0)</f>
        <v>10851</v>
      </c>
      <c r="J2119" s="2" t="n">
        <v>2</v>
      </c>
    </row>
    <row r="2120">
      <c r="A2120" s="2" t="inlineStr">
        <is>
          <t>FS40/7</t>
        </is>
      </c>
      <c r="B2120" s="2" t="inlineStr"/>
      <c r="C2120" s="2" t="inlineStr">
        <is>
          <t>FILTRO GASOLINA F-UNO INY/FIRE</t>
        </is>
      </c>
      <c r="D2120" s="2" t="inlineStr">
        <is>
          <t>VOX</t>
        </is>
      </c>
      <c r="E2120" s="3" t="n">
        <v>4.5</v>
      </c>
      <c r="F2120" s="4" t="n">
        <v>0.3</v>
      </c>
      <c r="G2120" s="5">
        <f>ROUND(E2120*(1+F2120),2)</f>
        <v>5.85</v>
      </c>
      <c r="H2120" s="5">
        <f>ROUND(G2120*NOTAS!$B$2,2)</f>
        <v>4219.87</v>
      </c>
      <c r="I2120" s="6">
        <f>ROUND(G2120*NOTAS!$B$3,0)</f>
        <v>19006</v>
      </c>
      <c r="J2120" s="2" t="n">
        <v>2</v>
      </c>
    </row>
    <row r="2121">
      <c r="A2121" s="2" t="inlineStr">
        <is>
          <t>AF9131</t>
        </is>
      </c>
      <c r="B2121" s="2" t="inlineStr"/>
      <c r="C2121" s="2" t="inlineStr">
        <is>
          <t>FILTRO GASOLINA KIA RIO 1.5 STYLUS</t>
        </is>
      </c>
      <c r="D2121" s="2" t="inlineStr">
        <is>
          <t>A1</t>
        </is>
      </c>
      <c r="E2121" s="3" t="n">
        <v>2.88</v>
      </c>
      <c r="F2121" s="4" t="n">
        <v>0.3</v>
      </c>
      <c r="G2121" s="5">
        <f>ROUND(E2121*(1+F2121),2)</f>
        <v>3.74</v>
      </c>
      <c r="H2121" s="5">
        <f>ROUND(G2121*NOTAS!$B$2,2)</f>
        <v>2697.83</v>
      </c>
      <c r="I2121" s="6">
        <f>ROUND(G2121*NOTAS!$B$3,0)</f>
        <v>12151</v>
      </c>
      <c r="J2121" s="2" t="n">
        <v>2</v>
      </c>
    </row>
    <row r="2122">
      <c r="A2122" s="2" t="inlineStr">
        <is>
          <t>0K30A-13-480</t>
        </is>
      </c>
      <c r="B2122" s="2" t="inlineStr"/>
      <c r="C2122" s="2" t="inlineStr">
        <is>
          <t>FILTRO GASOLINA KIA RIO 1.5</t>
        </is>
      </c>
      <c r="D2122" s="2" t="inlineStr">
        <is>
          <t>ONNURI</t>
        </is>
      </c>
      <c r="E2122" s="3" t="n">
        <v>4</v>
      </c>
      <c r="F2122" s="4" t="n">
        <v>0.3</v>
      </c>
      <c r="G2122" s="5">
        <f>ROUND(E2122*(1+F2122),2)</f>
        <v>5.20</v>
      </c>
      <c r="H2122" s="5">
        <f>ROUND(G2122*NOTAS!$B$2,2)</f>
        <v>3751.00</v>
      </c>
      <c r="I2122" s="6">
        <f>ROUND(G2122*NOTAS!$B$3,0)</f>
        <v>16894</v>
      </c>
      <c r="J2122" s="2" t="n">
        <v>1</v>
      </c>
    </row>
    <row r="2123">
      <c r="A2123" s="2" t="inlineStr">
        <is>
          <t>MF-3525</t>
        </is>
      </c>
      <c r="B2123" s="2" t="inlineStr"/>
      <c r="C2123" s="2" t="inlineStr">
        <is>
          <t>FILTRO GASOLINA LASER</t>
        </is>
      </c>
      <c r="D2123" s="2" t="inlineStr">
        <is>
          <t>MILLARD</t>
        </is>
      </c>
      <c r="E2123" s="3" t="n">
        <v>5</v>
      </c>
      <c r="F2123" s="4" t="n">
        <v>0.3</v>
      </c>
      <c r="G2123" s="5">
        <f>ROUND(E2123*(1+F2123),2)</f>
        <v>6.50</v>
      </c>
      <c r="H2123" s="5">
        <f>ROUND(G2123*NOTAS!$B$2,2)</f>
        <v>4688.75</v>
      </c>
      <c r="I2123" s="6">
        <f>ROUND(G2123*NOTAS!$B$3,0)</f>
        <v>21118</v>
      </c>
      <c r="J2123" s="2" t="n">
        <v>2</v>
      </c>
    </row>
    <row r="2124">
      <c r="A2124" s="2" t="inlineStr">
        <is>
          <t>16400-59A00</t>
        </is>
      </c>
      <c r="B2124" s="2" t="inlineStr"/>
      <c r="C2124" s="2" t="inlineStr">
        <is>
          <t>FILTRO GASOLINA NISSAN SENTRA CARBURADO</t>
        </is>
      </c>
      <c r="D2124" s="2" t="inlineStr">
        <is>
          <t>KOSHIYO</t>
        </is>
      </c>
      <c r="E2124" s="3" t="n">
        <v>2</v>
      </c>
      <c r="F2124" s="4" t="n">
        <v>0.3</v>
      </c>
      <c r="G2124" s="5">
        <f>ROUND(E2124*(1+F2124),2)</f>
        <v>2.60</v>
      </c>
      <c r="H2124" s="5">
        <f>ROUND(G2124*NOTAS!$B$2,2)</f>
        <v>1875.50</v>
      </c>
      <c r="I2124" s="6">
        <f>ROUND(G2124*NOTAS!$B$3,0)</f>
        <v>8447</v>
      </c>
      <c r="J2124" s="2" t="n">
        <v>4</v>
      </c>
    </row>
    <row r="2125">
      <c r="A2125" s="2" t="inlineStr">
        <is>
          <t>MF-4474</t>
        </is>
      </c>
      <c r="B2125" s="2" t="inlineStr"/>
      <c r="C2125" s="2" t="inlineStr">
        <is>
          <t>FILTRO GASOLINA NISSAN SENTRA CARBURADO</t>
        </is>
      </c>
      <c r="D2125" s="2" t="inlineStr">
        <is>
          <t>MILLARD</t>
        </is>
      </c>
      <c r="E2125" s="3" t="n">
        <v>2.5</v>
      </c>
      <c r="F2125" s="4" t="n">
        <v>0.3</v>
      </c>
      <c r="G2125" s="5">
        <f>ROUND(E2125*(1+F2125),2)</f>
        <v>3.25</v>
      </c>
      <c r="H2125" s="5">
        <f>ROUND(G2125*NOTAS!$B$2,2)</f>
        <v>2344.37</v>
      </c>
      <c r="I2125" s="6">
        <f>ROUND(G2125*NOTAS!$B$3,0)</f>
        <v>10559</v>
      </c>
      <c r="J2125" s="2" t="n">
        <v>5</v>
      </c>
    </row>
    <row r="2126">
      <c r="A2126" s="2" t="inlineStr">
        <is>
          <t>7700845961K</t>
        </is>
      </c>
      <c r="B2126" s="2" t="inlineStr"/>
      <c r="C2126" s="2" t="inlineStr">
        <is>
          <t>FILTRO GASOLINA R-SYMB/LOG/MEG</t>
        </is>
      </c>
      <c r="D2126" s="2" t="inlineStr">
        <is>
          <t>KTO</t>
        </is>
      </c>
      <c r="E2126" s="3" t="n">
        <v>1.52</v>
      </c>
      <c r="F2126" s="4" t="n">
        <v>0.3</v>
      </c>
      <c r="G2126" s="5">
        <f>ROUND(E2126*(1+F2126),2)</f>
        <v>1.98</v>
      </c>
      <c r="H2126" s="5">
        <f>ROUND(G2126*NOTAS!$B$2,2)</f>
        <v>1428.26</v>
      </c>
      <c r="I2126" s="6">
        <f>ROUND(G2126*NOTAS!$B$3,0)</f>
        <v>6433</v>
      </c>
      <c r="J2126" s="2" t="n">
        <v>2</v>
      </c>
    </row>
    <row r="2127">
      <c r="A2127" s="2" t="inlineStr">
        <is>
          <t>7700845961</t>
        </is>
      </c>
      <c r="B2127" s="2" t="inlineStr"/>
      <c r="C2127" s="2" t="inlineStr">
        <is>
          <t>FILTRO GASOLINA R-SYMB/LOG/MEG</t>
        </is>
      </c>
      <c r="D2127" s="2" t="inlineStr">
        <is>
          <t>RENAULT</t>
        </is>
      </c>
      <c r="E2127" s="3" t="n">
        <v>4</v>
      </c>
      <c r="F2127" s="4" t="n">
        <v>0.3</v>
      </c>
      <c r="G2127" s="5">
        <f>ROUND(E2127*(1+F2127),2)</f>
        <v>5.20</v>
      </c>
      <c r="H2127" s="5">
        <f>ROUND(G2127*NOTAS!$B$2,2)</f>
        <v>3751.00</v>
      </c>
      <c r="I2127" s="6">
        <f>ROUND(G2127*NOTAS!$B$3,0)</f>
        <v>16894</v>
      </c>
      <c r="J2127" s="2" t="n">
        <v>1</v>
      </c>
    </row>
    <row r="2128">
      <c r="A2128" s="2" t="inlineStr">
        <is>
          <t>A1F-5857</t>
        </is>
      </c>
      <c r="B2128" s="2" t="inlineStr"/>
      <c r="C2128" s="2" t="inlineStr">
        <is>
          <t>FILTRO GASOLINA R-SYMB/LOG/MEG</t>
        </is>
      </c>
      <c r="D2128" s="2" t="inlineStr">
        <is>
          <t>A1</t>
        </is>
      </c>
      <c r="E2128" s="3" t="n">
        <v>2</v>
      </c>
      <c r="F2128" s="4" t="n">
        <v>0.3</v>
      </c>
      <c r="G2128" s="5">
        <f>ROUND(E2128*(1+F2128),2)</f>
        <v>2.60</v>
      </c>
      <c r="H2128" s="5">
        <f>ROUND(G2128*NOTAS!$B$2,2)</f>
        <v>1875.50</v>
      </c>
      <c r="I2128" s="6">
        <f>ROUND(G2128*NOTAS!$B$3,0)</f>
        <v>8447</v>
      </c>
      <c r="J2128" s="2" t="n">
        <v>3</v>
      </c>
    </row>
    <row r="2129">
      <c r="A2129" s="2" t="inlineStr">
        <is>
          <t>MF-1408</t>
        </is>
      </c>
      <c r="B2129" s="2" t="inlineStr"/>
      <c r="C2129" s="2" t="inlineStr">
        <is>
          <t>FILTRO GASOLINA UNIVERSAL</t>
        </is>
      </c>
      <c r="D2129" s="2" t="inlineStr">
        <is>
          <t>MILLARD</t>
        </is>
      </c>
      <c r="E2129" s="3" t="n">
        <v>1.4</v>
      </c>
      <c r="F2129" s="4" t="n">
        <v>0.3</v>
      </c>
      <c r="G2129" s="5">
        <f>ROUND(E2129*(1+F2129),2)</f>
        <v>1.82</v>
      </c>
      <c r="H2129" s="5">
        <f>ROUND(G2129*NOTAS!$B$2,2)</f>
        <v>1312.85</v>
      </c>
      <c r="I2129" s="6">
        <f>ROUND(G2129*NOTAS!$B$3,0)</f>
        <v>5913</v>
      </c>
      <c r="J2129" s="2" t="n">
        <v>5</v>
      </c>
    </row>
    <row r="2130">
      <c r="A2130" s="2" t="inlineStr">
        <is>
          <t>C1836</t>
        </is>
      </c>
      <c r="B2130" s="2" t="inlineStr">
        <is>
          <t>635465</t>
        </is>
      </c>
      <c r="C2130" s="2" t="inlineStr">
        <is>
          <t>FLOTANTE GASOLINA AVEO</t>
        </is>
      </c>
      <c r="D2130" s="2" t="inlineStr">
        <is>
          <t>FP</t>
        </is>
      </c>
      <c r="E2130" s="3" t="n">
        <v>11.6</v>
      </c>
      <c r="F2130" s="4" t="n">
        <v>0.3</v>
      </c>
      <c r="G2130" s="5">
        <f>ROUND(E2130*(1+F2130),2)</f>
        <v>15.08</v>
      </c>
      <c r="H2130" s="5">
        <f>ROUND(G2130*NOTAS!$B$2,2)</f>
        <v>10877.89</v>
      </c>
      <c r="I2130" s="6">
        <f>ROUND(G2130*NOTAS!$B$3,0)</f>
        <v>48993</v>
      </c>
      <c r="J2130" s="2" t="n">
        <v>1</v>
      </c>
    </row>
    <row r="2131">
      <c r="A2131" s="2" t="inlineStr">
        <is>
          <t>96098514</t>
        </is>
      </c>
      <c r="B2131" s="2" t="inlineStr"/>
      <c r="C2131" s="2" t="inlineStr">
        <is>
          <t>FLOTANTE GASOLINA CIELO</t>
        </is>
      </c>
      <c r="D2131" s="2" t="inlineStr">
        <is>
          <t>GM</t>
        </is>
      </c>
      <c r="E2131" s="3" t="n">
        <v>16.9231</v>
      </c>
      <c r="F2131" s="4" t="n">
        <v>0.3</v>
      </c>
      <c r="G2131" s="5">
        <f>ROUND(E2131*(1+F2131),2)</f>
        <v>22.00</v>
      </c>
      <c r="H2131" s="5">
        <f>ROUND(G2131*NOTAS!$B$2,2)</f>
        <v>15869.60</v>
      </c>
      <c r="I2131" s="6">
        <f>ROUND(G2131*NOTAS!$B$3,0)</f>
        <v>71475</v>
      </c>
      <c r="J2131" s="2" t="n">
        <v>2</v>
      </c>
    </row>
    <row r="2132">
      <c r="A2132" s="2" t="inlineStr">
        <is>
          <t>C1838</t>
        </is>
      </c>
      <c r="B2132" s="2" t="inlineStr">
        <is>
          <t>93285674</t>
        </is>
      </c>
      <c r="C2132" s="2" t="inlineStr">
        <is>
          <t>FLOTANTE GASOLINA CORSA</t>
        </is>
      </c>
      <c r="D2132" s="2" t="inlineStr">
        <is>
          <t>FP</t>
        </is>
      </c>
      <c r="E2132" s="3" t="n">
        <v>7.86</v>
      </c>
      <c r="F2132" s="4" t="n">
        <v>0.3</v>
      </c>
      <c r="G2132" s="5">
        <f>ROUND(E2132*(1+F2132),2)</f>
        <v>10.22</v>
      </c>
      <c r="H2132" s="5">
        <f>ROUND(G2132*NOTAS!$B$2,2)</f>
        <v>7372.15</v>
      </c>
      <c r="I2132" s="6">
        <f>ROUND(G2132*NOTAS!$B$3,0)</f>
        <v>33203</v>
      </c>
      <c r="J2132" s="2" t="n">
        <v>1</v>
      </c>
    </row>
    <row r="2133">
      <c r="A2133" s="2" t="inlineStr">
        <is>
          <t>932859784</t>
        </is>
      </c>
      <c r="B2133" s="2" t="inlineStr"/>
      <c r="C2133" s="2" t="inlineStr">
        <is>
          <t>FLOTANTE GASOLINA CORSA</t>
        </is>
      </c>
      <c r="D2133" s="2" t="inlineStr">
        <is>
          <t>GM</t>
        </is>
      </c>
      <c r="E2133" s="3" t="n">
        <v>10.07</v>
      </c>
      <c r="F2133" s="4" t="n">
        <v>0.3</v>
      </c>
      <c r="G2133" s="5">
        <f>ROUND(E2133*(1+F2133),2)</f>
        <v>13.09</v>
      </c>
      <c r="H2133" s="5">
        <f>ROUND(G2133*NOTAS!$B$2,2)</f>
        <v>9442.41</v>
      </c>
      <c r="I2133" s="6">
        <f>ROUND(G2133*NOTAS!$B$3,0)</f>
        <v>42528</v>
      </c>
      <c r="J2133" s="2" t="n">
        <v>1</v>
      </c>
    </row>
    <row r="2134">
      <c r="A2134" s="2" t="inlineStr">
        <is>
          <t>C1839</t>
        </is>
      </c>
      <c r="B2134" s="2" t="inlineStr">
        <is>
          <t>897943178-0</t>
        </is>
      </c>
      <c r="C2134" s="2" t="inlineStr">
        <is>
          <t>FLOTANTE GASOLINA DMAX 3.5</t>
        </is>
      </c>
      <c r="D2134" s="2" t="inlineStr">
        <is>
          <t>FP</t>
        </is>
      </c>
      <c r="E2134" s="3" t="n">
        <v>9.15</v>
      </c>
      <c r="F2134" s="4" t="n">
        <v>0.3</v>
      </c>
      <c r="G2134" s="5">
        <f>ROUND(E2134*(1+F2134),2)</f>
        <v>11.90</v>
      </c>
      <c r="H2134" s="5">
        <f>ROUND(G2134*NOTAS!$B$2,2)</f>
        <v>8584.01</v>
      </c>
      <c r="I2134" s="6">
        <f>ROUND(G2134*NOTAS!$B$3,0)</f>
        <v>38662</v>
      </c>
      <c r="J2134" s="2" t="n">
        <v>1</v>
      </c>
    </row>
    <row r="2135">
      <c r="A2135" s="2" t="inlineStr">
        <is>
          <t>V56</t>
        </is>
      </c>
      <c r="B2135" s="2" t="inlineStr"/>
      <c r="C2135" s="2" t="inlineStr">
        <is>
          <t>FLOTANTE GASOLINA F-147/SPAZIO</t>
        </is>
      </c>
      <c r="D2135" s="2" t="inlineStr">
        <is>
          <t>VUARAN</t>
        </is>
      </c>
      <c r="E2135" s="3" t="n">
        <v>15.3846</v>
      </c>
      <c r="F2135" s="4" t="n">
        <v>0.3</v>
      </c>
      <c r="G2135" s="5">
        <f>ROUND(E2135*(1+F2135),2)</f>
        <v>20.00</v>
      </c>
      <c r="H2135" s="5">
        <f>ROUND(G2135*NOTAS!$B$2,2)</f>
        <v>14426.91</v>
      </c>
      <c r="I2135" s="6">
        <f>ROUND(G2135*NOTAS!$B$3,0)</f>
        <v>64977</v>
      </c>
      <c r="J2135" s="2" t="n">
        <v>1</v>
      </c>
    </row>
    <row r="2136">
      <c r="A2136" s="2" t="inlineStr">
        <is>
          <t>221640009R</t>
        </is>
      </c>
      <c r="B2136" s="2" t="inlineStr"/>
      <c r="C2136" s="2" t="inlineStr">
        <is>
          <t>FLOTANTE GASOLINA F-PALIO/SIENA</t>
        </is>
      </c>
      <c r="D2136" s="2" t="inlineStr">
        <is>
          <t>VDO</t>
        </is>
      </c>
      <c r="E2136" s="3" t="n">
        <v>16.9231</v>
      </c>
      <c r="F2136" s="4" t="n">
        <v>0.3</v>
      </c>
      <c r="G2136" s="5">
        <f>ROUND(E2136*(1+F2136),2)</f>
        <v>22.00</v>
      </c>
      <c r="H2136" s="5">
        <f>ROUND(G2136*NOTAS!$B$2,2)</f>
        <v>15869.60</v>
      </c>
      <c r="I2136" s="6">
        <f>ROUND(G2136*NOTAS!$B$3,0)</f>
        <v>71475</v>
      </c>
      <c r="J2136" s="2" t="n">
        <v>1</v>
      </c>
    </row>
    <row r="2137">
      <c r="A2137" s="2" t="inlineStr">
        <is>
          <t>V-70</t>
        </is>
      </c>
      <c r="B2137" s="2" t="inlineStr"/>
      <c r="C2137" s="2" t="inlineStr">
        <is>
          <t>FLOTANTE GASOLINA F-UNO/PREMIO TAPA PRECION</t>
        </is>
      </c>
      <c r="D2137" s="2" t="inlineStr">
        <is>
          <t>VUARAN</t>
        </is>
      </c>
      <c r="E2137" s="3" t="n">
        <v>16.9231</v>
      </c>
      <c r="F2137" s="4" t="n">
        <v>0.3</v>
      </c>
      <c r="G2137" s="5">
        <f>ROUND(E2137*(1+F2137),2)</f>
        <v>22.00</v>
      </c>
      <c r="H2137" s="5">
        <f>ROUND(G2137*NOTAS!$B$2,2)</f>
        <v>15869.60</v>
      </c>
      <c r="I2137" s="6">
        <f>ROUND(G2137*NOTAS!$B$3,0)</f>
        <v>71475</v>
      </c>
      <c r="J2137" s="2" t="n">
        <v>2</v>
      </c>
    </row>
    <row r="2138">
      <c r="A2138" s="2" t="inlineStr">
        <is>
          <t>C1837</t>
        </is>
      </c>
      <c r="B2138" s="2" t="inlineStr">
        <is>
          <t>635467</t>
        </is>
      </c>
      <c r="C2138" s="2" t="inlineStr">
        <is>
          <t>FLOTANTE GASOLINA OPTRA</t>
        </is>
      </c>
      <c r="D2138" s="2" t="inlineStr">
        <is>
          <t>FP</t>
        </is>
      </c>
      <c r="E2138" s="3" t="n">
        <v>9.56</v>
      </c>
      <c r="F2138" s="4" t="n">
        <v>0.3</v>
      </c>
      <c r="G2138" s="5">
        <f>ROUND(E2138*(1+F2138),2)</f>
        <v>12.43</v>
      </c>
      <c r="H2138" s="5">
        <f>ROUND(G2138*NOTAS!$B$2,2)</f>
        <v>8966.33</v>
      </c>
      <c r="I2138" s="6">
        <f>ROUND(G2138*NOTAS!$B$3,0)</f>
        <v>40383</v>
      </c>
      <c r="J2138" s="2" t="n">
        <v>1</v>
      </c>
    </row>
    <row r="2139">
      <c r="A2139" s="2" t="inlineStr">
        <is>
          <t>SW-14</t>
        </is>
      </c>
      <c r="B2139" s="2" t="inlineStr"/>
      <c r="C2139" s="2" t="inlineStr">
        <is>
          <t>FLOTANTE GASOLINA R-12</t>
        </is>
      </c>
      <c r="D2139" s="2" t="inlineStr">
        <is>
          <t>TAKSIM GROUP</t>
        </is>
      </c>
      <c r="E2139" s="3" t="n">
        <v>15.3846</v>
      </c>
      <c r="F2139" s="4" t="n">
        <v>0.3</v>
      </c>
      <c r="G2139" s="5">
        <f>ROUND(E2139*(1+F2139),2)</f>
        <v>20.00</v>
      </c>
      <c r="H2139" s="5">
        <f>ROUND(G2139*NOTAS!$B$2,2)</f>
        <v>14426.91</v>
      </c>
      <c r="I2139" s="6">
        <f>ROUND(G2139*NOTAS!$B$3,0)</f>
        <v>64977</v>
      </c>
      <c r="J2139" s="2" t="n">
        <v>4</v>
      </c>
    </row>
    <row r="2140">
      <c r="A2140" s="2" t="inlineStr">
        <is>
          <t>C1835</t>
        </is>
      </c>
      <c r="B2140" s="2" t="inlineStr">
        <is>
          <t>96865768</t>
        </is>
      </c>
      <c r="C2140" s="2" t="inlineStr">
        <is>
          <t>FLOTANTE GASOLINA SPARK</t>
        </is>
      </c>
      <c r="D2140" s="2" t="inlineStr">
        <is>
          <t>FP</t>
        </is>
      </c>
      <c r="E2140" s="3" t="n">
        <v>7.6</v>
      </c>
      <c r="F2140" s="4" t="n">
        <v>0.3</v>
      </c>
      <c r="G2140" s="5">
        <f>ROUND(E2140*(1+F2140),2)</f>
        <v>9.88</v>
      </c>
      <c r="H2140" s="5">
        <f>ROUND(G2140*NOTAS!$B$2,2)</f>
        <v>7126.89</v>
      </c>
      <c r="I2140" s="6">
        <f>ROUND(G2140*NOTAS!$B$3,0)</f>
        <v>32099</v>
      </c>
      <c r="J2140" s="2" t="n">
        <v>1</v>
      </c>
    </row>
    <row r="2141">
      <c r="A2141" s="2" t="inlineStr">
        <is>
          <t>24101</t>
        </is>
      </c>
      <c r="B2141" s="2" t="inlineStr"/>
      <c r="C2141" s="2" t="inlineStr">
        <is>
          <t>FRENOS 3RA 4TA F-UNO/PREMIO</t>
        </is>
      </c>
      <c r="D2141" s="2" t="inlineStr">
        <is>
          <t>WOLF</t>
        </is>
      </c>
      <c r="E2141" s="3" t="n">
        <v>5</v>
      </c>
      <c r="F2141" s="4" t="n">
        <v>0.3</v>
      </c>
      <c r="G2141" s="5">
        <f>ROUND(E2141*(1+F2141),2)</f>
        <v>6.50</v>
      </c>
      <c r="H2141" s="5">
        <f>ROUND(G2141*NOTAS!$B$2,2)</f>
        <v>4688.75</v>
      </c>
      <c r="I2141" s="6">
        <f>ROUND(G2141*NOTAS!$B$3,0)</f>
        <v>21118</v>
      </c>
      <c r="J2141" s="2" t="n">
        <v>2</v>
      </c>
    </row>
    <row r="2142">
      <c r="A2142" s="2" t="inlineStr">
        <is>
          <t>PF7593</t>
        </is>
      </c>
      <c r="B2142" s="2" t="inlineStr"/>
      <c r="C2142" s="2" t="inlineStr">
        <is>
          <t>FRENOS DELANTEROS  BLAZER 96/04</t>
        </is>
      </c>
      <c r="D2142" s="2" t="inlineStr">
        <is>
          <t>FORMULA</t>
        </is>
      </c>
      <c r="E2142" s="3" t="n">
        <v>16.9231</v>
      </c>
      <c r="F2142" s="4" t="n">
        <v>0.3</v>
      </c>
      <c r="G2142" s="5">
        <f>ROUND(E2142*(1+F2142),2)</f>
        <v>22.00</v>
      </c>
      <c r="H2142" s="5">
        <f>ROUND(G2142*NOTAS!$B$2,2)</f>
        <v>15869.60</v>
      </c>
      <c r="I2142" s="6">
        <f>ROUND(G2142*NOTAS!$B$3,0)</f>
        <v>71475</v>
      </c>
      <c r="J2142" s="2" t="n">
        <v>1</v>
      </c>
    </row>
    <row r="2143">
      <c r="A2143" s="2" t="inlineStr">
        <is>
          <t>7054-D120</t>
        </is>
      </c>
      <c r="B2143" s="2" t="inlineStr"/>
      <c r="C2143" s="2" t="inlineStr">
        <is>
          <t>FRENOS DELANTEROS  FORD 350 76/94</t>
        </is>
      </c>
      <c r="D2143" s="2" t="inlineStr">
        <is>
          <t>BRAKEPRO</t>
        </is>
      </c>
      <c r="E2143" s="3" t="n">
        <v>16.9231</v>
      </c>
      <c r="F2143" s="4" t="n">
        <v>0.3</v>
      </c>
      <c r="G2143" s="5">
        <f>ROUND(E2143*(1+F2143),2)</f>
        <v>22.00</v>
      </c>
      <c r="H2143" s="5">
        <f>ROUND(G2143*NOTAS!$B$2,2)</f>
        <v>15869.60</v>
      </c>
      <c r="I2143" s="6">
        <f>ROUND(G2143*NOTAS!$B$3,0)</f>
        <v>71475</v>
      </c>
      <c r="J2143" s="2" t="n">
        <v>1</v>
      </c>
    </row>
    <row r="2144">
      <c r="A2144" s="2" t="inlineStr">
        <is>
          <t>7535-D655</t>
        </is>
      </c>
      <c r="B2144" s="2" t="inlineStr"/>
      <c r="C2144" s="2" t="inlineStr">
        <is>
          <t>FRENOS DELANTEROS  FORD 350 95/06</t>
        </is>
      </c>
      <c r="D2144" s="2" t="inlineStr">
        <is>
          <t>BRAKEPRO</t>
        </is>
      </c>
      <c r="E2144" s="3" t="n">
        <v>16.9231</v>
      </c>
      <c r="F2144" s="4" t="n">
        <v>0.3</v>
      </c>
      <c r="G2144" s="5">
        <f>ROUND(E2144*(1+F2144),2)</f>
        <v>22.00</v>
      </c>
      <c r="H2144" s="5">
        <f>ROUND(G2144*NOTAS!$B$2,2)</f>
        <v>15869.60</v>
      </c>
      <c r="I2144" s="6">
        <f>ROUND(G2144*NOTAS!$B$3,0)</f>
        <v>71475</v>
      </c>
      <c r="J2144" s="2" t="n">
        <v>1</v>
      </c>
    </row>
    <row r="2145">
      <c r="A2145" s="2" t="inlineStr">
        <is>
          <t>7358-D477</t>
        </is>
      </c>
      <c r="B2145" s="2" t="inlineStr"/>
      <c r="C2145" s="2" t="inlineStr">
        <is>
          <t>FRENOS DELANTEROS  GRAND CHEROKEE 94/98</t>
        </is>
      </c>
      <c r="D2145" s="2" t="inlineStr">
        <is>
          <t>BRAKEPRO</t>
        </is>
      </c>
      <c r="E2145" s="3" t="n">
        <v>19.2308</v>
      </c>
      <c r="F2145" s="4" t="n">
        <v>0.3</v>
      </c>
      <c r="G2145" s="5">
        <f>ROUND(E2145*(1+F2145),2)</f>
        <v>25.00</v>
      </c>
      <c r="H2145" s="5">
        <f>ROUND(G2145*NOTAS!$B$2,2)</f>
        <v>18033.64</v>
      </c>
      <c r="I2145" s="6">
        <f>ROUND(G2145*NOTAS!$B$3,0)</f>
        <v>81222</v>
      </c>
      <c r="J2145" s="2" t="n">
        <v>1</v>
      </c>
    </row>
    <row r="2146">
      <c r="A2146" s="2" t="inlineStr">
        <is>
          <t>7298-D436</t>
        </is>
      </c>
      <c r="B2146" s="2" t="inlineStr"/>
      <c r="C2146" s="2" t="inlineStr">
        <is>
          <t>FRENOS DELANTEROS  TOYOTA AUTANA/BURBUJA/MERU/HILUX 2.7</t>
        </is>
      </c>
      <c r="D2146" s="2" t="inlineStr">
        <is>
          <t>BRAKEPRO</t>
        </is>
      </c>
      <c r="E2146" s="3" t="n">
        <v>16.9231</v>
      </c>
      <c r="F2146" s="4" t="n">
        <v>0.3</v>
      </c>
      <c r="G2146" s="5">
        <f>ROUND(E2146*(1+F2146),2)</f>
        <v>22.00</v>
      </c>
      <c r="H2146" s="5">
        <f>ROUND(G2146*NOTAS!$B$2,2)</f>
        <v>15869.60</v>
      </c>
      <c r="I2146" s="6">
        <f>ROUND(G2146*NOTAS!$B$3,0)</f>
        <v>71475</v>
      </c>
      <c r="J2146" s="2" t="n">
        <v>1</v>
      </c>
    </row>
    <row r="2147">
      <c r="A2147" s="2" t="inlineStr">
        <is>
          <t>309</t>
        </is>
      </c>
      <c r="B2147" s="2" t="inlineStr"/>
      <c r="C2147" s="2" t="inlineStr">
        <is>
          <t>FRENOS DELANTEROS 309</t>
        </is>
      </c>
      <c r="D2147" s="2" t="inlineStr">
        <is>
          <t xml:space="preserve">EXTRATECH PRO </t>
        </is>
      </c>
      <c r="E2147" s="3" t="n">
        <v>11.5385</v>
      </c>
      <c r="F2147" s="4" t="n">
        <v>0.3</v>
      </c>
      <c r="G2147" s="5">
        <f>ROUND(E2147*(1+F2147),2)</f>
        <v>15.00</v>
      </c>
      <c r="H2147" s="5">
        <f>ROUND(G2147*NOTAS!$B$2,2)</f>
        <v>10820.18</v>
      </c>
      <c r="I2147" s="6">
        <f>ROUND(G2147*NOTAS!$B$3,0)</f>
        <v>48733</v>
      </c>
      <c r="J2147" s="2" t="n">
        <v>2</v>
      </c>
    </row>
    <row r="2148">
      <c r="A2148" s="2" t="inlineStr">
        <is>
          <t>S21-6GN3501080</t>
        </is>
      </c>
      <c r="B2148" s="2" t="inlineStr"/>
      <c r="C2148" s="2" t="inlineStr">
        <is>
          <t>FRENOS DELANTEROS ARAUCA/X1</t>
        </is>
      </c>
      <c r="D2148" s="2" t="inlineStr">
        <is>
          <t>CHERY</t>
        </is>
      </c>
      <c r="E2148" s="3" t="n">
        <v>13.8462</v>
      </c>
      <c r="F2148" s="4" t="n">
        <v>0.3</v>
      </c>
      <c r="G2148" s="5">
        <f>ROUND(E2148*(1+F2148),2)</f>
        <v>18.00</v>
      </c>
      <c r="H2148" s="5">
        <f>ROUND(G2148*NOTAS!$B$2,2)</f>
        <v>12984.22</v>
      </c>
      <c r="I2148" s="6">
        <f>ROUND(G2148*NOTAS!$B$3,0)</f>
        <v>58480</v>
      </c>
      <c r="J2148" s="2" t="n">
        <v>1</v>
      </c>
    </row>
    <row r="2149">
      <c r="A2149" s="2" t="inlineStr">
        <is>
          <t>96534653</t>
        </is>
      </c>
      <c r="B2149" s="2" t="inlineStr"/>
      <c r="C2149" s="2" t="inlineStr">
        <is>
          <t>FRENOS DELANTEROS AVEO LS</t>
        </is>
      </c>
      <c r="D2149" s="2" t="inlineStr">
        <is>
          <t>GM</t>
        </is>
      </c>
      <c r="E2149" s="3" t="n">
        <v>10</v>
      </c>
      <c r="F2149" s="4" t="n">
        <v>0.3</v>
      </c>
      <c r="G2149" s="5">
        <f>ROUND(E2149*(1+F2149),2)</f>
        <v>13.00</v>
      </c>
      <c r="H2149" s="5">
        <f>ROUND(G2149*NOTAS!$B$2,2)</f>
        <v>9377.49</v>
      </c>
      <c r="I2149" s="6">
        <f>ROUND(G2149*NOTAS!$B$3,0)</f>
        <v>42235</v>
      </c>
      <c r="J2149" s="2" t="n">
        <v>2</v>
      </c>
    </row>
    <row r="2150">
      <c r="A2150" s="2" t="inlineStr">
        <is>
          <t>96534653</t>
        </is>
      </c>
      <c r="B2150" s="2" t="inlineStr"/>
      <c r="C2150" s="2" t="inlineStr">
        <is>
          <t>FRENOS DELANTEROS AVEO LS</t>
        </is>
      </c>
      <c r="D2150" s="2" t="inlineStr">
        <is>
          <t>ONNURI</t>
        </is>
      </c>
      <c r="E2150" s="3" t="n">
        <v>10</v>
      </c>
      <c r="F2150" s="4" t="n">
        <v>0.3</v>
      </c>
      <c r="G2150" s="5">
        <f>ROUND(E2150*(1+F2150),2)</f>
        <v>13.00</v>
      </c>
      <c r="H2150" s="5">
        <f>ROUND(G2150*NOTAS!$B$2,2)</f>
        <v>9377.49</v>
      </c>
      <c r="I2150" s="6">
        <f>ROUND(G2150*NOTAS!$B$3,0)</f>
        <v>42235</v>
      </c>
      <c r="J2150" s="2" t="n">
        <v>2</v>
      </c>
    </row>
    <row r="2151">
      <c r="A2151" s="2" t="inlineStr">
        <is>
          <t>C18047</t>
        </is>
      </c>
      <c r="B2151" s="2" t="inlineStr">
        <is>
          <t>D1035-7779</t>
        </is>
      </c>
      <c r="C2151" s="2" t="inlineStr">
        <is>
          <t>FRENOS DELANTEROS AVEO/OPTRA/NUBIRA</t>
        </is>
      </c>
      <c r="D2151" s="2" t="inlineStr">
        <is>
          <t>TRUSTAR</t>
        </is>
      </c>
      <c r="E2151" s="3" t="n">
        <v>9.619999999999999</v>
      </c>
      <c r="F2151" s="4" t="n">
        <v>0.3</v>
      </c>
      <c r="G2151" s="5">
        <f>ROUND(E2151*(1+F2151),2)</f>
        <v>12.51</v>
      </c>
      <c r="H2151" s="5">
        <f>ROUND(G2151*NOTAS!$B$2,2)</f>
        <v>9024.03</v>
      </c>
      <c r="I2151" s="6">
        <f>ROUND(G2151*NOTAS!$B$3,0)</f>
        <v>40643</v>
      </c>
      <c r="J2151" s="2" t="n">
        <v>1</v>
      </c>
    </row>
    <row r="2152">
      <c r="A2152" s="2" t="inlineStr">
        <is>
          <t>D1035-7779</t>
        </is>
      </c>
      <c r="B2152" s="2" t="inlineStr"/>
      <c r="C2152" s="2" t="inlineStr">
        <is>
          <t>FRENOS DELANTEROS AVEO/OPTRA/NUBIRA</t>
        </is>
      </c>
      <c r="D2152" s="2" t="inlineStr">
        <is>
          <t>XTENDER</t>
        </is>
      </c>
      <c r="E2152" s="3" t="n">
        <v>9.699999999999999</v>
      </c>
      <c r="F2152" s="4" t="n">
        <v>0.3</v>
      </c>
      <c r="G2152" s="5">
        <f>ROUND(E2152*(1+F2152),2)</f>
        <v>12.61</v>
      </c>
      <c r="H2152" s="5">
        <f>ROUND(G2152*NOTAS!$B$2,2)</f>
        <v>9096.17</v>
      </c>
      <c r="I2152" s="6">
        <f>ROUND(G2152*NOTAS!$B$3,0)</f>
        <v>40968</v>
      </c>
      <c r="J2152" s="2" t="n">
        <v>1</v>
      </c>
    </row>
    <row r="2153">
      <c r="A2153" s="2" t="inlineStr">
        <is>
          <t>7117</t>
        </is>
      </c>
      <c r="B2153" s="2" t="inlineStr"/>
      <c r="C2153" s="2" t="inlineStr">
        <is>
          <t>FRENOS DELANTEROS CARIBE 442 81/84</t>
        </is>
      </c>
      <c r="D2153" s="2" t="inlineStr">
        <is>
          <t>BOSCH</t>
        </is>
      </c>
      <c r="E2153" s="3" t="n">
        <v>11.5385</v>
      </c>
      <c r="F2153" s="4" t="n">
        <v>0.3</v>
      </c>
      <c r="G2153" s="5">
        <f>ROUND(E2153*(1+F2153),2)</f>
        <v>15.00</v>
      </c>
      <c r="H2153" s="5">
        <f>ROUND(G2153*NOTAS!$B$2,2)</f>
        <v>10820.18</v>
      </c>
      <c r="I2153" s="6">
        <f>ROUND(G2153*NOTAS!$B$3,0)</f>
        <v>48733</v>
      </c>
      <c r="J2153" s="2" t="n">
        <v>2</v>
      </c>
    </row>
    <row r="2154">
      <c r="A2154" s="2" t="inlineStr">
        <is>
          <t>PD285-7188</t>
        </is>
      </c>
      <c r="B2154" s="2" t="inlineStr"/>
      <c r="C2154" s="2" t="inlineStr">
        <is>
          <t>FRENOS DELANTEROS CARIBE 442 85/89</t>
        </is>
      </c>
      <c r="D2154" s="2" t="inlineStr">
        <is>
          <t>ROAD TUFF</t>
        </is>
      </c>
      <c r="E2154" s="3" t="n">
        <v>11.5385</v>
      </c>
      <c r="F2154" s="4" t="n">
        <v>0.3</v>
      </c>
      <c r="G2154" s="5">
        <f>ROUND(E2154*(1+F2154),2)</f>
        <v>15.00</v>
      </c>
      <c r="H2154" s="5">
        <f>ROUND(G2154*NOTAS!$B$2,2)</f>
        <v>10820.18</v>
      </c>
      <c r="I2154" s="6">
        <f>ROUND(G2154*NOTAS!$B$3,0)</f>
        <v>48733</v>
      </c>
      <c r="J2154" s="2" t="n">
        <v>1</v>
      </c>
    </row>
    <row r="2155">
      <c r="A2155" s="2" t="inlineStr">
        <is>
          <t>7122-D203</t>
        </is>
      </c>
      <c r="B2155" s="2" t="inlineStr"/>
      <c r="C2155" s="2" t="inlineStr">
        <is>
          <t>FRENOS DELANTEROS CHEROKEE 90/93 WRANGLER 84/89 CJ7 82/84</t>
        </is>
      </c>
      <c r="D2155" s="2" t="inlineStr">
        <is>
          <t>BRAKEPRO</t>
        </is>
      </c>
      <c r="E2155" s="3" t="n">
        <v>16.9231</v>
      </c>
      <c r="F2155" s="4" t="n">
        <v>0.3</v>
      </c>
      <c r="G2155" s="5">
        <f>ROUND(E2155*(1+F2155),2)</f>
        <v>22.00</v>
      </c>
      <c r="H2155" s="5">
        <f>ROUND(G2155*NOTAS!$B$2,2)</f>
        <v>15869.60</v>
      </c>
      <c r="I2155" s="6">
        <f>ROUND(G2155*NOTAS!$B$3,0)</f>
        <v>71475</v>
      </c>
      <c r="J2155" s="2" t="n">
        <v>1</v>
      </c>
    </row>
    <row r="2156">
      <c r="A2156" s="2" t="inlineStr">
        <is>
          <t>88906335</t>
        </is>
      </c>
      <c r="B2156" s="2" t="inlineStr"/>
      <c r="C2156" s="2" t="inlineStr">
        <is>
          <t>FRENOS DELANTEROS CHEVETTE</t>
        </is>
      </c>
      <c r="D2156" s="2" t="inlineStr">
        <is>
          <t>ACDELCO</t>
        </is>
      </c>
      <c r="E2156" s="3" t="n">
        <v>11.5385</v>
      </c>
      <c r="F2156" s="4" t="n">
        <v>0.3</v>
      </c>
      <c r="G2156" s="5">
        <f>ROUND(E2156*(1+F2156),2)</f>
        <v>15.00</v>
      </c>
      <c r="H2156" s="5">
        <f>ROUND(G2156*NOTAS!$B$2,2)</f>
        <v>10820.18</v>
      </c>
      <c r="I2156" s="6">
        <f>ROUND(G2156*NOTAS!$B$3,0)</f>
        <v>48733</v>
      </c>
      <c r="J2156" s="2" t="n">
        <v>10</v>
      </c>
    </row>
    <row r="2157">
      <c r="A2157" s="2" t="inlineStr">
        <is>
          <t>PD/6</t>
        </is>
      </c>
      <c r="B2157" s="2" t="inlineStr"/>
      <c r="C2157" s="2" t="inlineStr">
        <is>
          <t>FRENOS DELANTEROS CHEVETTE</t>
        </is>
      </c>
      <c r="D2157" s="2" t="inlineStr">
        <is>
          <t>FRASLE</t>
        </is>
      </c>
      <c r="E2157" s="3" t="n">
        <v>11.5385</v>
      </c>
      <c r="F2157" s="4" t="n">
        <v>0.3</v>
      </c>
      <c r="G2157" s="5">
        <f>ROUND(E2157*(1+F2157),2)</f>
        <v>15.00</v>
      </c>
      <c r="H2157" s="5">
        <f>ROUND(G2157*NOTAS!$B$2,2)</f>
        <v>10820.18</v>
      </c>
      <c r="I2157" s="6">
        <f>ROUND(G2157*NOTAS!$B$3,0)</f>
        <v>48733</v>
      </c>
      <c r="J2157" s="2" t="n">
        <v>7</v>
      </c>
    </row>
    <row r="2158">
      <c r="A2158" s="2" t="inlineStr">
        <is>
          <t>PF736</t>
        </is>
      </c>
      <c r="B2158" s="2" t="inlineStr"/>
      <c r="C2158" s="2" t="inlineStr">
        <is>
          <t>FRENOS DELANTEROS CHEVETTE</t>
        </is>
      </c>
      <c r="D2158" s="2" t="inlineStr">
        <is>
          <t>PERFECTION BRAKE</t>
        </is>
      </c>
      <c r="E2158" s="3" t="n">
        <v>11.5385</v>
      </c>
      <c r="F2158" s="4" t="n">
        <v>0.3</v>
      </c>
      <c r="G2158" s="5">
        <f>ROUND(E2158*(1+F2158),2)</f>
        <v>15.00</v>
      </c>
      <c r="H2158" s="5">
        <f>ROUND(G2158*NOTAS!$B$2,2)</f>
        <v>10820.18</v>
      </c>
      <c r="I2158" s="6">
        <f>ROUND(G2158*NOTAS!$B$3,0)</f>
        <v>48733</v>
      </c>
      <c r="J2158" s="2" t="n">
        <v>1</v>
      </c>
    </row>
    <row r="2159">
      <c r="A2159" s="2" t="inlineStr">
        <is>
          <t>RPD369M</t>
        </is>
      </c>
      <c r="B2159" s="2" t="inlineStr">
        <is>
          <t>7259</t>
        </is>
      </c>
      <c r="C2159" s="2" t="inlineStr">
        <is>
          <t>FRENOS DELANTEROS CHEYENNE C1500 91/99 GRAND BLAZER 94/95</t>
        </is>
      </c>
      <c r="D2159" s="2" t="inlineStr">
        <is>
          <t>RAYBESTOS</t>
        </is>
      </c>
      <c r="E2159" s="3" t="n">
        <v>19.2308</v>
      </c>
      <c r="F2159" s="4" t="n">
        <v>0.3</v>
      </c>
      <c r="G2159" s="5">
        <f>ROUND(E2159*(1+F2159),2)</f>
        <v>25.00</v>
      </c>
      <c r="H2159" s="5">
        <f>ROUND(G2159*NOTAS!$B$2,2)</f>
        <v>18033.64</v>
      </c>
      <c r="I2159" s="6">
        <f>ROUND(G2159*NOTAS!$B$3,0)</f>
        <v>81222</v>
      </c>
      <c r="J2159" s="2" t="n">
        <v>2</v>
      </c>
    </row>
    <row r="2160">
      <c r="A2160" s="2" t="inlineStr">
        <is>
          <t>D378-7267</t>
        </is>
      </c>
      <c r="B2160" s="2" t="inlineStr"/>
      <c r="C2160" s="2" t="inlineStr">
        <is>
          <t>FRENOS DELANTEROS CIELO</t>
        </is>
      </c>
      <c r="D2160" s="2" t="inlineStr">
        <is>
          <t xml:space="preserve">EXTRATECH PRO </t>
        </is>
      </c>
      <c r="E2160" s="3" t="n">
        <v>10.7692</v>
      </c>
      <c r="F2160" s="4" t="n">
        <v>0.3</v>
      </c>
      <c r="G2160" s="5">
        <f>ROUND(E2160*(1+F2160),2)</f>
        <v>14.00</v>
      </c>
      <c r="H2160" s="5">
        <f>ROUND(G2160*NOTAS!$B$2,2)</f>
        <v>10098.84</v>
      </c>
      <c r="I2160" s="6">
        <f>ROUND(G2160*NOTAS!$B$3,0)</f>
        <v>45484</v>
      </c>
      <c r="J2160" s="2" t="n">
        <v>6</v>
      </c>
    </row>
    <row r="2161">
      <c r="A2161" s="2" t="inlineStr">
        <is>
          <t>PF7267-D378</t>
        </is>
      </c>
      <c r="B2161" s="2" t="inlineStr"/>
      <c r="C2161" s="2" t="inlineStr">
        <is>
          <t>FRENOS DELANTEROS CIELO</t>
        </is>
      </c>
      <c r="D2161" s="2" t="inlineStr">
        <is>
          <t>PERFECTION BRAKE</t>
        </is>
      </c>
      <c r="E2161" s="3" t="n">
        <v>10.7692</v>
      </c>
      <c r="F2161" s="4" t="n">
        <v>0.3</v>
      </c>
      <c r="G2161" s="5">
        <f>ROUND(E2161*(1+F2161),2)</f>
        <v>14.00</v>
      </c>
      <c r="H2161" s="5">
        <f>ROUND(G2161*NOTAS!$B$2,2)</f>
        <v>10098.84</v>
      </c>
      <c r="I2161" s="6">
        <f>ROUND(G2161*NOTAS!$B$3,0)</f>
        <v>45484</v>
      </c>
      <c r="J2161" s="2" t="n">
        <v>2</v>
      </c>
    </row>
    <row r="2162">
      <c r="A2162" s="2" t="inlineStr">
        <is>
          <t>961819729</t>
        </is>
      </c>
      <c r="B2162" s="2" t="inlineStr"/>
      <c r="C2162" s="2" t="inlineStr">
        <is>
          <t>FRENOS DELANTEROS CIELO</t>
        </is>
      </c>
      <c r="D2162" s="2" t="inlineStr">
        <is>
          <t>SANGSIN</t>
        </is>
      </c>
      <c r="E2162" s="3" t="n">
        <v>10.7692</v>
      </c>
      <c r="F2162" s="4" t="n">
        <v>0.3</v>
      </c>
      <c r="G2162" s="5">
        <f>ROUND(E2162*(1+F2162),2)</f>
        <v>14.00</v>
      </c>
      <c r="H2162" s="5">
        <f>ROUND(G2162*NOTAS!$B$2,2)</f>
        <v>10098.84</v>
      </c>
      <c r="I2162" s="6">
        <f>ROUND(G2162*NOTAS!$B$3,0)</f>
        <v>45484</v>
      </c>
      <c r="J2162" s="2" t="n">
        <v>1</v>
      </c>
    </row>
    <row r="2163">
      <c r="A2163" s="2" t="inlineStr">
        <is>
          <t>PKC-002</t>
        </is>
      </c>
      <c r="B2163" s="2" t="inlineStr"/>
      <c r="C2163" s="2" t="inlineStr">
        <is>
          <t>FRENOS DELANTEROS CIELO</t>
        </is>
      </c>
      <c r="D2163" s="2" t="inlineStr">
        <is>
          <t>PARTS-MALL</t>
        </is>
      </c>
      <c r="E2163" s="3" t="n">
        <v>10.7692</v>
      </c>
      <c r="F2163" s="4" t="n">
        <v>0.3</v>
      </c>
      <c r="G2163" s="5">
        <f>ROUND(E2163*(1+F2163),2)</f>
        <v>14.00</v>
      </c>
      <c r="H2163" s="5">
        <f>ROUND(G2163*NOTAS!$B$2,2)</f>
        <v>10098.84</v>
      </c>
      <c r="I2163" s="6">
        <f>ROUND(G2163*NOTAS!$B$3,0)</f>
        <v>45484</v>
      </c>
      <c r="J2163" s="2" t="n">
        <v>4</v>
      </c>
    </row>
    <row r="2164">
      <c r="A2164" s="2" t="inlineStr">
        <is>
          <t>7267</t>
        </is>
      </c>
      <c r="B2164" s="2" t="inlineStr"/>
      <c r="C2164" s="2" t="inlineStr">
        <is>
          <t>FRENOS DELANTEROS CIELO</t>
        </is>
      </c>
      <c r="D2164" s="2" t="inlineStr">
        <is>
          <t>FORMULA</t>
        </is>
      </c>
      <c r="E2164" s="3" t="n">
        <v>10.7692</v>
      </c>
      <c r="F2164" s="4" t="n">
        <v>0.3</v>
      </c>
      <c r="G2164" s="5">
        <f>ROUND(E2164*(1+F2164),2)</f>
        <v>14.00</v>
      </c>
      <c r="H2164" s="5">
        <f>ROUND(G2164*NOTAS!$B$2,2)</f>
        <v>10098.84</v>
      </c>
      <c r="I2164" s="6">
        <f>ROUND(G2164*NOTAS!$B$3,0)</f>
        <v>45484</v>
      </c>
      <c r="J2164" s="2" t="n">
        <v>1</v>
      </c>
    </row>
    <row r="2165">
      <c r="A2165" s="2" t="inlineStr">
        <is>
          <t>7611</t>
        </is>
      </c>
      <c r="B2165" s="2" t="inlineStr"/>
      <c r="C2165" s="2" t="inlineStr">
        <is>
          <t>FRENOS DELANTEROS COROLLA 98/03</t>
        </is>
      </c>
      <c r="D2165" s="2" t="inlineStr">
        <is>
          <t>FORMULA</t>
        </is>
      </c>
      <c r="E2165" s="3" t="n">
        <v>13.0769</v>
      </c>
      <c r="F2165" s="4" t="n">
        <v>0.3</v>
      </c>
      <c r="G2165" s="5">
        <f>ROUND(E2165*(1+F2165),2)</f>
        <v>17.00</v>
      </c>
      <c r="H2165" s="5">
        <f>ROUND(G2165*NOTAS!$B$2,2)</f>
        <v>12262.88</v>
      </c>
      <c r="I2165" s="6">
        <f>ROUND(G2165*NOTAS!$B$3,0)</f>
        <v>55231</v>
      </c>
      <c r="J2165" s="2" t="n">
        <v>2</v>
      </c>
    </row>
    <row r="2166">
      <c r="A2166" s="2" t="inlineStr">
        <is>
          <t>PD/54</t>
        </is>
      </c>
      <c r="B2166" s="2" t="inlineStr"/>
      <c r="C2166" s="2" t="inlineStr">
        <is>
          <t>FRENOS DELANTEROS CORSA …/99</t>
        </is>
      </c>
      <c r="D2166" s="2" t="inlineStr">
        <is>
          <t>FRASLE</t>
        </is>
      </c>
      <c r="E2166" s="3" t="n">
        <v>11.5385</v>
      </c>
      <c r="F2166" s="4" t="n">
        <v>0.3</v>
      </c>
      <c r="G2166" s="5">
        <f>ROUND(E2166*(1+F2166),2)</f>
        <v>15.00</v>
      </c>
      <c r="H2166" s="5">
        <f>ROUND(G2166*NOTAS!$B$2,2)</f>
        <v>10820.18</v>
      </c>
      <c r="I2166" s="6">
        <f>ROUND(G2166*NOTAS!$B$3,0)</f>
        <v>48733</v>
      </c>
      <c r="J2166" s="2" t="n">
        <v>1</v>
      </c>
    </row>
    <row r="2167">
      <c r="A2167" s="2" t="inlineStr">
        <is>
          <t>88905761</t>
        </is>
      </c>
      <c r="B2167" s="2" t="inlineStr"/>
      <c r="C2167" s="2" t="inlineStr">
        <is>
          <t>FRENOS DELANTEROS CORSA …/99</t>
        </is>
      </c>
      <c r="D2167" s="2" t="inlineStr">
        <is>
          <t>ACDELCO</t>
        </is>
      </c>
      <c r="E2167" s="3" t="n">
        <v>11.5385</v>
      </c>
      <c r="F2167" s="4" t="n">
        <v>0.3</v>
      </c>
      <c r="G2167" s="5">
        <f>ROUND(E2167*(1+F2167),2)</f>
        <v>15.00</v>
      </c>
      <c r="H2167" s="5">
        <f>ROUND(G2167*NOTAS!$B$2,2)</f>
        <v>10820.18</v>
      </c>
      <c r="I2167" s="6">
        <f>ROUND(G2167*NOTAS!$B$3,0)</f>
        <v>48733</v>
      </c>
      <c r="J2167" s="2" t="n">
        <v>1</v>
      </c>
    </row>
    <row r="2168">
      <c r="A2168" s="2" t="inlineStr">
        <is>
          <t>FF2894</t>
        </is>
      </c>
      <c r="B2168" s="2" t="inlineStr"/>
      <c r="C2168" s="2" t="inlineStr">
        <is>
          <t>FRENOS DELANTEROS CORSA …/99</t>
        </is>
      </c>
      <c r="D2168" s="2" t="inlineStr">
        <is>
          <t>FORMULA</t>
        </is>
      </c>
      <c r="E2168" s="3" t="n">
        <v>11.5385</v>
      </c>
      <c r="F2168" s="4" t="n">
        <v>0.3</v>
      </c>
      <c r="G2168" s="5">
        <f>ROUND(E2168*(1+F2168),2)</f>
        <v>15.00</v>
      </c>
      <c r="H2168" s="5">
        <f>ROUND(G2168*NOTAS!$B$2,2)</f>
        <v>10820.18</v>
      </c>
      <c r="I2168" s="6">
        <f>ROUND(G2168*NOTAS!$B$3,0)</f>
        <v>48733</v>
      </c>
      <c r="J2168" s="2" t="n">
        <v>2</v>
      </c>
    </row>
    <row r="2169">
      <c r="A2169" s="2" t="inlineStr">
        <is>
          <t>PD/42</t>
        </is>
      </c>
      <c r="B2169" s="2" t="inlineStr"/>
      <c r="C2169" s="2" t="inlineStr">
        <is>
          <t>FRENOS DELANTEROS CORSA 00/06</t>
        </is>
      </c>
      <c r="D2169" s="2" t="inlineStr">
        <is>
          <t>FRASLE</t>
        </is>
      </c>
      <c r="E2169" s="3" t="n">
        <v>11.5385</v>
      </c>
      <c r="F2169" s="4" t="n">
        <v>0.3</v>
      </c>
      <c r="G2169" s="5">
        <f>ROUND(E2169*(1+F2169),2)</f>
        <v>15.00</v>
      </c>
      <c r="H2169" s="5">
        <f>ROUND(G2169*NOTAS!$B$2,2)</f>
        <v>10820.18</v>
      </c>
      <c r="I2169" s="6">
        <f>ROUND(G2169*NOTAS!$B$3,0)</f>
        <v>48733</v>
      </c>
      <c r="J2169" s="2" t="n">
        <v>6</v>
      </c>
    </row>
    <row r="2170">
      <c r="A2170" s="2" t="inlineStr">
        <is>
          <t>PGD688M</t>
        </is>
      </c>
      <c r="B2170" s="2" t="inlineStr"/>
      <c r="C2170" s="2" t="inlineStr">
        <is>
          <t>FRENOS DELANTEROS CORSA 00/06</t>
        </is>
      </c>
      <c r="D2170" s="2" t="inlineStr">
        <is>
          <t>RAYBESTOS</t>
        </is>
      </c>
      <c r="E2170" s="3" t="n">
        <v>11.5385</v>
      </c>
      <c r="F2170" s="4" t="n">
        <v>0.3</v>
      </c>
      <c r="G2170" s="5">
        <f>ROUND(E2170*(1+F2170),2)</f>
        <v>15.00</v>
      </c>
      <c r="H2170" s="5">
        <f>ROUND(G2170*NOTAS!$B$2,2)</f>
        <v>10820.18</v>
      </c>
      <c r="I2170" s="6">
        <f>ROUND(G2170*NOTAS!$B$3,0)</f>
        <v>48733</v>
      </c>
      <c r="J2170" s="2" t="n">
        <v>2</v>
      </c>
    </row>
    <row r="2171">
      <c r="A2171" s="2" t="inlineStr">
        <is>
          <t>FF2649</t>
        </is>
      </c>
      <c r="B2171" s="2" t="inlineStr"/>
      <c r="C2171" s="2" t="inlineStr">
        <is>
          <t>FRENOS DELANTEROS CORSA 00/06</t>
        </is>
      </c>
      <c r="D2171" s="2" t="inlineStr">
        <is>
          <t>FORMULA</t>
        </is>
      </c>
      <c r="E2171" s="3" t="n">
        <v>11.5385</v>
      </c>
      <c r="F2171" s="4" t="n">
        <v>0.3</v>
      </c>
      <c r="G2171" s="5">
        <f>ROUND(E2171*(1+F2171),2)</f>
        <v>15.00</v>
      </c>
      <c r="H2171" s="5">
        <f>ROUND(G2171*NOTAS!$B$2,2)</f>
        <v>10820.18</v>
      </c>
      <c r="I2171" s="6">
        <f>ROUND(G2171*NOTAS!$B$3,0)</f>
        <v>48733</v>
      </c>
      <c r="J2171" s="2" t="n">
        <v>1</v>
      </c>
    </row>
    <row r="2172">
      <c r="A2172" s="2" t="inlineStr">
        <is>
          <t>88906342</t>
        </is>
      </c>
      <c r="B2172" s="2" t="inlineStr"/>
      <c r="C2172" s="2" t="inlineStr">
        <is>
          <t>FRENOS DELANTEROS CORSA 00/06</t>
        </is>
      </c>
      <c r="D2172" s="2" t="inlineStr">
        <is>
          <t>ACDELCO</t>
        </is>
      </c>
      <c r="E2172" s="3" t="n">
        <v>11.5385</v>
      </c>
      <c r="F2172" s="4" t="n">
        <v>0.3</v>
      </c>
      <c r="G2172" s="5">
        <f>ROUND(E2172*(1+F2172),2)</f>
        <v>15.00</v>
      </c>
      <c r="H2172" s="5">
        <f>ROUND(G2172*NOTAS!$B$2,2)</f>
        <v>10820.18</v>
      </c>
      <c r="I2172" s="6">
        <f>ROUND(G2172*NOTAS!$B$3,0)</f>
        <v>48733</v>
      </c>
      <c r="J2172" s="2" t="n">
        <v>3</v>
      </c>
    </row>
    <row r="2173">
      <c r="A2173" s="2" t="inlineStr">
        <is>
          <t>PD-42</t>
        </is>
      </c>
      <c r="B2173" s="2" t="inlineStr"/>
      <c r="C2173" s="2" t="inlineStr">
        <is>
          <t>FRENOS DELANTEROS CORSA 00/06</t>
        </is>
      </c>
      <c r="D2173" s="2" t="inlineStr">
        <is>
          <t>FRASLE</t>
        </is>
      </c>
      <c r="E2173" s="3" t="n">
        <v>11.5385</v>
      </c>
      <c r="F2173" s="4" t="n">
        <v>0.3</v>
      </c>
      <c r="G2173" s="5">
        <f>ROUND(E2173*(1+F2173),2)</f>
        <v>15.00</v>
      </c>
      <c r="H2173" s="5">
        <f>ROUND(G2173*NOTAS!$B$2,2)</f>
        <v>10820.18</v>
      </c>
      <c r="I2173" s="6">
        <f>ROUND(G2173*NOTAS!$B$3,0)</f>
        <v>48733</v>
      </c>
      <c r="J2173" s="2" t="n">
        <v>2</v>
      </c>
    </row>
    <row r="2174">
      <c r="A2174" s="2" t="inlineStr">
        <is>
          <t>PF8730-D1522</t>
        </is>
      </c>
      <c r="B2174" s="2" t="inlineStr"/>
      <c r="C2174" s="2" t="inlineStr">
        <is>
          <t>FRENOS DELANTEROS CRUZE</t>
        </is>
      </c>
      <c r="D2174" s="2" t="inlineStr">
        <is>
          <t>PERFECTION BRAKE</t>
        </is>
      </c>
      <c r="E2174" s="3" t="n">
        <v>16.9231</v>
      </c>
      <c r="F2174" s="4" t="n">
        <v>0.3</v>
      </c>
      <c r="G2174" s="5">
        <f>ROUND(E2174*(1+F2174),2)</f>
        <v>22.00</v>
      </c>
      <c r="H2174" s="5">
        <f>ROUND(G2174*NOTAS!$B$2,2)</f>
        <v>15869.60</v>
      </c>
      <c r="I2174" s="6">
        <f>ROUND(G2174*NOTAS!$B$3,0)</f>
        <v>71475</v>
      </c>
      <c r="J2174" s="2" t="n">
        <v>1</v>
      </c>
    </row>
    <row r="2175">
      <c r="A2175" s="2" t="inlineStr">
        <is>
          <t>SP1077</t>
        </is>
      </c>
      <c r="B2175" s="2" t="inlineStr"/>
      <c r="C2175" s="2" t="inlineStr">
        <is>
          <t>FRENOS DELANTEROS ESPERO/LANOS</t>
        </is>
      </c>
      <c r="D2175" s="2" t="inlineStr">
        <is>
          <t>SANGSIN</t>
        </is>
      </c>
      <c r="E2175" s="3" t="n">
        <v>10.7692</v>
      </c>
      <c r="F2175" s="4" t="n">
        <v>0.3</v>
      </c>
      <c r="G2175" s="5">
        <f>ROUND(E2175*(1+F2175),2)</f>
        <v>14.00</v>
      </c>
      <c r="H2175" s="5">
        <f>ROUND(G2175*NOTAS!$B$2,2)</f>
        <v>10098.84</v>
      </c>
      <c r="I2175" s="6">
        <f>ROUND(G2175*NOTAS!$B$3,0)</f>
        <v>45484</v>
      </c>
      <c r="J2175" s="2" t="n">
        <v>1</v>
      </c>
    </row>
    <row r="2176">
      <c r="A2176" s="2" t="inlineStr">
        <is>
          <t>6805</t>
        </is>
      </c>
      <c r="B2176" s="2" t="inlineStr"/>
      <c r="C2176" s="2" t="inlineStr">
        <is>
          <t>FRENOS DELANTEROS ESTEEM</t>
        </is>
      </c>
      <c r="D2176" s="2" t="inlineStr">
        <is>
          <t>SIFFERT</t>
        </is>
      </c>
      <c r="E2176" s="3" t="n">
        <v>11.5385</v>
      </c>
      <c r="F2176" s="4" t="n">
        <v>0.3</v>
      </c>
      <c r="G2176" s="5">
        <f>ROUND(E2176*(1+F2176),2)</f>
        <v>15.00</v>
      </c>
      <c r="H2176" s="5">
        <f>ROUND(G2176*NOTAS!$B$2,2)</f>
        <v>10820.18</v>
      </c>
      <c r="I2176" s="6">
        <f>ROUND(G2176*NOTAS!$B$3,0)</f>
        <v>48733</v>
      </c>
      <c r="J2176" s="2" t="n">
        <v>1</v>
      </c>
    </row>
    <row r="2177">
      <c r="A2177" s="2" t="inlineStr">
        <is>
          <t>PF8268-D1158</t>
        </is>
      </c>
      <c r="B2177" s="2" t="inlineStr"/>
      <c r="C2177" s="2" t="inlineStr">
        <is>
          <t>FRENOS DELANTEROS EXPLORER 06/11</t>
        </is>
      </c>
      <c r="D2177" s="2" t="inlineStr">
        <is>
          <t>PERFECTION BRAKE</t>
        </is>
      </c>
      <c r="E2177" s="3" t="n">
        <v>21.5385</v>
      </c>
      <c r="F2177" s="4" t="n">
        <v>0.3</v>
      </c>
      <c r="G2177" s="5">
        <f>ROUND(E2177*(1+F2177),2)</f>
        <v>28.00</v>
      </c>
      <c r="H2177" s="5">
        <f>ROUND(G2177*NOTAS!$B$2,2)</f>
        <v>20197.68</v>
      </c>
      <c r="I2177" s="6">
        <f>ROUND(G2177*NOTAS!$B$3,0)</f>
        <v>90968</v>
      </c>
      <c r="J2177" s="2" t="n">
        <v>1</v>
      </c>
    </row>
    <row r="2178">
      <c r="A2178" s="2" t="inlineStr">
        <is>
          <t>PD/308</t>
        </is>
      </c>
      <c r="B2178" s="2" t="inlineStr"/>
      <c r="C2178" s="2" t="inlineStr">
        <is>
          <t>FRENOS DELANTEROS F-131/132</t>
        </is>
      </c>
      <c r="D2178" s="2" t="inlineStr">
        <is>
          <t>FRASLE</t>
        </is>
      </c>
      <c r="E2178" s="3" t="n">
        <v>11.5385</v>
      </c>
      <c r="F2178" s="4" t="n">
        <v>0.3</v>
      </c>
      <c r="G2178" s="5">
        <f>ROUND(E2178*(1+F2178),2)</f>
        <v>15.00</v>
      </c>
      <c r="H2178" s="5">
        <f>ROUND(G2178*NOTAS!$B$2,2)</f>
        <v>10820.18</v>
      </c>
      <c r="I2178" s="6">
        <f>ROUND(G2178*NOTAS!$B$3,0)</f>
        <v>48733</v>
      </c>
      <c r="J2178" s="2" t="n">
        <v>2</v>
      </c>
    </row>
    <row r="2179">
      <c r="A2179" s="2" t="inlineStr">
        <is>
          <t>PD/18</t>
        </is>
      </c>
      <c r="B2179" s="2" t="inlineStr">
        <is>
          <t>347</t>
        </is>
      </c>
      <c r="C2179" s="2" t="inlineStr">
        <is>
          <t>FRENOS DELANTEROS F-147</t>
        </is>
      </c>
      <c r="D2179" s="2" t="inlineStr">
        <is>
          <t>FRASLE</t>
        </is>
      </c>
      <c r="E2179" s="3" t="n">
        <v>11.5385</v>
      </c>
      <c r="F2179" s="4" t="n">
        <v>0.3</v>
      </c>
      <c r="G2179" s="5">
        <f>ROUND(E2179*(1+F2179),2)</f>
        <v>15.00</v>
      </c>
      <c r="H2179" s="5">
        <f>ROUND(G2179*NOTAS!$B$2,2)</f>
        <v>10820.18</v>
      </c>
      <c r="I2179" s="6">
        <f>ROUND(G2179*NOTAS!$B$3,0)</f>
        <v>48733</v>
      </c>
      <c r="J2179" s="2" t="n">
        <v>1</v>
      </c>
    </row>
    <row r="2180">
      <c r="A2180" s="2" t="inlineStr">
        <is>
          <t>F18005</t>
        </is>
      </c>
      <c r="B2180" s="2" t="inlineStr">
        <is>
          <t>D402-7291</t>
        </is>
      </c>
      <c r="C2180" s="2" t="inlineStr">
        <is>
          <t>FRENOS DELANTEROS FESTIVA-TURPIAL</t>
        </is>
      </c>
      <c r="D2180" s="2" t="inlineStr">
        <is>
          <t>TRUSTAR</t>
        </is>
      </c>
      <c r="E2180" s="3" t="n">
        <v>7.57</v>
      </c>
      <c r="F2180" s="4" t="n">
        <v>0.3</v>
      </c>
      <c r="G2180" s="5">
        <f>ROUND(E2180*(1+F2180),2)</f>
        <v>9.84</v>
      </c>
      <c r="H2180" s="5">
        <f>ROUND(G2180*NOTAS!$B$2,2)</f>
        <v>7098.04</v>
      </c>
      <c r="I2180" s="6">
        <f>ROUND(G2180*NOTAS!$B$3,0)</f>
        <v>31969</v>
      </c>
      <c r="J2180" s="2" t="n">
        <v>1</v>
      </c>
    </row>
    <row r="2181">
      <c r="A2181" s="2" t="inlineStr">
        <is>
          <t>HQ-2051</t>
        </is>
      </c>
      <c r="B2181" s="2" t="inlineStr"/>
      <c r="C2181" s="2" t="inlineStr">
        <is>
          <t>FRENOS DELANTEROS FIESTA 1.3</t>
        </is>
      </c>
      <c r="D2181" s="2" t="inlineStr">
        <is>
          <t>BENDIX</t>
        </is>
      </c>
      <c r="E2181" s="3" t="n">
        <v>13.8462</v>
      </c>
      <c r="F2181" s="4" t="n">
        <v>0.3</v>
      </c>
      <c r="G2181" s="5">
        <f>ROUND(E2181*(1+F2181),2)</f>
        <v>18.00</v>
      </c>
      <c r="H2181" s="5">
        <f>ROUND(G2181*NOTAS!$B$2,2)</f>
        <v>12984.22</v>
      </c>
      <c r="I2181" s="6">
        <f>ROUND(G2181*NOTAS!$B$3,0)</f>
        <v>58480</v>
      </c>
      <c r="J2181" s="2" t="n">
        <v>1</v>
      </c>
    </row>
    <row r="2182">
      <c r="A2182" s="2" t="inlineStr">
        <is>
          <t>2828</t>
        </is>
      </c>
      <c r="B2182" s="2" t="inlineStr"/>
      <c r="C2182" s="2" t="inlineStr">
        <is>
          <t>FRENOS DELANTEROS FIESTA 1.3</t>
        </is>
      </c>
      <c r="D2182" s="2" t="inlineStr">
        <is>
          <t>FORMULA</t>
        </is>
      </c>
      <c r="E2182" s="3" t="n">
        <v>13.8462</v>
      </c>
      <c r="F2182" s="4" t="n">
        <v>0.3</v>
      </c>
      <c r="G2182" s="5">
        <f>ROUND(E2182*(1+F2182),2)</f>
        <v>18.00</v>
      </c>
      <c r="H2182" s="5">
        <f>ROUND(G2182*NOTAS!$B$2,2)</f>
        <v>12984.22</v>
      </c>
      <c r="I2182" s="6">
        <f>ROUND(G2182*NOTAS!$B$3,0)</f>
        <v>58480</v>
      </c>
      <c r="J2182" s="2" t="n">
        <v>1</v>
      </c>
    </row>
    <row r="2183">
      <c r="A2183" s="2" t="inlineStr">
        <is>
          <t>D1196-8316</t>
        </is>
      </c>
      <c r="B2183" s="2" t="inlineStr"/>
      <c r="C2183" s="2" t="inlineStr">
        <is>
          <t>FRENOS DELANTEROS FIESTA 1.3</t>
        </is>
      </c>
      <c r="D2183" s="2" t="inlineStr">
        <is>
          <t xml:space="preserve">EXTRATECH PRO </t>
        </is>
      </c>
      <c r="E2183" s="3" t="n">
        <v>13.8462</v>
      </c>
      <c r="F2183" s="4" t="n">
        <v>0.3</v>
      </c>
      <c r="G2183" s="5">
        <f>ROUND(E2183*(1+F2183),2)</f>
        <v>18.00</v>
      </c>
      <c r="H2183" s="5">
        <f>ROUND(G2183*NOTAS!$B$2,2)</f>
        <v>12984.22</v>
      </c>
      <c r="I2183" s="6">
        <f>ROUND(G2183*NOTAS!$B$3,0)</f>
        <v>58480</v>
      </c>
      <c r="J2183" s="2" t="n">
        <v>2</v>
      </c>
    </row>
    <row r="2184">
      <c r="A2184" s="2" t="inlineStr">
        <is>
          <t>19144409</t>
        </is>
      </c>
      <c r="B2184" s="2" t="inlineStr"/>
      <c r="C2184" s="2" t="inlineStr">
        <is>
          <t>FRENOS DELANTEROS FIESTA AUTOMATICO/ECOSPORT</t>
        </is>
      </c>
      <c r="D2184" s="2" t="inlineStr">
        <is>
          <t>ACDELCO</t>
        </is>
      </c>
      <c r="E2184" s="3" t="n">
        <v>13.8462</v>
      </c>
      <c r="F2184" s="4" t="n">
        <v>0.3</v>
      </c>
      <c r="G2184" s="5">
        <f>ROUND(E2184*(1+F2184),2)</f>
        <v>18.00</v>
      </c>
      <c r="H2184" s="5">
        <f>ROUND(G2184*NOTAS!$B$2,2)</f>
        <v>12984.22</v>
      </c>
      <c r="I2184" s="6">
        <f>ROUND(G2184*NOTAS!$B$3,0)</f>
        <v>58480</v>
      </c>
      <c r="J2184" s="2" t="n">
        <v>3</v>
      </c>
    </row>
    <row r="2185">
      <c r="A2185" s="2" t="inlineStr">
        <is>
          <t>FF7665</t>
        </is>
      </c>
      <c r="B2185" s="2" t="inlineStr"/>
      <c r="C2185" s="2" t="inlineStr">
        <is>
          <t>FRENOS DELANTEROS FIESTA AUTOMATICO/ECOSPORT</t>
        </is>
      </c>
      <c r="D2185" s="2" t="inlineStr">
        <is>
          <t>FORMULA</t>
        </is>
      </c>
      <c r="E2185" s="3" t="n">
        <v>13.8462</v>
      </c>
      <c r="F2185" s="4" t="n">
        <v>0.3</v>
      </c>
      <c r="G2185" s="5">
        <f>ROUND(E2185*(1+F2185),2)</f>
        <v>18.00</v>
      </c>
      <c r="H2185" s="5">
        <f>ROUND(G2185*NOTAS!$B$2,2)</f>
        <v>12984.22</v>
      </c>
      <c r="I2185" s="6">
        <f>ROUND(G2185*NOTAS!$B$3,0)</f>
        <v>58480</v>
      </c>
      <c r="J2185" s="2" t="n">
        <v>1</v>
      </c>
    </row>
    <row r="2186">
      <c r="A2186" s="2" t="inlineStr">
        <is>
          <t>7503-D632</t>
        </is>
      </c>
      <c r="B2186" s="2" t="inlineStr"/>
      <c r="C2186" s="2" t="inlineStr">
        <is>
          <t>FRENOS DELANTEROS FORD 150/BRONCO 94/98</t>
        </is>
      </c>
      <c r="D2186" s="2" t="inlineStr">
        <is>
          <t>BRAKEPRO</t>
        </is>
      </c>
      <c r="E2186" s="3" t="n">
        <v>16.9231</v>
      </c>
      <c r="F2186" s="4" t="n">
        <v>0.3</v>
      </c>
      <c r="G2186" s="5">
        <f>ROUND(E2186*(1+F2186),2)</f>
        <v>22.00</v>
      </c>
      <c r="H2186" s="5">
        <f>ROUND(G2186*NOTAS!$B$2,2)</f>
        <v>15869.60</v>
      </c>
      <c r="I2186" s="6">
        <f>ROUND(G2186*NOTAS!$B$3,0)</f>
        <v>71475</v>
      </c>
      <c r="J2186" s="2" t="n">
        <v>1</v>
      </c>
    </row>
    <row r="2187">
      <c r="A2187" s="2" t="inlineStr">
        <is>
          <t>RPD679M</t>
        </is>
      </c>
      <c r="B2187" s="2" t="inlineStr">
        <is>
          <t>7558</t>
        </is>
      </c>
      <c r="C2187" s="2" t="inlineStr">
        <is>
          <t>FRENOS DELANTEROS FORTALEZA 98/07</t>
        </is>
      </c>
      <c r="D2187" s="2" t="inlineStr">
        <is>
          <t>RAYBESTOS</t>
        </is>
      </c>
      <c r="E2187" s="3" t="n">
        <v>19.2308</v>
      </c>
      <c r="F2187" s="4" t="n">
        <v>0.3</v>
      </c>
      <c r="G2187" s="5">
        <f>ROUND(E2187*(1+F2187),2)</f>
        <v>25.00</v>
      </c>
      <c r="H2187" s="5">
        <f>ROUND(G2187*NOTAS!$B$2,2)</f>
        <v>18033.64</v>
      </c>
      <c r="I2187" s="6">
        <f>ROUND(G2187*NOTAS!$B$3,0)</f>
        <v>81222</v>
      </c>
      <c r="J2187" s="2" t="n">
        <v>1</v>
      </c>
    </row>
    <row r="2188">
      <c r="A2188" s="2" t="inlineStr">
        <is>
          <t>PD/68</t>
        </is>
      </c>
      <c r="B2188" s="2" t="inlineStr"/>
      <c r="C2188" s="2" t="inlineStr">
        <is>
          <t>FRENOS DELANTEROS F-PAL/SIE 1.8-UNO FIRE</t>
        </is>
      </c>
      <c r="D2188" s="2" t="inlineStr">
        <is>
          <t>FRASLE</t>
        </is>
      </c>
      <c r="E2188" s="3" t="n">
        <v>11.5385</v>
      </c>
      <c r="F2188" s="4" t="n">
        <v>0.3</v>
      </c>
      <c r="G2188" s="5">
        <f>ROUND(E2188*(1+F2188),2)</f>
        <v>15.00</v>
      </c>
      <c r="H2188" s="5">
        <f>ROUND(G2188*NOTAS!$B$2,2)</f>
        <v>10820.18</v>
      </c>
      <c r="I2188" s="6">
        <f>ROUND(G2188*NOTAS!$B$3,0)</f>
        <v>48733</v>
      </c>
      <c r="J2188" s="2" t="n">
        <v>1</v>
      </c>
    </row>
    <row r="2189">
      <c r="A2189" s="2" t="inlineStr">
        <is>
          <t>FI18030</t>
        </is>
      </c>
      <c r="B2189" s="2" t="inlineStr">
        <is>
          <t>D350-7242</t>
        </is>
      </c>
      <c r="C2189" s="2" t="inlineStr">
        <is>
          <t>FRENOS DELANTEROS F-UNO/PALIO/SIENA/FIESTA SINCRONICO/KA</t>
        </is>
      </c>
      <c r="D2189" s="2" t="inlineStr">
        <is>
          <t>TRUSTAR</t>
        </is>
      </c>
      <c r="E2189" s="3" t="n">
        <v>9.93</v>
      </c>
      <c r="F2189" s="4" t="n">
        <v>0.3</v>
      </c>
      <c r="G2189" s="5">
        <f>ROUND(E2189*(1+F2189),2)</f>
        <v>12.91</v>
      </c>
      <c r="H2189" s="5">
        <f>ROUND(G2189*NOTAS!$B$2,2)</f>
        <v>9312.57</v>
      </c>
      <c r="I2189" s="6">
        <f>ROUND(G2189*NOTAS!$B$3,0)</f>
        <v>41943</v>
      </c>
      <c r="J2189" s="2" t="n">
        <v>1</v>
      </c>
    </row>
    <row r="2190">
      <c r="A2190" s="2" t="inlineStr">
        <is>
          <t>FF0321</t>
        </is>
      </c>
      <c r="B2190" s="2" t="inlineStr">
        <is>
          <t>321</t>
        </is>
      </c>
      <c r="C2190" s="2" t="inlineStr">
        <is>
          <t>FRENOS DELANTEROS F-UNO/PALIO/SIENA/FIESTA SINCRONICO/KA</t>
        </is>
      </c>
      <c r="D2190" s="2" t="inlineStr">
        <is>
          <t>FORMULA</t>
        </is>
      </c>
      <c r="E2190" s="3" t="n">
        <v>11.5385</v>
      </c>
      <c r="F2190" s="4" t="n">
        <v>0.3</v>
      </c>
      <c r="G2190" s="5">
        <f>ROUND(E2190*(1+F2190),2)</f>
        <v>15.00</v>
      </c>
      <c r="H2190" s="5">
        <f>ROUND(G2190*NOTAS!$B$2,2)</f>
        <v>10820.18</v>
      </c>
      <c r="I2190" s="6">
        <f>ROUND(G2190*NOTAS!$B$3,0)</f>
        <v>48733</v>
      </c>
      <c r="J2190" s="2" t="n">
        <v>1</v>
      </c>
    </row>
    <row r="2191">
      <c r="A2191" s="2" t="inlineStr">
        <is>
          <t>2301</t>
        </is>
      </c>
      <c r="B2191" s="2" t="inlineStr">
        <is>
          <t>321</t>
        </is>
      </c>
      <c r="C2191" s="2" t="inlineStr">
        <is>
          <t>FRENOS DELANTEROS F-UNO/PALIO/SIENA/FIESTA SINCRONICO/KA</t>
        </is>
      </c>
      <c r="D2191" s="2" t="inlineStr">
        <is>
          <t>SIFFERT</t>
        </is>
      </c>
      <c r="E2191" s="3" t="n">
        <v>11.5385</v>
      </c>
      <c r="F2191" s="4" t="n">
        <v>0.3</v>
      </c>
      <c r="G2191" s="5">
        <f>ROUND(E2191*(1+F2191),2)</f>
        <v>15.00</v>
      </c>
      <c r="H2191" s="5">
        <f>ROUND(G2191*NOTAS!$B$2,2)</f>
        <v>10820.18</v>
      </c>
      <c r="I2191" s="6">
        <f>ROUND(G2191*NOTAS!$B$3,0)</f>
        <v>48733</v>
      </c>
      <c r="J2191" s="2" t="n">
        <v>1</v>
      </c>
    </row>
    <row r="2192">
      <c r="A2192" s="2" t="inlineStr">
        <is>
          <t>PGD440M</t>
        </is>
      </c>
      <c r="B2192" s="2" t="inlineStr"/>
      <c r="C2192" s="2" t="inlineStr">
        <is>
          <t>FRENOS DELANTEROS HYUNDAI ACCENT</t>
        </is>
      </c>
      <c r="D2192" s="2" t="inlineStr">
        <is>
          <t>RAYBESTOS</t>
        </is>
      </c>
      <c r="E2192" s="3" t="n">
        <v>11.5385</v>
      </c>
      <c r="F2192" s="4" t="n">
        <v>0.3</v>
      </c>
      <c r="G2192" s="5">
        <f>ROUND(E2192*(1+F2192),2)</f>
        <v>15.00</v>
      </c>
      <c r="H2192" s="5">
        <f>ROUND(G2192*NOTAS!$B$2,2)</f>
        <v>10820.18</v>
      </c>
      <c r="I2192" s="6">
        <f>ROUND(G2192*NOTAS!$B$3,0)</f>
        <v>48733</v>
      </c>
      <c r="J2192" s="2" t="n">
        <v>2</v>
      </c>
    </row>
    <row r="2193">
      <c r="A2193" s="2" t="inlineStr">
        <is>
          <t>PF8266</t>
        </is>
      </c>
      <c r="B2193" s="2" t="inlineStr"/>
      <c r="C2193" s="2" t="inlineStr">
        <is>
          <t>FRENOS DELANTEROS KIA RIO</t>
        </is>
      </c>
      <c r="D2193" s="2" t="inlineStr">
        <is>
          <t>PERFECTION BRAKE</t>
        </is>
      </c>
      <c r="E2193" s="3" t="n">
        <v>13.8462</v>
      </c>
      <c r="F2193" s="4" t="n">
        <v>0.3</v>
      </c>
      <c r="G2193" s="5">
        <f>ROUND(E2193*(1+F2193),2)</f>
        <v>18.00</v>
      </c>
      <c r="H2193" s="5">
        <f>ROUND(G2193*NOTAS!$B$2,2)</f>
        <v>12984.22</v>
      </c>
      <c r="I2193" s="6">
        <f>ROUND(G2193*NOTAS!$B$3,0)</f>
        <v>58480</v>
      </c>
      <c r="J2193" s="2" t="n">
        <v>1</v>
      </c>
    </row>
    <row r="2194">
      <c r="A2194" s="2" t="inlineStr">
        <is>
          <t>K30A-33-28Z</t>
        </is>
      </c>
      <c r="B2194" s="2" t="inlineStr"/>
      <c r="C2194" s="2" t="inlineStr">
        <is>
          <t>FRENOS DELANTEROS KIA RIO 00/02</t>
        </is>
      </c>
      <c r="D2194" s="2" t="inlineStr">
        <is>
          <t>ONNURI</t>
        </is>
      </c>
      <c r="E2194" s="3" t="n">
        <v>13.8462</v>
      </c>
      <c r="F2194" s="4" t="n">
        <v>0.3</v>
      </c>
      <c r="G2194" s="5">
        <f>ROUND(E2194*(1+F2194),2)</f>
        <v>18.00</v>
      </c>
      <c r="H2194" s="5">
        <f>ROUND(G2194*NOTAS!$B$2,2)</f>
        <v>12984.22</v>
      </c>
      <c r="I2194" s="6">
        <f>ROUND(G2194*NOTAS!$B$3,0)</f>
        <v>58480</v>
      </c>
      <c r="J2194" s="2" t="n">
        <v>2</v>
      </c>
    </row>
    <row r="2195">
      <c r="A2195" s="2" t="inlineStr">
        <is>
          <t>H18034</t>
        </is>
      </c>
      <c r="B2195" s="2" t="inlineStr">
        <is>
          <t>D1515-8724</t>
        </is>
      </c>
      <c r="C2195" s="2" t="inlineStr">
        <is>
          <t>FRENOS DELANTEROS KIA RIO STYLUS</t>
        </is>
      </c>
      <c r="D2195" s="2" t="inlineStr">
        <is>
          <t>TRUSTAR</t>
        </is>
      </c>
      <c r="E2195" s="3" t="n">
        <v>9.359999999999999</v>
      </c>
      <c r="F2195" s="4" t="n">
        <v>0.3</v>
      </c>
      <c r="G2195" s="5">
        <f>ROUND(E2195*(1+F2195),2)</f>
        <v>12.17</v>
      </c>
      <c r="H2195" s="5">
        <f>ROUND(G2195*NOTAS!$B$2,2)</f>
        <v>8778.78</v>
      </c>
      <c r="I2195" s="6">
        <f>ROUND(G2195*NOTAS!$B$3,0)</f>
        <v>39539</v>
      </c>
      <c r="J2195" s="2" t="n">
        <v>2</v>
      </c>
    </row>
    <row r="2196">
      <c r="A2196" s="2" t="inlineStr">
        <is>
          <t>518</t>
        </is>
      </c>
      <c r="B2196" s="2" t="inlineStr"/>
      <c r="C2196" s="2" t="inlineStr">
        <is>
          <t>FRENOS DELANTEROS LADA SAMARA</t>
        </is>
      </c>
      <c r="D2196" s="2" t="inlineStr">
        <is>
          <t>MAMUSA</t>
        </is>
      </c>
      <c r="E2196" s="3" t="n">
        <v>11.5385</v>
      </c>
      <c r="F2196" s="4" t="n">
        <v>0.3</v>
      </c>
      <c r="G2196" s="5">
        <f>ROUND(E2196*(1+F2196),2)</f>
        <v>15.00</v>
      </c>
      <c r="H2196" s="5">
        <f>ROUND(G2196*NOTAS!$B$2,2)</f>
        <v>10820.18</v>
      </c>
      <c r="I2196" s="6">
        <f>ROUND(G2196*NOTAS!$B$3,0)</f>
        <v>48733</v>
      </c>
      <c r="J2196" s="2" t="n">
        <v>1</v>
      </c>
    </row>
    <row r="2197">
      <c r="A2197" s="2" t="inlineStr">
        <is>
          <t>551</t>
        </is>
      </c>
      <c r="B2197" s="2" t="inlineStr"/>
      <c r="C2197" s="2" t="inlineStr">
        <is>
          <t>FRENOS DELANTEROS LADA SEDAN/RANCHERA</t>
        </is>
      </c>
      <c r="D2197" s="2" t="inlineStr">
        <is>
          <t>MAMUSA</t>
        </is>
      </c>
      <c r="E2197" s="3" t="n">
        <v>11.5385</v>
      </c>
      <c r="F2197" s="4" t="n">
        <v>0.3</v>
      </c>
      <c r="G2197" s="5">
        <f>ROUND(E2197*(1+F2197),2)</f>
        <v>15.00</v>
      </c>
      <c r="H2197" s="5">
        <f>ROUND(G2197*NOTAS!$B$2,2)</f>
        <v>10820.18</v>
      </c>
      <c r="I2197" s="6">
        <f>ROUND(G2197*NOTAS!$B$3,0)</f>
        <v>48733</v>
      </c>
      <c r="J2197" s="2" t="n">
        <v>1</v>
      </c>
    </row>
    <row r="2198">
      <c r="A2198" s="2" t="inlineStr">
        <is>
          <t>FF2895</t>
        </is>
      </c>
      <c r="B2198" s="2" t="inlineStr"/>
      <c r="C2198" s="2" t="inlineStr">
        <is>
          <t>FRENOS DELANTEROS LANOS/MATIZ</t>
        </is>
      </c>
      <c r="D2198" s="2" t="inlineStr">
        <is>
          <t>FORMULA</t>
        </is>
      </c>
      <c r="E2198" s="3" t="n">
        <v>10.7692</v>
      </c>
      <c r="F2198" s="4" t="n">
        <v>0.3</v>
      </c>
      <c r="G2198" s="5">
        <f>ROUND(E2198*(1+F2198),2)</f>
        <v>14.00</v>
      </c>
      <c r="H2198" s="5">
        <f>ROUND(G2198*NOTAS!$B$2,2)</f>
        <v>10098.84</v>
      </c>
      <c r="I2198" s="6">
        <f>ROUND(G2198*NOTAS!$B$3,0)</f>
        <v>45484</v>
      </c>
      <c r="J2198" s="2" t="n">
        <v>2</v>
      </c>
    </row>
    <row r="2199">
      <c r="A2199" s="2" t="inlineStr">
        <is>
          <t>PD/46</t>
        </is>
      </c>
      <c r="B2199" s="2" t="inlineStr"/>
      <c r="C2199" s="2" t="inlineStr">
        <is>
          <t>FRENOS DELANTEROS MONTANA/CORSA 1.8</t>
        </is>
      </c>
      <c r="D2199" s="2" t="inlineStr">
        <is>
          <t>FRASLE</t>
        </is>
      </c>
      <c r="E2199" s="3" t="n">
        <v>11.5385</v>
      </c>
      <c r="F2199" s="4" t="n">
        <v>0.3</v>
      </c>
      <c r="G2199" s="5">
        <f>ROUND(E2199*(1+F2199),2)</f>
        <v>15.00</v>
      </c>
      <c r="H2199" s="5">
        <f>ROUND(G2199*NOTAS!$B$2,2)</f>
        <v>10820.18</v>
      </c>
      <c r="I2199" s="6">
        <f>ROUND(G2199*NOTAS!$B$3,0)</f>
        <v>48733</v>
      </c>
      <c r="J2199" s="2" t="n">
        <v>2</v>
      </c>
    </row>
    <row r="2200">
      <c r="A2200" s="2" t="inlineStr">
        <is>
          <t>C18079</t>
        </is>
      </c>
      <c r="B2200" s="2" t="inlineStr">
        <is>
          <t>D1176-8290</t>
        </is>
      </c>
      <c r="C2200" s="2" t="inlineStr">
        <is>
          <t>FRENOS DELANTEROS MONTANA/CORSA 1.8</t>
        </is>
      </c>
      <c r="D2200" s="2" t="inlineStr">
        <is>
          <t>TRUSTAR</t>
        </is>
      </c>
      <c r="E2200" s="3" t="n">
        <v>8.74</v>
      </c>
      <c r="F2200" s="4" t="n">
        <v>0.3</v>
      </c>
      <c r="G2200" s="5">
        <f>ROUND(E2200*(1+F2200),2)</f>
        <v>11.36</v>
      </c>
      <c r="H2200" s="5">
        <f>ROUND(G2200*NOTAS!$B$2,2)</f>
        <v>8194.49</v>
      </c>
      <c r="I2200" s="6">
        <f>ROUND(G2200*NOTAS!$B$3,0)</f>
        <v>36907</v>
      </c>
      <c r="J2200" s="2" t="n">
        <v>1</v>
      </c>
    </row>
    <row r="2201">
      <c r="A2201" s="2" t="inlineStr">
        <is>
          <t>7546-D668</t>
        </is>
      </c>
      <c r="B2201" s="2" t="inlineStr"/>
      <c r="C2201" s="2" t="inlineStr">
        <is>
          <t xml:space="preserve">FRENOS DELANTEROS NISSAN SENTRA B13/B14 </t>
        </is>
      </c>
      <c r="D2201" s="2" t="inlineStr">
        <is>
          <t>BRAKEPRO</t>
        </is>
      </c>
      <c r="E2201" s="3" t="n">
        <v>13.8462</v>
      </c>
      <c r="F2201" s="4" t="n">
        <v>0.3</v>
      </c>
      <c r="G2201" s="5">
        <f>ROUND(E2201*(1+F2201),2)</f>
        <v>18.00</v>
      </c>
      <c r="H2201" s="5">
        <f>ROUND(G2201*NOTAS!$B$2,2)</f>
        <v>12984.22</v>
      </c>
      <c r="I2201" s="6">
        <f>ROUND(G2201*NOTAS!$B$3,0)</f>
        <v>58480</v>
      </c>
      <c r="J2201" s="2" t="n">
        <v>2</v>
      </c>
    </row>
    <row r="2202">
      <c r="A2202" s="2" t="inlineStr">
        <is>
          <t>7546-D668</t>
        </is>
      </c>
      <c r="B2202" s="2" t="inlineStr"/>
      <c r="C2202" s="2" t="inlineStr">
        <is>
          <t xml:space="preserve">FRENOS DELANTEROS NISSAN SENTRA B13/B14 </t>
        </is>
      </c>
      <c r="D2202" s="2" t="inlineStr">
        <is>
          <t>BKPS</t>
        </is>
      </c>
      <c r="E2202" s="3" t="n">
        <v>13.8462</v>
      </c>
      <c r="F2202" s="4" t="n">
        <v>0.3</v>
      </c>
      <c r="G2202" s="5">
        <f>ROUND(E2202*(1+F2202),2)</f>
        <v>18.00</v>
      </c>
      <c r="H2202" s="5">
        <f>ROUND(G2202*NOTAS!$B$2,2)</f>
        <v>12984.22</v>
      </c>
      <c r="I2202" s="6">
        <f>ROUND(G2202*NOTAS!$B$3,0)</f>
        <v>58480</v>
      </c>
      <c r="J2202" s="2" t="n">
        <v>2</v>
      </c>
    </row>
    <row r="2203">
      <c r="A2203" s="2" t="inlineStr">
        <is>
          <t>M11-3501080</t>
        </is>
      </c>
      <c r="B2203" s="2" t="inlineStr"/>
      <c r="C2203" s="2" t="inlineStr">
        <is>
          <t>FRENOS DELANTEROS ORINOCO</t>
        </is>
      </c>
      <c r="D2203" s="2" t="inlineStr">
        <is>
          <t>CHERY</t>
        </is>
      </c>
      <c r="E2203" s="3" t="n">
        <v>13.8462</v>
      </c>
      <c r="F2203" s="4" t="n">
        <v>0.3</v>
      </c>
      <c r="G2203" s="5">
        <f>ROUND(E2203*(1+F2203),2)</f>
        <v>18.00</v>
      </c>
      <c r="H2203" s="5">
        <f>ROUND(G2203*NOTAS!$B$2,2)</f>
        <v>12984.22</v>
      </c>
      <c r="I2203" s="6">
        <f>ROUND(G2203*NOTAS!$B$3,0)</f>
        <v>58480</v>
      </c>
      <c r="J2203" s="2" t="n">
        <v>1</v>
      </c>
    </row>
    <row r="2204">
      <c r="A2204" s="2" t="inlineStr">
        <is>
          <t>D1495-8695</t>
        </is>
      </c>
      <c r="B2204" s="2" t="inlineStr"/>
      <c r="C2204" s="2" t="inlineStr">
        <is>
          <t>FRENOS DELANTEROS PEUGEOT 206/207/307</t>
        </is>
      </c>
      <c r="D2204" s="2" t="inlineStr">
        <is>
          <t>TRUSTAR</t>
        </is>
      </c>
      <c r="E2204" s="3" t="n">
        <v>9.81</v>
      </c>
      <c r="F2204" s="4" t="n">
        <v>0.3</v>
      </c>
      <c r="G2204" s="5">
        <f>ROUND(E2204*(1+F2204),2)</f>
        <v>12.75</v>
      </c>
      <c r="H2204" s="5">
        <f>ROUND(G2204*NOTAS!$B$2,2)</f>
        <v>9197.16</v>
      </c>
      <c r="I2204" s="6">
        <f>ROUND(G2204*NOTAS!$B$3,0)</f>
        <v>41423</v>
      </c>
      <c r="J2204" s="2" t="n">
        <v>1</v>
      </c>
    </row>
    <row r="2205">
      <c r="A2205" s="2" t="inlineStr">
        <is>
          <t>R18036</t>
        </is>
      </c>
      <c r="B2205" s="2" t="inlineStr">
        <is>
          <t>D371-7261</t>
        </is>
      </c>
      <c r="C2205" s="2" t="inlineStr">
        <is>
          <t>FRENOS DELANTEROS R-11/19/TWINGO</t>
        </is>
      </c>
      <c r="D2205" s="2" t="inlineStr">
        <is>
          <t>TRUSTAR</t>
        </is>
      </c>
      <c r="E2205" s="3" t="n">
        <v>7.82</v>
      </c>
      <c r="F2205" s="4" t="n">
        <v>0.3</v>
      </c>
      <c r="G2205" s="5">
        <f>ROUND(E2205*(1+F2205),2)</f>
        <v>10.17</v>
      </c>
      <c r="H2205" s="5">
        <f>ROUND(G2205*NOTAS!$B$2,2)</f>
        <v>7336.08</v>
      </c>
      <c r="I2205" s="6">
        <f>ROUND(G2205*NOTAS!$B$3,0)</f>
        <v>33041</v>
      </c>
      <c r="J2205" s="2" t="n">
        <v>1</v>
      </c>
    </row>
    <row r="2206">
      <c r="A2206" s="2" t="inlineStr">
        <is>
          <t>D201-7123</t>
        </is>
      </c>
      <c r="B2206" s="2" t="inlineStr"/>
      <c r="C2206" s="2" t="inlineStr">
        <is>
          <t>FRENOS DELANTEROS R-11/19/TWINGO NO APLICA</t>
        </is>
      </c>
      <c r="D2206" s="2" t="inlineStr">
        <is>
          <t>XTENDER</t>
        </is>
      </c>
      <c r="E2206" s="3" t="n">
        <v>11.5385</v>
      </c>
      <c r="F2206" s="4" t="n">
        <v>0.3</v>
      </c>
      <c r="G2206" s="5">
        <f>ROUND(E2206*(1+F2206),2)</f>
        <v>15.00</v>
      </c>
      <c r="H2206" s="5">
        <f>ROUND(G2206*NOTAS!$B$2,2)</f>
        <v>10820.18</v>
      </c>
      <c r="I2206" s="6">
        <f>ROUND(G2206*NOTAS!$B$3,0)</f>
        <v>48733</v>
      </c>
      <c r="J2206" s="2" t="n">
        <v>1</v>
      </c>
    </row>
    <row r="2207">
      <c r="A2207" s="2" t="inlineStr">
        <is>
          <t>PD/321</t>
        </is>
      </c>
      <c r="B2207" s="2" t="inlineStr"/>
      <c r="C2207" s="2" t="inlineStr">
        <is>
          <t>FRENOS DELANTEROS R-21</t>
        </is>
      </c>
      <c r="D2207" s="2" t="inlineStr">
        <is>
          <t>FRASLE</t>
        </is>
      </c>
      <c r="E2207" s="3" t="n">
        <v>11.5385</v>
      </c>
      <c r="F2207" s="4" t="n">
        <v>0.3</v>
      </c>
      <c r="G2207" s="5">
        <f>ROUND(E2207*(1+F2207),2)</f>
        <v>15.00</v>
      </c>
      <c r="H2207" s="5">
        <f>ROUND(G2207*NOTAS!$B$2,2)</f>
        <v>10820.18</v>
      </c>
      <c r="I2207" s="6">
        <f>ROUND(G2207*NOTAS!$B$3,0)</f>
        <v>48733</v>
      </c>
      <c r="J2207" s="2" t="n">
        <v>1</v>
      </c>
    </row>
    <row r="2208">
      <c r="A2208" s="2" t="inlineStr">
        <is>
          <t>2323</t>
        </is>
      </c>
      <c r="B2208" s="2" t="inlineStr">
        <is>
          <t>317</t>
        </is>
      </c>
      <c r="C2208" s="2" t="inlineStr">
        <is>
          <t>FRENOS DELANTEROS REGATA/RITMO AUT</t>
        </is>
      </c>
      <c r="D2208" s="2" t="inlineStr">
        <is>
          <t>SIFFERT</t>
        </is>
      </c>
      <c r="E2208" s="3" t="n">
        <v>11.5385</v>
      </c>
      <c r="F2208" s="4" t="n">
        <v>0.3</v>
      </c>
      <c r="G2208" s="5">
        <f>ROUND(E2208*(1+F2208),2)</f>
        <v>15.00</v>
      </c>
      <c r="H2208" s="5">
        <f>ROUND(G2208*NOTAS!$B$2,2)</f>
        <v>10820.18</v>
      </c>
      <c r="I2208" s="6">
        <f>ROUND(G2208*NOTAS!$B$3,0)</f>
        <v>48733</v>
      </c>
      <c r="J2208" s="2" t="n">
        <v>1</v>
      </c>
    </row>
    <row r="2209">
      <c r="A2209" s="2" t="inlineStr">
        <is>
          <t>T-7194-TK</t>
        </is>
      </c>
      <c r="B2209" s="2" t="inlineStr"/>
      <c r="C2209" s="2" t="inlineStr">
        <is>
          <t>FRENOS DELANTEROS R-SYMBOL/CLIO/LOGAN/18 2.0/FUEGO</t>
        </is>
      </c>
      <c r="D2209" s="2" t="inlineStr">
        <is>
          <t>TAKASHI</t>
        </is>
      </c>
      <c r="E2209" s="3" t="n">
        <v>8.050000000000001</v>
      </c>
      <c r="F2209" s="4" t="n">
        <v>0.3</v>
      </c>
      <c r="G2209" s="5">
        <f>ROUND(E2209*(1+F2209),2)</f>
        <v>10.47</v>
      </c>
      <c r="H2209" s="5">
        <f>ROUND(G2209*NOTAS!$B$2,2)</f>
        <v>7552.49</v>
      </c>
      <c r="I2209" s="6">
        <f>ROUND(G2209*NOTAS!$B$3,0)</f>
        <v>34016</v>
      </c>
      <c r="J2209" s="2" t="n">
        <v>3</v>
      </c>
    </row>
    <row r="2210">
      <c r="A2210" s="2" t="inlineStr">
        <is>
          <t>R18053</t>
        </is>
      </c>
      <c r="B2210" s="2" t="inlineStr">
        <is>
          <t>D292-7194</t>
        </is>
      </c>
      <c r="C2210" s="2" t="inlineStr">
        <is>
          <t>FRENOS DELANTEROS R-SYMBOL/CLIO/LOGAN/18 2.0/FUEGO</t>
        </is>
      </c>
      <c r="D2210" s="2" t="inlineStr">
        <is>
          <t>TRUSTAR</t>
        </is>
      </c>
      <c r="E2210" s="3" t="n">
        <v>8.83</v>
      </c>
      <c r="F2210" s="4" t="n">
        <v>0.3</v>
      </c>
      <c r="G2210" s="5">
        <f>ROUND(E2210*(1+F2210),2)</f>
        <v>11.48</v>
      </c>
      <c r="H2210" s="5">
        <f>ROUND(G2210*NOTAS!$B$2,2)</f>
        <v>8281.05</v>
      </c>
      <c r="I2210" s="6">
        <f>ROUND(G2210*NOTAS!$B$3,0)</f>
        <v>37297</v>
      </c>
      <c r="J2210" s="2" t="n">
        <v>0</v>
      </c>
    </row>
    <row r="2211">
      <c r="A2211" s="2" t="inlineStr">
        <is>
          <t>D292-7194</t>
        </is>
      </c>
      <c r="B2211" s="2" t="inlineStr"/>
      <c r="C2211" s="2" t="inlineStr">
        <is>
          <t>FRENOS DELANTEROS R-SYMBOL/CLIO/LOGAN/18 2.0/FUEGO</t>
        </is>
      </c>
      <c r="D2211" s="2" t="inlineStr">
        <is>
          <t>MARUSSI</t>
        </is>
      </c>
      <c r="E2211" s="3" t="n">
        <v>9</v>
      </c>
      <c r="F2211" s="4" t="n">
        <v>0.3</v>
      </c>
      <c r="G2211" s="5">
        <f>ROUND(E2211*(1+F2211),2)</f>
        <v>11.70</v>
      </c>
      <c r="H2211" s="5">
        <f>ROUND(G2211*NOTAS!$B$2,2)</f>
        <v>8439.74</v>
      </c>
      <c r="I2211" s="6">
        <f>ROUND(G2211*NOTAS!$B$3,0)</f>
        <v>38012</v>
      </c>
      <c r="J2211" s="2" t="n">
        <v>1</v>
      </c>
    </row>
    <row r="2212">
      <c r="A2212" s="2" t="inlineStr">
        <is>
          <t>96316582</t>
        </is>
      </c>
      <c r="B2212" s="2" t="inlineStr"/>
      <c r="C2212" s="2" t="inlineStr">
        <is>
          <t>FRENOS DELANTEROS SPARK</t>
        </is>
      </c>
      <c r="D2212" s="2" t="inlineStr">
        <is>
          <t>GM</t>
        </is>
      </c>
      <c r="E2212" s="3" t="n">
        <v>10</v>
      </c>
      <c r="F2212" s="4" t="n">
        <v>0.3</v>
      </c>
      <c r="G2212" s="5">
        <f>ROUND(E2212*(1+F2212),2)</f>
        <v>13.00</v>
      </c>
      <c r="H2212" s="5">
        <f>ROUND(G2212*NOTAS!$B$2,2)</f>
        <v>9377.49</v>
      </c>
      <c r="I2212" s="6">
        <f>ROUND(G2212*NOTAS!$B$3,0)</f>
        <v>42235</v>
      </c>
      <c r="J2212" s="2" t="n">
        <v>2</v>
      </c>
    </row>
    <row r="2213">
      <c r="A2213" s="2" t="inlineStr">
        <is>
          <t>C18008</t>
        </is>
      </c>
      <c r="B2213" s="2" t="inlineStr">
        <is>
          <t>D1321-8433</t>
        </is>
      </c>
      <c r="C2213" s="2" t="inlineStr">
        <is>
          <t>FRENOS DELANTEROS SPARK</t>
        </is>
      </c>
      <c r="D2213" s="2" t="inlineStr">
        <is>
          <t>TRUSTAR</t>
        </is>
      </c>
      <c r="E2213" s="3" t="n">
        <v>8.529999999999999</v>
      </c>
      <c r="F2213" s="4" t="n">
        <v>0.3</v>
      </c>
      <c r="G2213" s="5">
        <f>ROUND(E2213*(1+F2213),2)</f>
        <v>11.09</v>
      </c>
      <c r="H2213" s="5">
        <f>ROUND(G2213*NOTAS!$B$2,2)</f>
        <v>7999.72</v>
      </c>
      <c r="I2213" s="6">
        <f>ROUND(G2213*NOTAS!$B$3,0)</f>
        <v>36030</v>
      </c>
      <c r="J2213" s="2" t="n">
        <v>1</v>
      </c>
    </row>
    <row r="2214">
      <c r="A2214" s="2" t="inlineStr">
        <is>
          <t>7332D452</t>
        </is>
      </c>
      <c r="B2214" s="2" t="inlineStr"/>
      <c r="C2214" s="2" t="inlineStr">
        <is>
          <t>FRENOS DELANTEROS SWIFT 1.3</t>
        </is>
      </c>
      <c r="D2214" s="2" t="inlineStr">
        <is>
          <t>PERFECTION BRAKE</t>
        </is>
      </c>
      <c r="E2214" s="3" t="n">
        <v>11.5385</v>
      </c>
      <c r="F2214" s="4" t="n">
        <v>0.3</v>
      </c>
      <c r="G2214" s="5">
        <f>ROUND(E2214*(1+F2214),2)</f>
        <v>15.00</v>
      </c>
      <c r="H2214" s="5">
        <f>ROUND(G2214*NOTAS!$B$2,2)</f>
        <v>10820.18</v>
      </c>
      <c r="I2214" s="6">
        <f>ROUND(G2214*NOTAS!$B$3,0)</f>
        <v>48733</v>
      </c>
      <c r="J2214" s="2" t="n">
        <v>3</v>
      </c>
    </row>
    <row r="2215">
      <c r="A2215" s="2" t="inlineStr">
        <is>
          <t>7332</t>
        </is>
      </c>
      <c r="B2215" s="2" t="inlineStr"/>
      <c r="C2215" s="2" t="inlineStr">
        <is>
          <t>FRENOS DELANTEROS SWIFT 1.3</t>
        </is>
      </c>
      <c r="D2215" s="2" t="inlineStr">
        <is>
          <t>MAMUSA</t>
        </is>
      </c>
      <c r="E2215" s="3" t="n">
        <v>11.5385</v>
      </c>
      <c r="F2215" s="4" t="n">
        <v>0.3</v>
      </c>
      <c r="G2215" s="5">
        <f>ROUND(E2215*(1+F2215),2)</f>
        <v>15.00</v>
      </c>
      <c r="H2215" s="5">
        <f>ROUND(G2215*NOTAS!$B$2,2)</f>
        <v>10820.18</v>
      </c>
      <c r="I2215" s="6">
        <f>ROUND(G2215*NOTAS!$B$3,0)</f>
        <v>48733</v>
      </c>
      <c r="J2215" s="2" t="n">
        <v>4</v>
      </c>
    </row>
    <row r="2216">
      <c r="A2216" s="2" t="inlineStr">
        <is>
          <t>BKP7331</t>
        </is>
      </c>
      <c r="B2216" s="2" t="inlineStr"/>
      <c r="C2216" s="2" t="inlineStr">
        <is>
          <t>FRENOS DELANTEROS SWIFT 1.6</t>
        </is>
      </c>
      <c r="D2216" s="2" t="inlineStr">
        <is>
          <t>BKPS</t>
        </is>
      </c>
      <c r="E2216" s="3" t="n">
        <v>11.5385</v>
      </c>
      <c r="F2216" s="4" t="n">
        <v>0.3</v>
      </c>
      <c r="G2216" s="5">
        <f>ROUND(E2216*(1+F2216),2)</f>
        <v>15.00</v>
      </c>
      <c r="H2216" s="5">
        <f>ROUND(G2216*NOTAS!$B$2,2)</f>
        <v>10820.18</v>
      </c>
      <c r="I2216" s="6">
        <f>ROUND(G2216*NOTAS!$B$3,0)</f>
        <v>48733</v>
      </c>
      <c r="J2216" s="2" t="n">
        <v>2</v>
      </c>
    </row>
    <row r="2217">
      <c r="A2217" s="2" t="inlineStr">
        <is>
          <t>55201-78820</t>
        </is>
      </c>
      <c r="B2217" s="2" t="inlineStr"/>
      <c r="C2217" s="2" t="inlineStr">
        <is>
          <t>FRENOS DELANTEROS TICO</t>
        </is>
      </c>
      <c r="D2217" s="2" t="inlineStr">
        <is>
          <t>ONNURI</t>
        </is>
      </c>
      <c r="E2217" s="3" t="n">
        <v>9.2308</v>
      </c>
      <c r="F2217" s="4" t="n">
        <v>0.3</v>
      </c>
      <c r="G2217" s="5">
        <f>ROUND(E2217*(1+F2217),2)</f>
        <v>12.00</v>
      </c>
      <c r="H2217" s="5">
        <f>ROUND(G2217*NOTAS!$B$2,2)</f>
        <v>8656.15</v>
      </c>
      <c r="I2217" s="6">
        <f>ROUND(G2217*NOTAS!$B$3,0)</f>
        <v>38986</v>
      </c>
      <c r="J2217" s="2" t="n">
        <v>3</v>
      </c>
    </row>
    <row r="2218">
      <c r="A2218" s="2" t="inlineStr">
        <is>
          <t>7596-D729</t>
        </is>
      </c>
      <c r="B2218" s="2" t="inlineStr"/>
      <c r="C2218" s="2" t="inlineStr">
        <is>
          <t>FRENOS TRASEROS BLAZER 97/01</t>
        </is>
      </c>
      <c r="D2218" s="2" t="inlineStr">
        <is>
          <t>FORMULA</t>
        </is>
      </c>
      <c r="E2218" s="3" t="n">
        <v>16.9231</v>
      </c>
      <c r="F2218" s="4" t="n">
        <v>0.3</v>
      </c>
      <c r="G2218" s="5">
        <f>ROUND(E2218*(1+F2218),2)</f>
        <v>22.00</v>
      </c>
      <c r="H2218" s="5">
        <f>ROUND(G2218*NOTAS!$B$2,2)</f>
        <v>15869.60</v>
      </c>
      <c r="I2218" s="6">
        <f>ROUND(G2218*NOTAS!$B$3,0)</f>
        <v>71475</v>
      </c>
      <c r="J2218" s="2" t="n">
        <v>2</v>
      </c>
    </row>
    <row r="2219">
      <c r="A2219" s="2" t="inlineStr">
        <is>
          <t>442SI</t>
        </is>
      </c>
      <c r="B2219" s="2" t="inlineStr"/>
      <c r="C2219" s="2" t="inlineStr">
        <is>
          <t>FRENOS TRASEROS CARIBE 83/91</t>
        </is>
      </c>
      <c r="D2219" s="2" t="inlineStr">
        <is>
          <t>FORMULA</t>
        </is>
      </c>
      <c r="E2219" s="3" t="n">
        <v>10</v>
      </c>
      <c r="F2219" s="4" t="n">
        <v>0.3</v>
      </c>
      <c r="G2219" s="5">
        <f>ROUND(E2219*(1+F2219),2)</f>
        <v>13.00</v>
      </c>
      <c r="H2219" s="5">
        <f>ROUND(G2219*NOTAS!$B$2,2)</f>
        <v>9377.49</v>
      </c>
      <c r="I2219" s="6">
        <f>ROUND(G2219*NOTAS!$B$3,0)</f>
        <v>42235</v>
      </c>
      <c r="J2219" s="2" t="n">
        <v>1</v>
      </c>
    </row>
    <row r="2220">
      <c r="A2220" s="2" t="inlineStr">
        <is>
          <t>7526098</t>
        </is>
      </c>
      <c r="B2220" s="2" t="inlineStr"/>
      <c r="C2220" s="2" t="inlineStr">
        <is>
          <t>GANCHO RADIADOR F-UNO/PREMIO</t>
        </is>
      </c>
      <c r="D2220" s="2" t="inlineStr">
        <is>
          <t>FIAT</t>
        </is>
      </c>
      <c r="E2220" s="3" t="n">
        <v>4.6154</v>
      </c>
      <c r="F2220" s="4" t="n">
        <v>0.3</v>
      </c>
      <c r="G2220" s="5">
        <f>ROUND(E2220*(1+F2220),2)</f>
        <v>6.00</v>
      </c>
      <c r="H2220" s="5">
        <f>ROUND(G2220*NOTAS!$B$2,2)</f>
        <v>4328.07</v>
      </c>
      <c r="I2220" s="6">
        <f>ROUND(G2220*NOTAS!$B$3,0)</f>
        <v>19493</v>
      </c>
      <c r="J2220" s="2" t="n">
        <v>4</v>
      </c>
    </row>
    <row r="2221">
      <c r="A2221" s="2" t="inlineStr">
        <is>
          <t>90411706</t>
        </is>
      </c>
      <c r="B2221" s="2" t="inlineStr"/>
      <c r="C2221" s="2" t="inlineStr">
        <is>
          <t>GOMA BARQUILLA ANTIRUIDO PURIFICADOR CORSA</t>
        </is>
      </c>
      <c r="D2221" s="2" t="inlineStr">
        <is>
          <t>GM</t>
        </is>
      </c>
      <c r="E2221" s="3" t="n">
        <v>3.8462</v>
      </c>
      <c r="F2221" s="4" t="n">
        <v>0.3</v>
      </c>
      <c r="G2221" s="5">
        <f>ROUND(E2221*(1+F2221),2)</f>
        <v>5.00</v>
      </c>
      <c r="H2221" s="5">
        <f>ROUND(G2221*NOTAS!$B$2,2)</f>
        <v>3606.73</v>
      </c>
      <c r="I2221" s="6">
        <f>ROUND(G2221*NOTAS!$B$3,0)</f>
        <v>16244</v>
      </c>
      <c r="J2221" s="2" t="n">
        <v>1</v>
      </c>
    </row>
    <row r="2222">
      <c r="A2222" s="2" t="inlineStr"/>
      <c r="B2222" s="2" t="inlineStr"/>
      <c r="C2222" s="2" t="inlineStr">
        <is>
          <t>GOMA BARRA DIRECCION R-21</t>
        </is>
      </c>
      <c r="D2222" s="2" t="inlineStr">
        <is>
          <t>SANFOR</t>
        </is>
      </c>
      <c r="E2222" s="3" t="n">
        <v>3.8462</v>
      </c>
      <c r="F2222" s="4" t="n">
        <v>0.3</v>
      </c>
      <c r="G2222" s="5">
        <f>ROUND(E2222*(1+F2222),2)</f>
        <v>5.00</v>
      </c>
      <c r="H2222" s="5">
        <f>ROUND(G2222*NOTAS!$B$2,2)</f>
        <v>3606.73</v>
      </c>
      <c r="I2222" s="6">
        <f>ROUND(G2222*NOTAS!$B$3,0)</f>
        <v>16244</v>
      </c>
      <c r="J2222" s="2" t="n">
        <v>2</v>
      </c>
    </row>
    <row r="2223">
      <c r="A2223" s="2" t="inlineStr">
        <is>
          <t>96316769</t>
        </is>
      </c>
      <c r="B2223" s="2" t="inlineStr"/>
      <c r="C2223" s="2" t="inlineStr">
        <is>
          <t>GOMA BARRA ESTABILIZADORA  SPARK/MATIZ</t>
        </is>
      </c>
      <c r="D2223" s="2" t="inlineStr">
        <is>
          <t>PARTS-MALL</t>
        </is>
      </c>
      <c r="E2223" s="3" t="n">
        <v>3.0769</v>
      </c>
      <c r="F2223" s="4" t="n">
        <v>0.3</v>
      </c>
      <c r="G2223" s="5">
        <f>ROUND(E2223*(1+F2223),2)</f>
        <v>4.00</v>
      </c>
      <c r="H2223" s="5">
        <f>ROUND(G2223*NOTAS!$B$2,2)</f>
        <v>2885.38</v>
      </c>
      <c r="I2223" s="6">
        <f>ROUND(G2223*NOTAS!$B$3,0)</f>
        <v>12995</v>
      </c>
      <c r="J2223" s="2" t="n">
        <v>6</v>
      </c>
    </row>
    <row r="2224">
      <c r="A2224" s="2" t="inlineStr">
        <is>
          <t>96435292</t>
        </is>
      </c>
      <c r="B2224" s="2" t="inlineStr"/>
      <c r="C2224" s="2" t="inlineStr">
        <is>
          <t>GOMA BARRA ESTABILIZADORA AVEO</t>
        </is>
      </c>
      <c r="D2224" s="2" t="inlineStr">
        <is>
          <t>GM</t>
        </is>
      </c>
      <c r="E2224" s="3" t="n">
        <v>3</v>
      </c>
      <c r="F2224" s="4" t="n">
        <v>0.3</v>
      </c>
      <c r="G2224" s="5">
        <f>ROUND(E2224*(1+F2224),2)</f>
        <v>3.90</v>
      </c>
      <c r="H2224" s="5">
        <f>ROUND(G2224*NOTAS!$B$2,2)</f>
        <v>2813.25</v>
      </c>
      <c r="I2224" s="6">
        <f>ROUND(G2224*NOTAS!$B$3,0)</f>
        <v>12671</v>
      </c>
      <c r="J2224" s="2" t="n">
        <v>5</v>
      </c>
    </row>
    <row r="2225">
      <c r="A2225" s="2" t="inlineStr">
        <is>
          <t>96435295</t>
        </is>
      </c>
      <c r="B2225" s="2" t="inlineStr"/>
      <c r="C2225" s="2" t="inlineStr">
        <is>
          <t>GOMA BARRA ESTABILIZADORA AVEO</t>
        </is>
      </c>
      <c r="D2225" s="2" t="inlineStr">
        <is>
          <t>PARTS-MALL</t>
        </is>
      </c>
      <c r="E2225" s="3" t="n">
        <v>2</v>
      </c>
      <c r="F2225" s="4" t="n">
        <v>0.3</v>
      </c>
      <c r="G2225" s="5">
        <f>ROUND(E2225*(1+F2225),2)</f>
        <v>2.60</v>
      </c>
      <c r="H2225" s="5">
        <f>ROUND(G2225*NOTAS!$B$2,2)</f>
        <v>1875.50</v>
      </c>
      <c r="I2225" s="6">
        <f>ROUND(G2225*NOTAS!$B$3,0)</f>
        <v>8447</v>
      </c>
      <c r="J2225" s="2" t="n">
        <v>16</v>
      </c>
    </row>
    <row r="2226">
      <c r="A2226" s="2" t="inlineStr"/>
      <c r="B2226" s="2" t="inlineStr"/>
      <c r="C2226" s="2" t="inlineStr">
        <is>
          <t>GOMA BARRA ESTABILIZADORA AVEO</t>
        </is>
      </c>
      <c r="D2226" s="2" t="inlineStr">
        <is>
          <t>SANFOR</t>
        </is>
      </c>
      <c r="E2226" s="3" t="n">
        <v>1</v>
      </c>
      <c r="F2226" s="4" t="n">
        <v>0.3</v>
      </c>
      <c r="G2226" s="5">
        <f>ROUND(E2226*(1+F2226),2)</f>
        <v>1.30</v>
      </c>
      <c r="H2226" s="5">
        <f>ROUND(G2226*NOTAS!$B$2,2)</f>
        <v>937.75</v>
      </c>
      <c r="I2226" s="6">
        <f>ROUND(G2226*NOTAS!$B$3,0)</f>
        <v>4224</v>
      </c>
      <c r="J2226" s="2" t="n">
        <v>6</v>
      </c>
    </row>
    <row r="2227">
      <c r="A2227" s="2" t="inlineStr">
        <is>
          <t>96191890</t>
        </is>
      </c>
      <c r="B2227" s="2" t="inlineStr"/>
      <c r="C2227" s="2" t="inlineStr">
        <is>
          <t>GOMA BARRA ESTABILIZADORA CIELO/RACER</t>
        </is>
      </c>
      <c r="D2227" s="2" t="inlineStr">
        <is>
          <t>GM</t>
        </is>
      </c>
      <c r="E2227" s="3" t="n">
        <v>2</v>
      </c>
      <c r="F2227" s="4" t="n">
        <v>0.3</v>
      </c>
      <c r="G2227" s="5">
        <f>ROUND(E2227*(1+F2227),2)</f>
        <v>2.60</v>
      </c>
      <c r="H2227" s="5">
        <f>ROUND(G2227*NOTAS!$B$2,2)</f>
        <v>1875.50</v>
      </c>
      <c r="I2227" s="6">
        <f>ROUND(G2227*NOTAS!$B$3,0)</f>
        <v>8447</v>
      </c>
      <c r="J2227" s="2" t="n">
        <v>37</v>
      </c>
    </row>
    <row r="2228">
      <c r="A2228" s="2" t="inlineStr"/>
      <c r="B2228" s="2" t="inlineStr"/>
      <c r="C2228" s="2" t="inlineStr">
        <is>
          <t>GOMA BARRA ESTABILIZADORA CORCEL</t>
        </is>
      </c>
      <c r="D2228" s="2" t="inlineStr">
        <is>
          <t>SANFOR</t>
        </is>
      </c>
      <c r="E2228" s="3" t="n">
        <v>3.0769</v>
      </c>
      <c r="F2228" s="4" t="n">
        <v>0.3</v>
      </c>
      <c r="G2228" s="5">
        <f>ROUND(E2228*(1+F2228),2)</f>
        <v>4.00</v>
      </c>
      <c r="H2228" s="5">
        <f>ROUND(G2228*NOTAS!$B$2,2)</f>
        <v>2885.38</v>
      </c>
      <c r="I2228" s="6">
        <f>ROUND(G2228*NOTAS!$B$3,0)</f>
        <v>12995</v>
      </c>
      <c r="J2228" s="2" t="n">
        <v>2</v>
      </c>
    </row>
    <row r="2229">
      <c r="A2229" s="2" t="inlineStr">
        <is>
          <t>SK3018</t>
        </is>
      </c>
      <c r="B2229" s="2" t="inlineStr"/>
      <c r="C2229" s="2" t="inlineStr">
        <is>
          <t>GOMA BARRA ESTABILIZADORA CORSA</t>
        </is>
      </c>
      <c r="D2229" s="2" t="inlineStr">
        <is>
          <t>SAMPEL</t>
        </is>
      </c>
      <c r="E2229" s="3" t="n">
        <v>2</v>
      </c>
      <c r="F2229" s="4" t="n">
        <v>0.3</v>
      </c>
      <c r="G2229" s="5">
        <f>ROUND(E2229*(1+F2229),2)</f>
        <v>2.60</v>
      </c>
      <c r="H2229" s="5">
        <f>ROUND(G2229*NOTAS!$B$2,2)</f>
        <v>1875.50</v>
      </c>
      <c r="I2229" s="6">
        <f>ROUND(G2229*NOTAS!$B$3,0)</f>
        <v>8447</v>
      </c>
      <c r="J2229" s="2" t="n">
        <v>1</v>
      </c>
    </row>
    <row r="2230">
      <c r="A2230" s="2" t="inlineStr">
        <is>
          <t>KKY01-34-156</t>
        </is>
      </c>
      <c r="B2230" s="2" t="inlineStr"/>
      <c r="C2230" s="2" t="inlineStr">
        <is>
          <t>GOMA BARRA ESTABILIZADORA FESTIVA</t>
        </is>
      </c>
      <c r="D2230" s="2" t="inlineStr">
        <is>
          <t>KOREA</t>
        </is>
      </c>
      <c r="E2230" s="3" t="n">
        <v>3.0769</v>
      </c>
      <c r="F2230" s="4" t="n">
        <v>0.3</v>
      </c>
      <c r="G2230" s="5">
        <f>ROUND(E2230*(1+F2230),2)</f>
        <v>4.00</v>
      </c>
      <c r="H2230" s="5">
        <f>ROUND(G2230*NOTAS!$B$2,2)</f>
        <v>2885.38</v>
      </c>
      <c r="I2230" s="6">
        <f>ROUND(G2230*NOTAS!$B$3,0)</f>
        <v>12995</v>
      </c>
      <c r="J2230" s="2" t="n">
        <v>8</v>
      </c>
    </row>
    <row r="2231">
      <c r="A2231" s="2" t="inlineStr">
        <is>
          <t>1003609</t>
        </is>
      </c>
      <c r="B2231" s="2" t="inlineStr">
        <is>
          <t>96FB5484CA</t>
        </is>
      </c>
      <c r="C2231" s="2" t="inlineStr">
        <is>
          <t>GOMA BARRA ESTABILIZADORA FIESTA</t>
        </is>
      </c>
      <c r="D2231" s="2" t="inlineStr">
        <is>
          <t>FORD</t>
        </is>
      </c>
      <c r="E2231" s="3" t="n">
        <v>3.0769</v>
      </c>
      <c r="F2231" s="4" t="n">
        <v>0.3</v>
      </c>
      <c r="G2231" s="5">
        <f>ROUND(E2231*(1+F2231),2)</f>
        <v>4.00</v>
      </c>
      <c r="H2231" s="5">
        <f>ROUND(G2231*NOTAS!$B$2,2)</f>
        <v>2885.38</v>
      </c>
      <c r="I2231" s="6">
        <f>ROUND(G2231*NOTAS!$B$3,0)</f>
        <v>12995</v>
      </c>
      <c r="J2231" s="2" t="n">
        <v>15</v>
      </c>
    </row>
    <row r="2232">
      <c r="A2232" s="2" t="inlineStr">
        <is>
          <t>CF-1629</t>
        </is>
      </c>
      <c r="B2232" s="2" t="inlineStr"/>
      <c r="C2232" s="2" t="inlineStr">
        <is>
          <t>GOMA BARRA ESTABILIZADORA F-TEMPRA</t>
        </is>
      </c>
      <c r="D2232" s="2" t="inlineStr">
        <is>
          <t>CENTROFLEX</t>
        </is>
      </c>
      <c r="E2232" s="3" t="n">
        <v>3.0769</v>
      </c>
      <c r="F2232" s="4" t="n">
        <v>0.3</v>
      </c>
      <c r="G2232" s="5">
        <f>ROUND(E2232*(1+F2232),2)</f>
        <v>4.00</v>
      </c>
      <c r="H2232" s="5">
        <f>ROUND(G2232*NOTAS!$B$2,2)</f>
        <v>2885.38</v>
      </c>
      <c r="I2232" s="6">
        <f>ROUND(G2232*NOTAS!$B$3,0)</f>
        <v>12995</v>
      </c>
      <c r="J2232" s="2" t="n">
        <v>2</v>
      </c>
    </row>
    <row r="2233">
      <c r="A2233" s="2" t="inlineStr"/>
      <c r="B2233" s="2" t="inlineStr"/>
      <c r="C2233" s="2" t="inlineStr">
        <is>
          <t>GOMA BARRA ESTABILIZADORA GRANDE F-UNO/PREMIO</t>
        </is>
      </c>
      <c r="D2233" s="2" t="inlineStr">
        <is>
          <t>BRAZIL</t>
        </is>
      </c>
      <c r="E2233" s="3" t="n">
        <v>1</v>
      </c>
      <c r="F2233" s="4" t="n">
        <v>0.3</v>
      </c>
      <c r="G2233" s="5">
        <f>ROUND(E2233*(1+F2233),2)</f>
        <v>1.30</v>
      </c>
      <c r="H2233" s="5">
        <f>ROUND(G2233*NOTAS!$B$2,2)</f>
        <v>937.75</v>
      </c>
      <c r="I2233" s="6">
        <f>ROUND(G2233*NOTAS!$B$3,0)</f>
        <v>4224</v>
      </c>
      <c r="J2233" s="2" t="n">
        <v>4</v>
      </c>
    </row>
    <row r="2234">
      <c r="A2234" s="2" t="inlineStr">
        <is>
          <t>1105</t>
        </is>
      </c>
      <c r="B2234" s="2" t="inlineStr"/>
      <c r="C2234" s="2" t="inlineStr">
        <is>
          <t>GOMA BARRA ESTABILIZADORA GRANDE F-UNO/PREMIO</t>
        </is>
      </c>
      <c r="D2234" s="2" t="inlineStr">
        <is>
          <t>SAMPEL</t>
        </is>
      </c>
      <c r="E2234" s="3" t="n">
        <v>1</v>
      </c>
      <c r="F2234" s="4" t="n">
        <v>0.3</v>
      </c>
      <c r="G2234" s="5">
        <f>ROUND(E2234*(1+F2234),2)</f>
        <v>1.30</v>
      </c>
      <c r="H2234" s="5">
        <f>ROUND(G2234*NOTAS!$B$2,2)</f>
        <v>937.75</v>
      </c>
      <c r="I2234" s="6">
        <f>ROUND(G2234*NOTAS!$B$3,0)</f>
        <v>4224</v>
      </c>
      <c r="J2234" s="2" t="n">
        <v>11</v>
      </c>
    </row>
    <row r="2235">
      <c r="A2235" s="2" t="inlineStr">
        <is>
          <t>96839850-0</t>
        </is>
      </c>
      <c r="B2235" s="2" t="inlineStr"/>
      <c r="C2235" s="2" t="inlineStr">
        <is>
          <t>GOMA BARRA ESTABILIZADORA HUECO GRANDE OPTRA</t>
        </is>
      </c>
      <c r="D2235" s="2" t="inlineStr">
        <is>
          <t>PARTS-MALL</t>
        </is>
      </c>
      <c r="E2235" s="3" t="n">
        <v>2</v>
      </c>
      <c r="F2235" s="4" t="n">
        <v>0.3</v>
      </c>
      <c r="G2235" s="5">
        <f>ROUND(E2235*(1+F2235),2)</f>
        <v>2.60</v>
      </c>
      <c r="H2235" s="5">
        <f>ROUND(G2235*NOTAS!$B$2,2)</f>
        <v>1875.50</v>
      </c>
      <c r="I2235" s="6">
        <f>ROUND(G2235*NOTAS!$B$3,0)</f>
        <v>8447</v>
      </c>
      <c r="J2235" s="2" t="n">
        <v>10</v>
      </c>
    </row>
    <row r="2236">
      <c r="A2236" s="2" t="inlineStr">
        <is>
          <t>96839848-0</t>
        </is>
      </c>
      <c r="B2236" s="2" t="inlineStr"/>
      <c r="C2236" s="2" t="inlineStr">
        <is>
          <t>GOMA BARRA ESTABILIZADORA HUECO PEQUEÑO OPTRA</t>
        </is>
      </c>
      <c r="D2236" s="2" t="inlineStr">
        <is>
          <t>PARTS-MALL</t>
        </is>
      </c>
      <c r="E2236" s="3" t="n">
        <v>2</v>
      </c>
      <c r="F2236" s="4" t="n">
        <v>0.3</v>
      </c>
      <c r="G2236" s="5">
        <f>ROUND(E2236*(1+F2236),2)</f>
        <v>2.60</v>
      </c>
      <c r="H2236" s="5">
        <f>ROUND(G2236*NOTAS!$B$2,2)</f>
        <v>1875.50</v>
      </c>
      <c r="I2236" s="6">
        <f>ROUND(G2236*NOTAS!$B$3,0)</f>
        <v>8447</v>
      </c>
      <c r="J2236" s="2" t="n">
        <v>10</v>
      </c>
    </row>
    <row r="2237">
      <c r="A2237" s="2" t="inlineStr"/>
      <c r="B2237" s="2" t="inlineStr"/>
      <c r="C2237" s="2" t="inlineStr">
        <is>
          <t>GOMA BARRA ESTABILIZADORA HYUNDAI ACCENT</t>
        </is>
      </c>
      <c r="D2237" s="2" t="inlineStr">
        <is>
          <t>PARTS-MALL</t>
        </is>
      </c>
      <c r="E2237" s="3" t="n">
        <v>2</v>
      </c>
      <c r="F2237" s="4" t="n">
        <v>0.3</v>
      </c>
      <c r="G2237" s="5">
        <f>ROUND(E2237*(1+F2237),2)</f>
        <v>2.60</v>
      </c>
      <c r="H2237" s="5">
        <f>ROUND(G2237*NOTAS!$B$2,2)</f>
        <v>1875.50</v>
      </c>
      <c r="I2237" s="6">
        <f>ROUND(G2237*NOTAS!$B$3,0)</f>
        <v>8447</v>
      </c>
      <c r="J2237" s="2" t="n">
        <v>6</v>
      </c>
    </row>
    <row r="2238">
      <c r="A2238" s="2" t="inlineStr"/>
      <c r="B2238" s="2" t="inlineStr"/>
      <c r="C2238" s="2" t="inlineStr">
        <is>
          <t>GOMA BARRA ESTABILIZADORA LANOS</t>
        </is>
      </c>
      <c r="D2238" s="2" t="inlineStr">
        <is>
          <t>KOREA</t>
        </is>
      </c>
      <c r="E2238" s="3" t="n">
        <v>2</v>
      </c>
      <c r="F2238" s="4" t="n">
        <v>0.3</v>
      </c>
      <c r="G2238" s="5">
        <f>ROUND(E2238*(1+F2238),2)</f>
        <v>2.60</v>
      </c>
      <c r="H2238" s="5">
        <f>ROUND(G2238*NOTAS!$B$2,2)</f>
        <v>1875.50</v>
      </c>
      <c r="I2238" s="6">
        <f>ROUND(G2238*NOTAS!$B$3,0)</f>
        <v>8447</v>
      </c>
      <c r="J2238" s="2" t="n">
        <v>7</v>
      </c>
    </row>
    <row r="2239">
      <c r="A2239" s="2" t="inlineStr">
        <is>
          <t>1102</t>
        </is>
      </c>
      <c r="B2239" s="2" t="inlineStr">
        <is>
          <t>7691506</t>
        </is>
      </c>
      <c r="C2239" s="2" t="inlineStr">
        <is>
          <t>GOMA BARRA ESTABILIZADORA PEQUENA F-UNO/PREMIO</t>
        </is>
      </c>
      <c r="D2239" s="2" t="inlineStr">
        <is>
          <t>SAMPEL</t>
        </is>
      </c>
      <c r="E2239" s="3" t="n">
        <v>1</v>
      </c>
      <c r="F2239" s="4" t="n">
        <v>0.3</v>
      </c>
      <c r="G2239" s="5">
        <f>ROUND(E2239*(1+F2239),2)</f>
        <v>1.30</v>
      </c>
      <c r="H2239" s="5">
        <f>ROUND(G2239*NOTAS!$B$2,2)</f>
        <v>937.75</v>
      </c>
      <c r="I2239" s="6">
        <f>ROUND(G2239*NOTAS!$B$3,0)</f>
        <v>4224</v>
      </c>
      <c r="J2239" s="2" t="n">
        <v>25</v>
      </c>
    </row>
    <row r="2240">
      <c r="A2240" s="2" t="inlineStr">
        <is>
          <t>14041</t>
        </is>
      </c>
      <c r="B2240" s="2" t="inlineStr"/>
      <c r="C2240" s="2" t="inlineStr">
        <is>
          <t>GOMA BARRA ESTABILIZADORA R-18/FUEGO</t>
        </is>
      </c>
      <c r="D2240" s="2" t="inlineStr">
        <is>
          <t>SANFOR</t>
        </is>
      </c>
      <c r="E2240" s="3" t="n">
        <v>3.0769</v>
      </c>
      <c r="F2240" s="4" t="n">
        <v>0.3</v>
      </c>
      <c r="G2240" s="5">
        <f>ROUND(E2240*(1+F2240),2)</f>
        <v>4.00</v>
      </c>
      <c r="H2240" s="5">
        <f>ROUND(G2240*NOTAS!$B$2,2)</f>
        <v>2885.38</v>
      </c>
      <c r="I2240" s="6">
        <f>ROUND(G2240*NOTAS!$B$3,0)</f>
        <v>12995</v>
      </c>
      <c r="J2240" s="2" t="n">
        <v>4</v>
      </c>
    </row>
    <row r="2241">
      <c r="A2241" s="2" t="inlineStr"/>
      <c r="B2241" s="2" t="inlineStr"/>
      <c r="C2241" s="2" t="inlineStr">
        <is>
          <t>GOMA BARRA ESTABILIZADORA R-5</t>
        </is>
      </c>
      <c r="D2241" s="2" t="inlineStr">
        <is>
          <t>SANFOR</t>
        </is>
      </c>
      <c r="E2241" s="3" t="n">
        <v>3.0769</v>
      </c>
      <c r="F2241" s="4" t="n">
        <v>0.3</v>
      </c>
      <c r="G2241" s="5">
        <f>ROUND(E2241*(1+F2241),2)</f>
        <v>4.00</v>
      </c>
      <c r="H2241" s="5">
        <f>ROUND(G2241*NOTAS!$B$2,2)</f>
        <v>2885.38</v>
      </c>
      <c r="I2241" s="6">
        <f>ROUND(G2241*NOTAS!$B$3,0)</f>
        <v>12995</v>
      </c>
      <c r="J2241" s="2" t="n">
        <v>2</v>
      </c>
    </row>
    <row r="2242">
      <c r="A2242" s="2" t="inlineStr"/>
      <c r="B2242" s="2" t="inlineStr"/>
      <c r="C2242" s="2" t="inlineStr">
        <is>
          <t>GOMA BARRA ESTABILIZADORA R-LOGAN</t>
        </is>
      </c>
      <c r="D2242" s="2" t="inlineStr">
        <is>
          <t>SANFOR</t>
        </is>
      </c>
      <c r="E2242" s="3" t="n">
        <v>3.0769</v>
      </c>
      <c r="F2242" s="4" t="n">
        <v>0.3</v>
      </c>
      <c r="G2242" s="5">
        <f>ROUND(E2242*(1+F2242),2)</f>
        <v>4.00</v>
      </c>
      <c r="H2242" s="5">
        <f>ROUND(G2242*NOTAS!$B$2,2)</f>
        <v>2885.38</v>
      </c>
      <c r="I2242" s="6">
        <f>ROUND(G2242*NOTAS!$B$3,0)</f>
        <v>12995</v>
      </c>
      <c r="J2242" s="2" t="n">
        <v>14</v>
      </c>
    </row>
    <row r="2243">
      <c r="A2243" s="2" t="inlineStr"/>
      <c r="B2243" s="2" t="inlineStr"/>
      <c r="C2243" s="2" t="inlineStr">
        <is>
          <t>GOMA BARRA ESTABILIZADORA SIERRA</t>
        </is>
      </c>
      <c r="D2243" s="2" t="inlineStr"/>
      <c r="E2243" s="3" t="n">
        <v>3.8462</v>
      </c>
      <c r="F2243" s="4" t="n">
        <v>0.3</v>
      </c>
      <c r="G2243" s="5">
        <f>ROUND(E2243*(1+F2243),2)</f>
        <v>5.00</v>
      </c>
      <c r="H2243" s="5">
        <f>ROUND(G2243*NOTAS!$B$2,2)</f>
        <v>3606.73</v>
      </c>
      <c r="I2243" s="6">
        <f>ROUND(G2243*NOTAS!$B$3,0)</f>
        <v>16244</v>
      </c>
      <c r="J2243" s="2" t="n">
        <v>4</v>
      </c>
    </row>
    <row r="2244">
      <c r="A2244" s="2" t="inlineStr">
        <is>
          <t>CP-7188</t>
        </is>
      </c>
      <c r="B2244" s="2" t="inlineStr"/>
      <c r="C2244" s="2" t="inlineStr">
        <is>
          <t>GOMA BARRA TENSORA R-18/FUEGO</t>
        </is>
      </c>
      <c r="D2244" s="2" t="inlineStr">
        <is>
          <t>SANFOR</t>
        </is>
      </c>
      <c r="E2244" s="3" t="n">
        <v>3.8462</v>
      </c>
      <c r="F2244" s="4" t="n">
        <v>0.3</v>
      </c>
      <c r="G2244" s="5">
        <f>ROUND(E2244*(1+F2244),2)</f>
        <v>5.00</v>
      </c>
      <c r="H2244" s="5">
        <f>ROUND(G2244*NOTAS!$B$2,2)</f>
        <v>3606.73</v>
      </c>
      <c r="I2244" s="6">
        <f>ROUND(G2244*NOTAS!$B$3,0)</f>
        <v>16244</v>
      </c>
      <c r="J2244" s="2" t="n">
        <v>22</v>
      </c>
    </row>
    <row r="2245">
      <c r="A2245" s="2" t="inlineStr">
        <is>
          <t>90250175</t>
        </is>
      </c>
      <c r="B2245" s="2" t="inlineStr"/>
      <c r="C2245" s="2" t="inlineStr">
        <is>
          <t>GOMA BASE PALANCA CAMBIO CORSA</t>
        </is>
      </c>
      <c r="D2245" s="2" t="inlineStr">
        <is>
          <t>GM</t>
        </is>
      </c>
      <c r="E2245" s="3" t="n">
        <v>3.8462</v>
      </c>
      <c r="F2245" s="4" t="n">
        <v>0.3</v>
      </c>
      <c r="G2245" s="5">
        <f>ROUND(E2245*(1+F2245),2)</f>
        <v>5.00</v>
      </c>
      <c r="H2245" s="5">
        <f>ROUND(G2245*NOTAS!$B$2,2)</f>
        <v>3606.73</v>
      </c>
      <c r="I2245" s="6">
        <f>ROUND(G2245*NOTAS!$B$3,0)</f>
        <v>16244</v>
      </c>
      <c r="J2245" s="2" t="n">
        <v>9</v>
      </c>
    </row>
    <row r="2246">
      <c r="A2246" s="2" t="inlineStr"/>
      <c r="B2246" s="2" t="inlineStr"/>
      <c r="C2246" s="2" t="inlineStr">
        <is>
          <t>GOMA CAJA DIRECCION GRANDE CHEVETTE</t>
        </is>
      </c>
      <c r="D2246" s="2" t="inlineStr">
        <is>
          <t>BRAZIL</t>
        </is>
      </c>
      <c r="E2246" s="3" t="n">
        <v>4.6154</v>
      </c>
      <c r="F2246" s="4" t="n">
        <v>0.3</v>
      </c>
      <c r="G2246" s="5">
        <f>ROUND(E2246*(1+F2246),2)</f>
        <v>6.00</v>
      </c>
      <c r="H2246" s="5">
        <f>ROUND(G2246*NOTAS!$B$2,2)</f>
        <v>4328.07</v>
      </c>
      <c r="I2246" s="6">
        <f>ROUND(G2246*NOTAS!$B$3,0)</f>
        <v>19493</v>
      </c>
      <c r="J2246" s="2" t="n">
        <v>7</v>
      </c>
    </row>
    <row r="2247">
      <c r="A2247" s="2" t="inlineStr">
        <is>
          <t>762</t>
        </is>
      </c>
      <c r="B2247" s="2" t="inlineStr">
        <is>
          <t>4169380</t>
        </is>
      </c>
      <c r="C2247" s="2" t="inlineStr">
        <is>
          <t>GOMA CAJA DIRECCION GRANDE F-UNO/PREMIO</t>
        </is>
      </c>
      <c r="D2247" s="2" t="inlineStr">
        <is>
          <t>BFX</t>
        </is>
      </c>
      <c r="E2247" s="3" t="n">
        <v>4.6154</v>
      </c>
      <c r="F2247" s="4" t="n">
        <v>0.3</v>
      </c>
      <c r="G2247" s="5">
        <f>ROUND(E2247*(1+F2247),2)</f>
        <v>6.00</v>
      </c>
      <c r="H2247" s="5">
        <f>ROUND(G2247*NOTAS!$B$2,2)</f>
        <v>4328.07</v>
      </c>
      <c r="I2247" s="6">
        <f>ROUND(G2247*NOTAS!$B$3,0)</f>
        <v>19493</v>
      </c>
      <c r="J2247" s="2" t="n">
        <v>2</v>
      </c>
    </row>
    <row r="2248">
      <c r="A2248" s="2" t="inlineStr"/>
      <c r="B2248" s="2" t="inlineStr"/>
      <c r="C2248" s="2" t="inlineStr">
        <is>
          <t>GOMA CAJA DIRECCION PEQUENA CHEVETTE</t>
        </is>
      </c>
      <c r="D2248" s="2" t="inlineStr">
        <is>
          <t>BRAZIL</t>
        </is>
      </c>
      <c r="E2248" s="3" t="n">
        <v>3.8462</v>
      </c>
      <c r="F2248" s="4" t="n">
        <v>0.3</v>
      </c>
      <c r="G2248" s="5">
        <f>ROUND(E2248*(1+F2248),2)</f>
        <v>5.00</v>
      </c>
      <c r="H2248" s="5">
        <f>ROUND(G2248*NOTAS!$B$2,2)</f>
        <v>3606.73</v>
      </c>
      <c r="I2248" s="6">
        <f>ROUND(G2248*NOTAS!$B$3,0)</f>
        <v>16244</v>
      </c>
      <c r="J2248" s="2" t="n">
        <v>5</v>
      </c>
    </row>
    <row r="2249">
      <c r="A2249" s="2" t="inlineStr">
        <is>
          <t>762</t>
        </is>
      </c>
      <c r="B2249" s="2" t="inlineStr">
        <is>
          <t>4179802</t>
        </is>
      </c>
      <c r="C2249" s="2" t="inlineStr">
        <is>
          <t>GOMA CAJA DIRECCION PEQUENA F-UNO/PREMIO</t>
        </is>
      </c>
      <c r="D2249" s="2" t="inlineStr">
        <is>
          <t>BFX</t>
        </is>
      </c>
      <c r="E2249" s="3" t="n">
        <v>3.8462</v>
      </c>
      <c r="F2249" s="4" t="n">
        <v>0.3</v>
      </c>
      <c r="G2249" s="5">
        <f>ROUND(E2249*(1+F2249),2)</f>
        <v>5.00</v>
      </c>
      <c r="H2249" s="5">
        <f>ROUND(G2249*NOTAS!$B$2,2)</f>
        <v>3606.73</v>
      </c>
      <c r="I2249" s="6">
        <f>ROUND(G2249*NOTAS!$B$3,0)</f>
        <v>16244</v>
      </c>
      <c r="J2249" s="2" t="n">
        <v>15</v>
      </c>
    </row>
    <row r="2250">
      <c r="A2250" s="2" t="inlineStr"/>
      <c r="B2250" s="2" t="inlineStr"/>
      <c r="C2250" s="2" t="inlineStr">
        <is>
          <t>GOMA CAJA DIRECCION R-18/FUEGO</t>
        </is>
      </c>
      <c r="D2250" s="2" t="inlineStr">
        <is>
          <t>SANFOR</t>
        </is>
      </c>
      <c r="E2250" s="3" t="n">
        <v>3.8462</v>
      </c>
      <c r="F2250" s="4" t="n">
        <v>0.3</v>
      </c>
      <c r="G2250" s="5">
        <f>ROUND(E2250*(1+F2250),2)</f>
        <v>5.00</v>
      </c>
      <c r="H2250" s="5">
        <f>ROUND(G2250*NOTAS!$B$2,2)</f>
        <v>3606.73</v>
      </c>
      <c r="I2250" s="6">
        <f>ROUND(G2250*NOTAS!$B$3,0)</f>
        <v>16244</v>
      </c>
      <c r="J2250" s="2" t="n">
        <v>4</v>
      </c>
    </row>
    <row r="2251">
      <c r="A2251" s="2" t="inlineStr"/>
      <c r="B2251" s="2" t="inlineStr"/>
      <c r="C2251" s="2" t="inlineStr">
        <is>
          <t>GOMA CAPOT CORSA</t>
        </is>
      </c>
      <c r="D2251" s="2" t="inlineStr">
        <is>
          <t>BRAZIL</t>
        </is>
      </c>
      <c r="E2251" s="3" t="n">
        <v>3.8462</v>
      </c>
      <c r="F2251" s="4" t="n">
        <v>0.3</v>
      </c>
      <c r="G2251" s="5">
        <f>ROUND(E2251*(1+F2251),2)</f>
        <v>5.00</v>
      </c>
      <c r="H2251" s="5">
        <f>ROUND(G2251*NOTAS!$B$2,2)</f>
        <v>3606.73</v>
      </c>
      <c r="I2251" s="6">
        <f>ROUND(G2251*NOTAS!$B$3,0)</f>
        <v>16244</v>
      </c>
      <c r="J2251" s="2" t="n">
        <v>12</v>
      </c>
    </row>
    <row r="2252">
      <c r="A2252" s="2" t="inlineStr"/>
      <c r="B2252" s="2" t="inlineStr"/>
      <c r="C2252" s="2" t="inlineStr">
        <is>
          <t>GOMA CARDAN CARIBE</t>
        </is>
      </c>
      <c r="D2252" s="2" t="inlineStr"/>
      <c r="E2252" s="3" t="n">
        <v>7.6923</v>
      </c>
      <c r="F2252" s="4" t="n">
        <v>0.3</v>
      </c>
      <c r="G2252" s="5">
        <f>ROUND(E2252*(1+F2252),2)</f>
        <v>10.00</v>
      </c>
      <c r="H2252" s="5">
        <f>ROUND(G2252*NOTAS!$B$2,2)</f>
        <v>7213.46</v>
      </c>
      <c r="I2252" s="6">
        <f>ROUND(G2252*NOTAS!$B$3,0)</f>
        <v>32489</v>
      </c>
      <c r="J2252" s="2" t="n">
        <v>7</v>
      </c>
    </row>
    <row r="2253">
      <c r="A2253" s="2" t="inlineStr"/>
      <c r="B2253" s="2" t="inlineStr"/>
      <c r="C2253" s="2" t="inlineStr">
        <is>
          <t>GOMA CARDAN CHEVETTE</t>
        </is>
      </c>
      <c r="D2253" s="2" t="inlineStr">
        <is>
          <t>SANFOR</t>
        </is>
      </c>
      <c r="E2253" s="3" t="n">
        <v>7.6923</v>
      </c>
      <c r="F2253" s="4" t="n">
        <v>0.3</v>
      </c>
      <c r="G2253" s="5">
        <f>ROUND(E2253*(1+F2253),2)</f>
        <v>10.00</v>
      </c>
      <c r="H2253" s="5">
        <f>ROUND(G2253*NOTAS!$B$2,2)</f>
        <v>7213.46</v>
      </c>
      <c r="I2253" s="6">
        <f>ROUND(G2253*NOTAS!$B$3,0)</f>
        <v>32489</v>
      </c>
      <c r="J2253" s="2" t="n">
        <v>1</v>
      </c>
    </row>
    <row r="2254">
      <c r="A2254" s="2" t="inlineStr">
        <is>
          <t>R-242</t>
        </is>
      </c>
      <c r="B2254" s="2" t="inlineStr"/>
      <c r="C2254" s="2" t="inlineStr">
        <is>
          <t>GOMA CARDAN CON ROLINERA CHEVETTE</t>
        </is>
      </c>
      <c r="D2254" s="2" t="inlineStr">
        <is>
          <t>SUPORTE RE</t>
        </is>
      </c>
      <c r="E2254" s="3" t="n">
        <v>9.2308</v>
      </c>
      <c r="F2254" s="4" t="n">
        <v>0.3</v>
      </c>
      <c r="G2254" s="5">
        <f>ROUND(E2254*(1+F2254),2)</f>
        <v>12.00</v>
      </c>
      <c r="H2254" s="5">
        <f>ROUND(G2254*NOTAS!$B$2,2)</f>
        <v>8656.15</v>
      </c>
      <c r="I2254" s="6">
        <f>ROUND(G2254*NOTAS!$B$3,0)</f>
        <v>38986</v>
      </c>
      <c r="J2254" s="2" t="n">
        <v>2</v>
      </c>
    </row>
    <row r="2255">
      <c r="A2255" s="2" t="inlineStr">
        <is>
          <t>1301</t>
        </is>
      </c>
      <c r="B2255" s="2" t="inlineStr"/>
      <c r="C2255" s="2" t="inlineStr">
        <is>
          <t>GOMA CENTRAL BARRA ESTABILIZADORA F-PALIO/SIENA</t>
        </is>
      </c>
      <c r="D2255" s="2" t="inlineStr">
        <is>
          <t>SAMPEL</t>
        </is>
      </c>
      <c r="E2255" s="3" t="n">
        <v>3.0769</v>
      </c>
      <c r="F2255" s="4" t="n">
        <v>0.3</v>
      </c>
      <c r="G2255" s="5">
        <f>ROUND(E2255*(1+F2255),2)</f>
        <v>4.00</v>
      </c>
      <c r="H2255" s="5">
        <f>ROUND(G2255*NOTAS!$B$2,2)</f>
        <v>2885.38</v>
      </c>
      <c r="I2255" s="6">
        <f>ROUND(G2255*NOTAS!$B$3,0)</f>
        <v>12995</v>
      </c>
      <c r="J2255" s="2" t="n">
        <v>3</v>
      </c>
    </row>
    <row r="2256">
      <c r="A2256" s="2" t="inlineStr">
        <is>
          <t>7700785788</t>
        </is>
      </c>
      <c r="B2256" s="2" t="inlineStr"/>
      <c r="C2256" s="2" t="inlineStr">
        <is>
          <t>GOMA CENTRAL BARRA ESTABILIZADORA R-19</t>
        </is>
      </c>
      <c r="D2256" s="2" t="inlineStr">
        <is>
          <t>RENAULT</t>
        </is>
      </c>
      <c r="E2256" s="3" t="n">
        <v>3.0769</v>
      </c>
      <c r="F2256" s="4" t="n">
        <v>0.3</v>
      </c>
      <c r="G2256" s="5">
        <f>ROUND(E2256*(1+F2256),2)</f>
        <v>4.00</v>
      </c>
      <c r="H2256" s="5">
        <f>ROUND(G2256*NOTAS!$B$2,2)</f>
        <v>2885.38</v>
      </c>
      <c r="I2256" s="6">
        <f>ROUND(G2256*NOTAS!$B$3,0)</f>
        <v>12995</v>
      </c>
      <c r="J2256" s="2" t="n">
        <v>40</v>
      </c>
    </row>
    <row r="2257">
      <c r="A2257" s="2" t="inlineStr"/>
      <c r="B2257" s="2" t="inlineStr"/>
      <c r="C2257" s="2" t="inlineStr">
        <is>
          <t>GOMA CENTRAL BARRA ESTABILIZADORA R-21</t>
        </is>
      </c>
      <c r="D2257" s="2" t="inlineStr">
        <is>
          <t>RENAULT</t>
        </is>
      </c>
      <c r="E2257" s="3" t="n">
        <v>3.0769</v>
      </c>
      <c r="F2257" s="4" t="n">
        <v>0.3</v>
      </c>
      <c r="G2257" s="5">
        <f>ROUND(E2257*(1+F2257),2)</f>
        <v>4.00</v>
      </c>
      <c r="H2257" s="5">
        <f>ROUND(G2257*NOTAS!$B$2,2)</f>
        <v>2885.38</v>
      </c>
      <c r="I2257" s="6">
        <f>ROUND(G2257*NOTAS!$B$3,0)</f>
        <v>12995</v>
      </c>
      <c r="J2257" s="2" t="n">
        <v>3</v>
      </c>
    </row>
    <row r="2258">
      <c r="A2258" s="2" t="inlineStr"/>
      <c r="B2258" s="2" t="inlineStr"/>
      <c r="C2258" s="2" t="inlineStr">
        <is>
          <t>GOMA DERECHA CAJA DIRECCION R-19</t>
        </is>
      </c>
      <c r="D2258" s="2" t="inlineStr">
        <is>
          <t>SANFOR</t>
        </is>
      </c>
      <c r="E2258" s="3" t="n">
        <v>3.8462</v>
      </c>
      <c r="F2258" s="4" t="n">
        <v>0.3</v>
      </c>
      <c r="G2258" s="5">
        <f>ROUND(E2258*(1+F2258),2)</f>
        <v>5.00</v>
      </c>
      <c r="H2258" s="5">
        <f>ROUND(G2258*NOTAS!$B$2,2)</f>
        <v>3606.73</v>
      </c>
      <c r="I2258" s="6">
        <f>ROUND(G2258*NOTAS!$B$3,0)</f>
        <v>16244</v>
      </c>
      <c r="J2258" s="2" t="n">
        <v>1</v>
      </c>
    </row>
    <row r="2259">
      <c r="A2259" s="2" t="inlineStr"/>
      <c r="B2259" s="2" t="inlineStr"/>
      <c r="C2259" s="2" t="inlineStr">
        <is>
          <t>GOMA IZQUIERDA CAJA DIRECCION R-19</t>
        </is>
      </c>
      <c r="D2259" s="2" t="inlineStr">
        <is>
          <t>SANFOR</t>
        </is>
      </c>
      <c r="E2259" s="3" t="n">
        <v>3.8462</v>
      </c>
      <c r="F2259" s="4" t="n">
        <v>0.3</v>
      </c>
      <c r="G2259" s="5">
        <f>ROUND(E2259*(1+F2259),2)</f>
        <v>5.00</v>
      </c>
      <c r="H2259" s="5">
        <f>ROUND(G2259*NOTAS!$B$2,2)</f>
        <v>3606.73</v>
      </c>
      <c r="I2259" s="6">
        <f>ROUND(G2259*NOTAS!$B$3,0)</f>
        <v>16244</v>
      </c>
      <c r="J2259" s="2" t="n">
        <v>4</v>
      </c>
    </row>
    <row r="2260">
      <c r="A2260" s="2" t="inlineStr">
        <is>
          <t>1054</t>
        </is>
      </c>
      <c r="B2260" s="2" t="inlineStr">
        <is>
          <t>7520850</t>
        </is>
      </c>
      <c r="C2260" s="2" t="inlineStr">
        <is>
          <t>GOMA PUNTA BARRA ESTABILIZADORA F-PAL/SIE</t>
        </is>
      </c>
      <c r="D2260" s="2" t="inlineStr">
        <is>
          <t>SAMPEL</t>
        </is>
      </c>
      <c r="E2260" s="3" t="n">
        <v>3.0769</v>
      </c>
      <c r="F2260" s="4" t="n">
        <v>0.3</v>
      </c>
      <c r="G2260" s="5">
        <f>ROUND(E2260*(1+F2260),2)</f>
        <v>4.00</v>
      </c>
      <c r="H2260" s="5">
        <f>ROUND(G2260*NOTAS!$B$2,2)</f>
        <v>2885.38</v>
      </c>
      <c r="I2260" s="6">
        <f>ROUND(G2260*NOTAS!$B$3,0)</f>
        <v>12995</v>
      </c>
      <c r="J2260" s="2" t="n">
        <v>4</v>
      </c>
    </row>
    <row r="2261">
      <c r="A2261" s="2" t="inlineStr">
        <is>
          <t>20012</t>
        </is>
      </c>
      <c r="B2261" s="2" t="inlineStr"/>
      <c r="C2261" s="2" t="inlineStr">
        <is>
          <t>GOMA PUNTA BARRA ESTABILIZADORA F-PAL/SIE</t>
        </is>
      </c>
      <c r="D2261" s="2" t="inlineStr">
        <is>
          <t>SPARE</t>
        </is>
      </c>
      <c r="E2261" s="3" t="n">
        <v>3.0769</v>
      </c>
      <c r="F2261" s="4" t="n">
        <v>0.3</v>
      </c>
      <c r="G2261" s="5">
        <f>ROUND(E2261*(1+F2261),2)</f>
        <v>4.00</v>
      </c>
      <c r="H2261" s="5">
        <f>ROUND(G2261*NOTAS!$B$2,2)</f>
        <v>2885.38</v>
      </c>
      <c r="I2261" s="6">
        <f>ROUND(G2261*NOTAS!$B$3,0)</f>
        <v>12995</v>
      </c>
      <c r="J2261" s="2" t="n">
        <v>2</v>
      </c>
    </row>
    <row r="2262">
      <c r="A2262" s="2" t="inlineStr">
        <is>
          <t>7712011</t>
        </is>
      </c>
      <c r="B2262" s="2" t="inlineStr"/>
      <c r="C2262" s="2" t="inlineStr">
        <is>
          <t>GOMA PUNTA BARRA ESTABILIZADORA R-11</t>
        </is>
      </c>
      <c r="D2262" s="2" t="inlineStr">
        <is>
          <t>SANFOR</t>
        </is>
      </c>
      <c r="E2262" s="3" t="n">
        <v>3.0769</v>
      </c>
      <c r="F2262" s="4" t="n">
        <v>0.3</v>
      </c>
      <c r="G2262" s="5">
        <f>ROUND(E2262*(1+F2262),2)</f>
        <v>4.00</v>
      </c>
      <c r="H2262" s="5">
        <f>ROUND(G2262*NOTAS!$B$2,2)</f>
        <v>2885.38</v>
      </c>
      <c r="I2262" s="6">
        <f>ROUND(G2262*NOTAS!$B$3,0)</f>
        <v>12995</v>
      </c>
      <c r="J2262" s="2" t="n">
        <v>50</v>
      </c>
    </row>
    <row r="2263">
      <c r="A2263" s="2" t="inlineStr">
        <is>
          <t>30288</t>
        </is>
      </c>
      <c r="B2263" s="2" t="inlineStr"/>
      <c r="C2263" s="2" t="inlineStr">
        <is>
          <t>GOMA PUNTA BARRA ESTABILIZADORA R-19</t>
        </is>
      </c>
      <c r="D2263" s="2" t="inlineStr">
        <is>
          <t>IMPERGOM</t>
        </is>
      </c>
      <c r="E2263" s="3" t="n">
        <v>3.0769</v>
      </c>
      <c r="F2263" s="4" t="n">
        <v>0.3</v>
      </c>
      <c r="G2263" s="5">
        <f>ROUND(E2263*(1+F2263),2)</f>
        <v>4.00</v>
      </c>
      <c r="H2263" s="5">
        <f>ROUND(G2263*NOTAS!$B$2,2)</f>
        <v>2885.38</v>
      </c>
      <c r="I2263" s="6">
        <f>ROUND(G2263*NOTAS!$B$3,0)</f>
        <v>12995</v>
      </c>
      <c r="J2263" s="2" t="n">
        <v>4</v>
      </c>
    </row>
    <row r="2264">
      <c r="A2264" s="2" t="inlineStr">
        <is>
          <t>M-031</t>
        </is>
      </c>
      <c r="B2264" s="2" t="inlineStr"/>
      <c r="C2264" s="2" t="inlineStr">
        <is>
          <t>GOMA TRIOPIDE LADO CAJA IZQUIERDA R-11</t>
        </is>
      </c>
      <c r="D2264" s="2" t="inlineStr">
        <is>
          <t>MOI GOMAS</t>
        </is>
      </c>
      <c r="E2264" s="3" t="n">
        <v>6.1538</v>
      </c>
      <c r="F2264" s="4" t="n">
        <v>0.3</v>
      </c>
      <c r="G2264" s="5">
        <f>ROUND(E2264*(1+F2264),2)</f>
        <v>8.00</v>
      </c>
      <c r="H2264" s="5">
        <f>ROUND(G2264*NOTAS!$B$2,2)</f>
        <v>5770.76</v>
      </c>
      <c r="I2264" s="6">
        <f>ROUND(G2264*NOTAS!$B$3,0)</f>
        <v>25991</v>
      </c>
      <c r="J2264" s="2" t="n">
        <v>3</v>
      </c>
    </row>
    <row r="2265">
      <c r="A2265" s="2" t="inlineStr">
        <is>
          <t>CH-3040</t>
        </is>
      </c>
      <c r="B2265" s="2" t="inlineStr"/>
      <c r="C2265" s="2" t="inlineStr">
        <is>
          <t>GOMA TRIPOIDE LADO CAJA AVEO</t>
        </is>
      </c>
      <c r="D2265" s="2" t="inlineStr">
        <is>
          <t>HERNOL</t>
        </is>
      </c>
      <c r="E2265" s="3" t="n">
        <v>2.64</v>
      </c>
      <c r="F2265" s="4" t="n">
        <v>0.3</v>
      </c>
      <c r="G2265" s="5">
        <f>ROUND(E2265*(1+F2265),2)</f>
        <v>3.43</v>
      </c>
      <c r="H2265" s="5">
        <f>ROUND(G2265*NOTAS!$B$2,2)</f>
        <v>2474.22</v>
      </c>
      <c r="I2265" s="6">
        <f>ROUND(G2265*NOTAS!$B$3,0)</f>
        <v>11144</v>
      </c>
      <c r="J2265" s="2" t="n">
        <v>8</v>
      </c>
    </row>
    <row r="2266">
      <c r="A2266" s="2" t="inlineStr">
        <is>
          <t>FO-5001</t>
        </is>
      </c>
      <c r="B2266" s="2" t="inlineStr"/>
      <c r="C2266" s="2" t="inlineStr">
        <is>
          <t>GOMA TRIPOIDE LADO CAJA CORCEL</t>
        </is>
      </c>
      <c r="D2266" s="2" t="inlineStr">
        <is>
          <t>HERNOL</t>
        </is>
      </c>
      <c r="E2266" s="3" t="n">
        <v>2.32</v>
      </c>
      <c r="F2266" s="4" t="n">
        <v>0.3</v>
      </c>
      <c r="G2266" s="5">
        <f>ROUND(E2266*(1+F2266),2)</f>
        <v>3.02</v>
      </c>
      <c r="H2266" s="5">
        <f>ROUND(G2266*NOTAS!$B$2,2)</f>
        <v>2178.46</v>
      </c>
      <c r="I2266" s="6">
        <f>ROUND(G2266*NOTAS!$B$3,0)</f>
        <v>9812</v>
      </c>
      <c r="J2266" s="2" t="n">
        <v>1</v>
      </c>
    </row>
    <row r="2267">
      <c r="A2267" s="2" t="inlineStr">
        <is>
          <t>TO-4001</t>
        </is>
      </c>
      <c r="B2267" s="2" t="inlineStr"/>
      <c r="C2267" s="2" t="inlineStr">
        <is>
          <t>GOMA TRIPOIDE LADO CAJA COROLLA …/88</t>
        </is>
      </c>
      <c r="D2267" s="2" t="inlineStr">
        <is>
          <t>HERNOL</t>
        </is>
      </c>
      <c r="E2267" s="3" t="n">
        <v>3</v>
      </c>
      <c r="F2267" s="4" t="n">
        <v>0.3</v>
      </c>
      <c r="G2267" s="5">
        <f>ROUND(E2267*(1+F2267),2)</f>
        <v>3.90</v>
      </c>
      <c r="H2267" s="5">
        <f>ROUND(G2267*NOTAS!$B$2,2)</f>
        <v>2813.25</v>
      </c>
      <c r="I2267" s="6">
        <f>ROUND(G2267*NOTAS!$B$3,0)</f>
        <v>12671</v>
      </c>
      <c r="J2267" s="2" t="n">
        <v>8</v>
      </c>
    </row>
    <row r="2268">
      <c r="A2268" s="2" t="inlineStr">
        <is>
          <t>TO-4004</t>
        </is>
      </c>
      <c r="B2268" s="2" t="inlineStr"/>
      <c r="C2268" s="2" t="inlineStr">
        <is>
          <t>GOMA TRIPOIDE LADO CAJA COROLLA 94/…</t>
        </is>
      </c>
      <c r="D2268" s="2" t="inlineStr">
        <is>
          <t>HERNOL</t>
        </is>
      </c>
      <c r="E2268" s="3" t="n">
        <v>3</v>
      </c>
      <c r="F2268" s="4" t="n">
        <v>0.3</v>
      </c>
      <c r="G2268" s="5">
        <f>ROUND(E2268*(1+F2268),2)</f>
        <v>3.90</v>
      </c>
      <c r="H2268" s="5">
        <f>ROUND(G2268*NOTAS!$B$2,2)</f>
        <v>2813.25</v>
      </c>
      <c r="I2268" s="6">
        <f>ROUND(G2268*NOTAS!$B$3,0)</f>
        <v>12671</v>
      </c>
      <c r="J2268" s="2" t="n">
        <v>12</v>
      </c>
    </row>
    <row r="2269">
      <c r="A2269" s="2" t="inlineStr">
        <is>
          <t>CH-3025C</t>
        </is>
      </c>
      <c r="B2269" s="2" t="inlineStr"/>
      <c r="C2269" s="2" t="inlineStr">
        <is>
          <t>GOMA TRIPOIDE LADO CAJA CORSA/CIELO/LANOS</t>
        </is>
      </c>
      <c r="D2269" s="2" t="inlineStr">
        <is>
          <t>HERNOL</t>
        </is>
      </c>
      <c r="E2269" s="3" t="n">
        <v>2.56</v>
      </c>
      <c r="F2269" s="4" t="n">
        <v>0.3</v>
      </c>
      <c r="G2269" s="5">
        <f>ROUND(E2269*(1+F2269),2)</f>
        <v>3.33</v>
      </c>
      <c r="H2269" s="5">
        <f>ROUND(G2269*NOTAS!$B$2,2)</f>
        <v>2402.08</v>
      </c>
      <c r="I2269" s="6">
        <f>ROUND(G2269*NOTAS!$B$3,0)</f>
        <v>10819</v>
      </c>
      <c r="J2269" s="2" t="n">
        <v>17</v>
      </c>
    </row>
    <row r="2270">
      <c r="A2270" s="2" t="inlineStr">
        <is>
          <t>DW-1702</t>
        </is>
      </c>
      <c r="B2270" s="2" t="inlineStr"/>
      <c r="C2270" s="2" t="inlineStr">
        <is>
          <t>GOMA TRIPOIDE LADO CAJA CORSA/CIELO/LANOS</t>
        </is>
      </c>
      <c r="D2270" s="2" t="inlineStr">
        <is>
          <t>HERNOL</t>
        </is>
      </c>
      <c r="E2270" s="3" t="n">
        <v>2.32</v>
      </c>
      <c r="F2270" s="4" t="n">
        <v>0.3</v>
      </c>
      <c r="G2270" s="5">
        <f>ROUND(E2270*(1+F2270),2)</f>
        <v>3.02</v>
      </c>
      <c r="H2270" s="5">
        <f>ROUND(G2270*NOTAS!$B$2,2)</f>
        <v>2178.46</v>
      </c>
      <c r="I2270" s="6">
        <f>ROUND(G2270*NOTAS!$B$3,0)</f>
        <v>9812</v>
      </c>
      <c r="J2270" s="2" t="n">
        <v>35</v>
      </c>
    </row>
    <row r="2271">
      <c r="A2271" s="2" t="inlineStr"/>
      <c r="B2271" s="2" t="inlineStr"/>
      <c r="C2271" s="2" t="inlineStr">
        <is>
          <t>GOMA TRIPOIDE LADO CAJA CORSA/CIELO/LANOS</t>
        </is>
      </c>
      <c r="D2271" s="2" t="inlineStr">
        <is>
          <t>VBT</t>
        </is>
      </c>
      <c r="E2271" s="3" t="n">
        <v>2</v>
      </c>
      <c r="F2271" s="4" t="n">
        <v>0.3</v>
      </c>
      <c r="G2271" s="5">
        <f>ROUND(E2271*(1+F2271),2)</f>
        <v>2.60</v>
      </c>
      <c r="H2271" s="5">
        <f>ROUND(G2271*NOTAS!$B$2,2)</f>
        <v>1875.50</v>
      </c>
      <c r="I2271" s="6">
        <f>ROUND(G2271*NOTAS!$B$3,0)</f>
        <v>8447</v>
      </c>
      <c r="J2271" s="2" t="n">
        <v>3</v>
      </c>
    </row>
    <row r="2272">
      <c r="A2272" s="2" t="inlineStr">
        <is>
          <t>RE-0009</t>
        </is>
      </c>
      <c r="B2272" s="2" t="inlineStr"/>
      <c r="C2272" s="2" t="inlineStr">
        <is>
          <t>GOMA TRIPOIDE LADO CAJA DERECHA R-11</t>
        </is>
      </c>
      <c r="D2272" s="2" t="inlineStr">
        <is>
          <t>HERNOL</t>
        </is>
      </c>
      <c r="E2272" s="3" t="n">
        <v>2.64</v>
      </c>
      <c r="F2272" s="4" t="n">
        <v>0.3</v>
      </c>
      <c r="G2272" s="5">
        <f>ROUND(E2272*(1+F2272),2)</f>
        <v>3.43</v>
      </c>
      <c r="H2272" s="5">
        <f>ROUND(G2272*NOTAS!$B$2,2)</f>
        <v>2474.22</v>
      </c>
      <c r="I2272" s="6">
        <f>ROUND(G2272*NOTAS!$B$3,0)</f>
        <v>11144</v>
      </c>
      <c r="J2272" s="2" t="n">
        <v>29</v>
      </c>
    </row>
    <row r="2273">
      <c r="A2273" s="2" t="inlineStr">
        <is>
          <t>RE-0012</t>
        </is>
      </c>
      <c r="B2273" s="2" t="inlineStr"/>
      <c r="C2273" s="2" t="inlineStr">
        <is>
          <t>GOMA TRIPOIDE LADO CAJA DERECHA R-19/SYMBOL</t>
        </is>
      </c>
      <c r="D2273" s="2" t="inlineStr">
        <is>
          <t>HERNOL</t>
        </is>
      </c>
      <c r="E2273" s="3" t="n">
        <v>2.64</v>
      </c>
      <c r="F2273" s="4" t="n">
        <v>0.3</v>
      </c>
      <c r="G2273" s="5">
        <f>ROUND(E2273*(1+F2273),2)</f>
        <v>3.43</v>
      </c>
      <c r="H2273" s="5">
        <f>ROUND(G2273*NOTAS!$B$2,2)</f>
        <v>2474.22</v>
      </c>
      <c r="I2273" s="6">
        <f>ROUND(G2273*NOTAS!$B$3,0)</f>
        <v>11144</v>
      </c>
      <c r="J2273" s="2" t="n">
        <v>9</v>
      </c>
    </row>
    <row r="2274">
      <c r="A2274" s="2" t="inlineStr">
        <is>
          <t>BT316158</t>
        </is>
      </c>
      <c r="B2274" s="2" t="inlineStr"/>
      <c r="C2274" s="2" t="inlineStr">
        <is>
          <t>GOMA TRIPOIDE LADO CAJA DERECHA R-LOGAN</t>
        </is>
      </c>
      <c r="D2274" s="2" t="inlineStr">
        <is>
          <t>TITANIUM</t>
        </is>
      </c>
      <c r="E2274" s="3" t="n">
        <v>3</v>
      </c>
      <c r="F2274" s="4" t="n">
        <v>0.3</v>
      </c>
      <c r="G2274" s="5">
        <f>ROUND(E2274*(1+F2274),2)</f>
        <v>3.90</v>
      </c>
      <c r="H2274" s="5">
        <f>ROUND(G2274*NOTAS!$B$2,2)</f>
        <v>2813.25</v>
      </c>
      <c r="I2274" s="6">
        <f>ROUND(G2274*NOTAS!$B$3,0)</f>
        <v>12671</v>
      </c>
      <c r="J2274" s="2" t="n">
        <v>6</v>
      </c>
    </row>
    <row r="2275">
      <c r="A2275" s="2" t="inlineStr">
        <is>
          <t>20339</t>
        </is>
      </c>
      <c r="B2275" s="2" t="inlineStr"/>
      <c r="C2275" s="2" t="inlineStr">
        <is>
          <t>GOMA TRIPOIDE LADO CAJA DERECHA R-LOGAN</t>
        </is>
      </c>
      <c r="D2275" s="2" t="inlineStr">
        <is>
          <t>JAIME SERRAT</t>
        </is>
      </c>
      <c r="E2275" s="3" t="n">
        <v>3</v>
      </c>
      <c r="F2275" s="4" t="n">
        <v>0.3</v>
      </c>
      <c r="G2275" s="5">
        <f>ROUND(E2275*(1+F2275),2)</f>
        <v>3.90</v>
      </c>
      <c r="H2275" s="5">
        <f>ROUND(G2275*NOTAS!$B$2,2)</f>
        <v>2813.25</v>
      </c>
      <c r="I2275" s="6">
        <f>ROUND(G2275*NOTAS!$B$3,0)</f>
        <v>12671</v>
      </c>
      <c r="J2275" s="2" t="n">
        <v>2</v>
      </c>
    </row>
    <row r="2276">
      <c r="A2276" s="2" t="inlineStr"/>
      <c r="B2276" s="2" t="inlineStr"/>
      <c r="C2276" s="2" t="inlineStr">
        <is>
          <t>GOMA TRIPOIDE LADO CAJA DERECHA R-LOGAN</t>
        </is>
      </c>
      <c r="D2276" s="2" t="inlineStr">
        <is>
          <t>ORIGINAL BIRTH</t>
        </is>
      </c>
      <c r="E2276" s="3" t="n">
        <v>3</v>
      </c>
      <c r="F2276" s="4" t="n">
        <v>0.3</v>
      </c>
      <c r="G2276" s="5">
        <f>ROUND(E2276*(1+F2276),2)</f>
        <v>3.90</v>
      </c>
      <c r="H2276" s="5">
        <f>ROUND(G2276*NOTAS!$B$2,2)</f>
        <v>2813.25</v>
      </c>
      <c r="I2276" s="6">
        <f>ROUND(G2276*NOTAS!$B$3,0)</f>
        <v>12671</v>
      </c>
      <c r="J2276" s="2" t="n">
        <v>17</v>
      </c>
    </row>
    <row r="2277">
      <c r="A2277" s="2" t="inlineStr">
        <is>
          <t>7273/A</t>
        </is>
      </c>
      <c r="B2277" s="2" t="inlineStr"/>
      <c r="C2277" s="2" t="inlineStr">
        <is>
          <t>GOMA TRIPOIDE LADO CAJA DERECHA R-MEGANE</t>
        </is>
      </c>
      <c r="D2277" s="2" t="inlineStr">
        <is>
          <t>ORIGINAL BIRTH</t>
        </is>
      </c>
      <c r="E2277" s="3" t="n">
        <v>3</v>
      </c>
      <c r="F2277" s="4" t="n">
        <v>0.3</v>
      </c>
      <c r="G2277" s="5">
        <f>ROUND(E2277*(1+F2277),2)</f>
        <v>3.90</v>
      </c>
      <c r="H2277" s="5">
        <f>ROUND(G2277*NOTAS!$B$2,2)</f>
        <v>2813.25</v>
      </c>
      <c r="I2277" s="6">
        <f>ROUND(G2277*NOTAS!$B$3,0)</f>
        <v>12671</v>
      </c>
      <c r="J2277" s="2" t="n">
        <v>8</v>
      </c>
    </row>
    <row r="2278">
      <c r="A2278" s="2" t="inlineStr">
        <is>
          <t>FO-5024</t>
        </is>
      </c>
      <c r="B2278" s="2" t="inlineStr"/>
      <c r="C2278" s="2" t="inlineStr">
        <is>
          <t>GOMA TRIPOIDE LADO CAJA FIESTA/KA</t>
        </is>
      </c>
      <c r="D2278" s="2" t="inlineStr">
        <is>
          <t>HERNOL</t>
        </is>
      </c>
      <c r="E2278" s="3" t="n">
        <v>2.41</v>
      </c>
      <c r="F2278" s="4" t="n">
        <v>0.3</v>
      </c>
      <c r="G2278" s="5">
        <f>ROUND(E2278*(1+F2278),2)</f>
        <v>3.13</v>
      </c>
      <c r="H2278" s="5">
        <f>ROUND(G2278*NOTAS!$B$2,2)</f>
        <v>2257.81</v>
      </c>
      <c r="I2278" s="6">
        <f>ROUND(G2278*NOTAS!$B$3,0)</f>
        <v>10169</v>
      </c>
      <c r="J2278" s="2" t="n">
        <v>2</v>
      </c>
    </row>
    <row r="2279">
      <c r="A2279" s="2" t="inlineStr">
        <is>
          <t>FO-5007</t>
        </is>
      </c>
      <c r="B2279" s="2" t="inlineStr"/>
      <c r="C2279" s="2" t="inlineStr">
        <is>
          <t>GOMA TRIPOIDE LADO CAJA FIESTA/KA/FESTIVA</t>
        </is>
      </c>
      <c r="D2279" s="2" t="inlineStr">
        <is>
          <t>HERNOL</t>
        </is>
      </c>
      <c r="E2279" s="3" t="n">
        <v>2.84</v>
      </c>
      <c r="F2279" s="4" t="n">
        <v>0.3</v>
      </c>
      <c r="G2279" s="5">
        <f>ROUND(E2279*(1+F2279),2)</f>
        <v>3.69</v>
      </c>
      <c r="H2279" s="5">
        <f>ROUND(G2279*NOTAS!$B$2,2)</f>
        <v>2661.77</v>
      </c>
      <c r="I2279" s="6">
        <f>ROUND(G2279*NOTAS!$B$3,0)</f>
        <v>11988</v>
      </c>
      <c r="J2279" s="2" t="n">
        <v>21</v>
      </c>
    </row>
    <row r="2280">
      <c r="A2280" s="2" t="inlineStr">
        <is>
          <t>HD-1803</t>
        </is>
      </c>
      <c r="B2280" s="2" t="inlineStr"/>
      <c r="C2280" s="2" t="inlineStr">
        <is>
          <t>GOMA TRIPOIDE LADO CAJA HYUNDAI ACCENT</t>
        </is>
      </c>
      <c r="D2280" s="2" t="inlineStr">
        <is>
          <t>HERNOL</t>
        </is>
      </c>
      <c r="E2280" s="3" t="n">
        <v>2.96</v>
      </c>
      <c r="F2280" s="4" t="n">
        <v>0.3</v>
      </c>
      <c r="G2280" s="5">
        <f>ROUND(E2280*(1+F2280),2)</f>
        <v>3.85</v>
      </c>
      <c r="H2280" s="5">
        <f>ROUND(G2280*NOTAS!$B$2,2)</f>
        <v>2777.18</v>
      </c>
      <c r="I2280" s="6">
        <f>ROUND(G2280*NOTAS!$B$3,0)</f>
        <v>12508</v>
      </c>
      <c r="J2280" s="2" t="n">
        <v>8</v>
      </c>
    </row>
    <row r="2281">
      <c r="A2281" s="2" t="inlineStr">
        <is>
          <t>HD-1801</t>
        </is>
      </c>
      <c r="B2281" s="2" t="inlineStr"/>
      <c r="C2281" s="2" t="inlineStr">
        <is>
          <t>GOMA TRIPOIDE LADO CAJA HYUNDAI EXCEL</t>
        </is>
      </c>
      <c r="D2281" s="2" t="inlineStr">
        <is>
          <t>HERNOL</t>
        </is>
      </c>
      <c r="E2281" s="3" t="n">
        <v>2.4</v>
      </c>
      <c r="F2281" s="4" t="n">
        <v>0.3</v>
      </c>
      <c r="G2281" s="5">
        <f>ROUND(E2281*(1+F2281),2)</f>
        <v>3.12</v>
      </c>
      <c r="H2281" s="5">
        <f>ROUND(G2281*NOTAS!$B$2,2)</f>
        <v>2250.60</v>
      </c>
      <c r="I2281" s="6">
        <f>ROUND(G2281*NOTAS!$B$3,0)</f>
        <v>10136</v>
      </c>
      <c r="J2281" s="2" t="n">
        <v>8</v>
      </c>
    </row>
    <row r="2282">
      <c r="A2282" s="2" t="inlineStr"/>
      <c r="B2282" s="2" t="inlineStr"/>
      <c r="C2282" s="2" t="inlineStr">
        <is>
          <t>GOMA TRIPOIDE LADO CAJA IZQUIERDA R-11/19/SYMBOL/TWINGO</t>
        </is>
      </c>
      <c r="D2282" s="2" t="inlineStr">
        <is>
          <t>ZIZAS</t>
        </is>
      </c>
      <c r="E2282" s="3" t="n">
        <v>4</v>
      </c>
      <c r="F2282" s="4" t="n">
        <v>0.3</v>
      </c>
      <c r="G2282" s="5">
        <f>ROUND(E2282*(1+F2282),2)</f>
        <v>5.20</v>
      </c>
      <c r="H2282" s="5">
        <f>ROUND(G2282*NOTAS!$B$2,2)</f>
        <v>3751.00</v>
      </c>
      <c r="I2282" s="6">
        <f>ROUND(G2282*NOTAS!$B$3,0)</f>
        <v>16894</v>
      </c>
      <c r="J2282" s="2" t="n">
        <v>6</v>
      </c>
    </row>
    <row r="2283">
      <c r="A2283" s="2" t="inlineStr">
        <is>
          <t>7039</t>
        </is>
      </c>
      <c r="B2283" s="2" t="inlineStr"/>
      <c r="C2283" s="2" t="inlineStr">
        <is>
          <t>GOMA TRIPOIDE LADO CAJA IZQUIERDA R-11/19/SYMBOL/TWINGO</t>
        </is>
      </c>
      <c r="D2283" s="2" t="inlineStr">
        <is>
          <t>ORIGINAL BIRTH</t>
        </is>
      </c>
      <c r="E2283" s="3" t="n">
        <v>5</v>
      </c>
      <c r="F2283" s="4" t="n">
        <v>0.3</v>
      </c>
      <c r="G2283" s="5">
        <f>ROUND(E2283*(1+F2283),2)</f>
        <v>6.50</v>
      </c>
      <c r="H2283" s="5">
        <f>ROUND(G2283*NOTAS!$B$2,2)</f>
        <v>4688.75</v>
      </c>
      <c r="I2283" s="6">
        <f>ROUND(G2283*NOTAS!$B$3,0)</f>
        <v>21118</v>
      </c>
      <c r="J2283" s="2" t="n">
        <v>2</v>
      </c>
    </row>
    <row r="2284">
      <c r="A2284" s="2" t="inlineStr">
        <is>
          <t>RE-0008</t>
        </is>
      </c>
      <c r="B2284" s="2" t="inlineStr"/>
      <c r="C2284" s="2" t="inlineStr">
        <is>
          <t>GOMA TRIPOIDE LADO CAJA IZQUIERDA R-11/19/SYMBOL/TWINGO</t>
        </is>
      </c>
      <c r="D2284" s="2" t="inlineStr">
        <is>
          <t>HERNOL</t>
        </is>
      </c>
      <c r="E2284" s="3" t="n">
        <v>4.92</v>
      </c>
      <c r="F2284" s="4" t="n">
        <v>0.3</v>
      </c>
      <c r="G2284" s="5">
        <f>ROUND(E2284*(1+F2284),2)</f>
        <v>6.40</v>
      </c>
      <c r="H2284" s="5">
        <f>ROUND(G2284*NOTAS!$B$2,2)</f>
        <v>4616.61</v>
      </c>
      <c r="I2284" s="6">
        <f>ROUND(G2284*NOTAS!$B$3,0)</f>
        <v>20793</v>
      </c>
      <c r="J2284" s="2" t="n">
        <v>6</v>
      </c>
    </row>
    <row r="2285">
      <c r="A2285" s="2" t="inlineStr">
        <is>
          <t>77014662100</t>
        </is>
      </c>
      <c r="B2285" s="2" t="inlineStr"/>
      <c r="C2285" s="2" t="inlineStr">
        <is>
          <t>GOMA TRIPOIDE LADO CAJA IZQUIERDA R-11/19/SYMBOL/TWINGO</t>
        </is>
      </c>
      <c r="D2285" s="2" t="inlineStr">
        <is>
          <t>RENAULT GROUP</t>
        </is>
      </c>
      <c r="E2285" s="3" t="n">
        <v>3</v>
      </c>
      <c r="F2285" s="4" t="n">
        <v>0.3</v>
      </c>
      <c r="G2285" s="5">
        <f>ROUND(E2285*(1+F2285),2)</f>
        <v>3.90</v>
      </c>
      <c r="H2285" s="5">
        <f>ROUND(G2285*NOTAS!$B$2,2)</f>
        <v>2813.25</v>
      </c>
      <c r="I2285" s="6">
        <f>ROUND(G2285*NOTAS!$B$3,0)</f>
        <v>12671</v>
      </c>
      <c r="J2285" s="2" t="n">
        <v>2</v>
      </c>
    </row>
    <row r="2286">
      <c r="A2286" s="2" t="inlineStr">
        <is>
          <t>7700771825</t>
        </is>
      </c>
      <c r="B2286" s="2" t="inlineStr"/>
      <c r="C2286" s="2" t="inlineStr">
        <is>
          <t>GOMA TRIPOIDE LADO CAJA IZQUIERDA R-LOGAN</t>
        </is>
      </c>
      <c r="D2286" s="2" t="inlineStr">
        <is>
          <t>RENAULT GROUP</t>
        </is>
      </c>
      <c r="E2286" s="3" t="n">
        <v>3.5</v>
      </c>
      <c r="F2286" s="4" t="n">
        <v>0.3</v>
      </c>
      <c r="G2286" s="5">
        <f>ROUND(E2286*(1+F2286),2)</f>
        <v>4.55</v>
      </c>
      <c r="H2286" s="5">
        <f>ROUND(G2286*NOTAS!$B$2,2)</f>
        <v>3282.12</v>
      </c>
      <c r="I2286" s="6">
        <f>ROUND(G2286*NOTAS!$B$3,0)</f>
        <v>14782</v>
      </c>
      <c r="J2286" s="2" t="n">
        <v>2</v>
      </c>
    </row>
    <row r="2287">
      <c r="A2287" s="2" t="inlineStr"/>
      <c r="B2287" s="2" t="inlineStr"/>
      <c r="C2287" s="2" t="inlineStr">
        <is>
          <t>GOMA TRIPOIDE LADO CAJA IZQUIERDA R-LOGAN</t>
        </is>
      </c>
      <c r="D2287" s="2" t="inlineStr"/>
      <c r="E2287" s="3" t="n">
        <v>3</v>
      </c>
      <c r="F2287" s="4" t="n">
        <v>0.3</v>
      </c>
      <c r="G2287" s="5">
        <f>ROUND(E2287*(1+F2287),2)</f>
        <v>3.90</v>
      </c>
      <c r="H2287" s="5">
        <f>ROUND(G2287*NOTAS!$B$2,2)</f>
        <v>2813.25</v>
      </c>
      <c r="I2287" s="6">
        <f>ROUND(G2287*NOTAS!$B$3,0)</f>
        <v>12671</v>
      </c>
      <c r="J2287" s="2" t="n">
        <v>11</v>
      </c>
    </row>
    <row r="2288">
      <c r="A2288" s="2" t="inlineStr">
        <is>
          <t>FO-5018</t>
        </is>
      </c>
      <c r="B2288" s="2" t="inlineStr"/>
      <c r="C2288" s="2" t="inlineStr">
        <is>
          <t>GOMA TRIPOIDE LADO CAJA LASSER</t>
        </is>
      </c>
      <c r="D2288" s="2" t="inlineStr">
        <is>
          <t>HERNOL</t>
        </is>
      </c>
      <c r="E2288" s="3" t="n">
        <v>3.36</v>
      </c>
      <c r="F2288" s="4" t="n">
        <v>0.3</v>
      </c>
      <c r="G2288" s="5">
        <f>ROUND(E2288*(1+F2288),2)</f>
        <v>4.37</v>
      </c>
      <c r="H2288" s="5">
        <f>ROUND(G2288*NOTAS!$B$2,2)</f>
        <v>3152.28</v>
      </c>
      <c r="I2288" s="6">
        <f>ROUND(G2288*NOTAS!$B$3,0)</f>
        <v>14198</v>
      </c>
      <c r="J2288" s="2" t="n">
        <v>10</v>
      </c>
    </row>
    <row r="2289">
      <c r="A2289" s="2" t="inlineStr">
        <is>
          <t>MA-1001</t>
        </is>
      </c>
      <c r="B2289" s="2" t="inlineStr"/>
      <c r="C2289" s="2" t="inlineStr">
        <is>
          <t>GOMA TRIPOIDE LADO CAJA MAZDA 323</t>
        </is>
      </c>
      <c r="D2289" s="2" t="inlineStr">
        <is>
          <t>HERNOL</t>
        </is>
      </c>
      <c r="E2289" s="3" t="n">
        <v>2.56</v>
      </c>
      <c r="F2289" s="4" t="n">
        <v>0.3</v>
      </c>
      <c r="G2289" s="5">
        <f>ROUND(E2289*(1+F2289),2)</f>
        <v>3.33</v>
      </c>
      <c r="H2289" s="5">
        <f>ROUND(G2289*NOTAS!$B$2,2)</f>
        <v>2402.08</v>
      </c>
      <c r="I2289" s="6">
        <f>ROUND(G2289*NOTAS!$B$3,0)</f>
        <v>10819</v>
      </c>
      <c r="J2289" s="2" t="n">
        <v>7</v>
      </c>
    </row>
    <row r="2290">
      <c r="A2290" s="2" t="inlineStr">
        <is>
          <t>CH-3001</t>
        </is>
      </c>
      <c r="B2290" s="2" t="inlineStr"/>
      <c r="C2290" s="2" t="inlineStr">
        <is>
          <t>GOMA TRIPOIDE LADO CAJA MONZA</t>
        </is>
      </c>
      <c r="D2290" s="2" t="inlineStr">
        <is>
          <t>HERNOL</t>
        </is>
      </c>
      <c r="E2290" s="3" t="n">
        <v>2.48</v>
      </c>
      <c r="F2290" s="4" t="n">
        <v>0.3</v>
      </c>
      <c r="G2290" s="5">
        <f>ROUND(E2290*(1+F2290),2)</f>
        <v>3.22</v>
      </c>
      <c r="H2290" s="5">
        <f>ROUND(G2290*NOTAS!$B$2,2)</f>
        <v>2322.73</v>
      </c>
      <c r="I2290" s="6">
        <f>ROUND(G2290*NOTAS!$B$3,0)</f>
        <v>10461</v>
      </c>
      <c r="J2290" s="2" t="n">
        <v>2</v>
      </c>
    </row>
    <row r="2291">
      <c r="A2291" s="2" t="inlineStr">
        <is>
          <t>CH-3002</t>
        </is>
      </c>
      <c r="B2291" s="2" t="inlineStr"/>
      <c r="C2291" s="2" t="inlineStr">
        <is>
          <t>GOMA TRIPOIDE LADO CAJA MONZA AUT</t>
        </is>
      </c>
      <c r="D2291" s="2" t="inlineStr">
        <is>
          <t>HERNOL</t>
        </is>
      </c>
      <c r="E2291" s="3" t="n">
        <v>2.64</v>
      </c>
      <c r="F2291" s="4" t="n">
        <v>0.3</v>
      </c>
      <c r="G2291" s="5">
        <f>ROUND(E2291*(1+F2291),2)</f>
        <v>3.43</v>
      </c>
      <c r="H2291" s="5">
        <f>ROUND(G2291*NOTAS!$B$2,2)</f>
        <v>2474.22</v>
      </c>
      <c r="I2291" s="6">
        <f>ROUND(G2291*NOTAS!$B$3,0)</f>
        <v>11144</v>
      </c>
      <c r="J2291" s="2" t="n">
        <v>1</v>
      </c>
    </row>
    <row r="2292">
      <c r="A2292" s="2" t="inlineStr">
        <is>
          <t>RE-0014</t>
        </is>
      </c>
      <c r="B2292" s="2" t="inlineStr"/>
      <c r="C2292" s="2" t="inlineStr">
        <is>
          <t>GOMA TRIPOIDE LADO CAJA R-18/FUEGO</t>
        </is>
      </c>
      <c r="D2292" s="2" t="inlineStr">
        <is>
          <t>HERNOL</t>
        </is>
      </c>
      <c r="E2292" s="3" t="n">
        <v>2.64</v>
      </c>
      <c r="F2292" s="4" t="n">
        <v>0.3</v>
      </c>
      <c r="G2292" s="5">
        <f>ROUND(E2292*(1+F2292),2)</f>
        <v>3.43</v>
      </c>
      <c r="H2292" s="5">
        <f>ROUND(G2292*NOTAS!$B$2,2)</f>
        <v>2474.22</v>
      </c>
      <c r="I2292" s="6">
        <f>ROUND(G2292*NOTAS!$B$3,0)</f>
        <v>11144</v>
      </c>
      <c r="J2292" s="2" t="n">
        <v>8</v>
      </c>
    </row>
    <row r="2293">
      <c r="A2293" s="2" t="inlineStr">
        <is>
          <t>RE-0004</t>
        </is>
      </c>
      <c r="B2293" s="2" t="inlineStr"/>
      <c r="C2293" s="2" t="inlineStr">
        <is>
          <t>GOMA TRIPOIDE LADO CAJA R-5/12/CORCEL</t>
        </is>
      </c>
      <c r="D2293" s="2" t="inlineStr">
        <is>
          <t>HERNOL</t>
        </is>
      </c>
      <c r="E2293" s="3" t="n">
        <v>2.32</v>
      </c>
      <c r="F2293" s="4" t="n">
        <v>0.3</v>
      </c>
      <c r="G2293" s="5">
        <f>ROUND(E2293*(1+F2293),2)</f>
        <v>3.02</v>
      </c>
      <c r="H2293" s="5">
        <f>ROUND(G2293*NOTAS!$B$2,2)</f>
        <v>2178.46</v>
      </c>
      <c r="I2293" s="6">
        <f>ROUND(G2293*NOTAS!$B$3,0)</f>
        <v>9812</v>
      </c>
      <c r="J2293" s="2" t="n">
        <v>3</v>
      </c>
    </row>
    <row r="2294">
      <c r="A2294" s="2" t="inlineStr">
        <is>
          <t>FO-5003</t>
        </is>
      </c>
      <c r="B2294" s="2" t="inlineStr"/>
      <c r="C2294" s="2" t="inlineStr">
        <is>
          <t>GOMA TRIPOIDE LADO CAJA R-5/12/CORCEL</t>
        </is>
      </c>
      <c r="D2294" s="2" t="inlineStr">
        <is>
          <t>HERNOL</t>
        </is>
      </c>
      <c r="E2294" s="3" t="n">
        <v>2.32</v>
      </c>
      <c r="F2294" s="4" t="n">
        <v>0.3</v>
      </c>
      <c r="G2294" s="5">
        <f>ROUND(E2294*(1+F2294),2)</f>
        <v>3.02</v>
      </c>
      <c r="H2294" s="5">
        <f>ROUND(G2294*NOTAS!$B$2,2)</f>
        <v>2178.46</v>
      </c>
      <c r="I2294" s="6">
        <f>ROUND(G2294*NOTAS!$B$3,0)</f>
        <v>9812</v>
      </c>
      <c r="J2294" s="2" t="n">
        <v>1</v>
      </c>
    </row>
    <row r="2295">
      <c r="A2295" s="2" t="inlineStr">
        <is>
          <t>CH-3038</t>
        </is>
      </c>
      <c r="B2295" s="2" t="inlineStr"/>
      <c r="C2295" s="2" t="inlineStr">
        <is>
          <t>GOMA TRIPOIDE LADO CAJA SPARK</t>
        </is>
      </c>
      <c r="D2295" s="2" t="inlineStr">
        <is>
          <t>HERNOL</t>
        </is>
      </c>
      <c r="E2295" s="3" t="n">
        <v>2.76</v>
      </c>
      <c r="F2295" s="4" t="n">
        <v>0.3</v>
      </c>
      <c r="G2295" s="5">
        <f>ROUND(E2295*(1+F2295),2)</f>
        <v>3.59</v>
      </c>
      <c r="H2295" s="5">
        <f>ROUND(G2295*NOTAS!$B$2,2)</f>
        <v>2589.63</v>
      </c>
      <c r="I2295" s="6">
        <f>ROUND(G2295*NOTAS!$B$3,0)</f>
        <v>11663</v>
      </c>
      <c r="J2295" s="2" t="n">
        <v>2</v>
      </c>
    </row>
    <row r="2296">
      <c r="A2296" s="2" t="inlineStr">
        <is>
          <t>CH-3023</t>
        </is>
      </c>
      <c r="B2296" s="2" t="inlineStr"/>
      <c r="C2296" s="2" t="inlineStr">
        <is>
          <t>GOMA TRIPOIDE LADO CAJA SWIFT 1.3</t>
        </is>
      </c>
      <c r="D2296" s="2" t="inlineStr">
        <is>
          <t>HERNOL</t>
        </is>
      </c>
      <c r="E2296" s="3" t="n">
        <v>3</v>
      </c>
      <c r="F2296" s="4" t="n">
        <v>0.3</v>
      </c>
      <c r="G2296" s="5">
        <f>ROUND(E2296*(1+F2296),2)</f>
        <v>3.90</v>
      </c>
      <c r="H2296" s="5">
        <f>ROUND(G2296*NOTAS!$B$2,2)</f>
        <v>2813.25</v>
      </c>
      <c r="I2296" s="6">
        <f>ROUND(G2296*NOTAS!$B$3,0)</f>
        <v>12671</v>
      </c>
      <c r="J2296" s="2" t="n">
        <v>3</v>
      </c>
    </row>
    <row r="2297">
      <c r="A2297" s="2" t="inlineStr">
        <is>
          <t>CH-3015</t>
        </is>
      </c>
      <c r="B2297" s="2" t="inlineStr"/>
      <c r="C2297" s="2" t="inlineStr">
        <is>
          <t>GOMA TRIPOIDE LADO CAJA SWIFT 1.6</t>
        </is>
      </c>
      <c r="D2297" s="2" t="inlineStr">
        <is>
          <t>HERNOL</t>
        </is>
      </c>
      <c r="E2297" s="3" t="n">
        <v>2.76</v>
      </c>
      <c r="F2297" s="4" t="n">
        <v>0.3</v>
      </c>
      <c r="G2297" s="5">
        <f>ROUND(E2297*(1+F2297),2)</f>
        <v>3.59</v>
      </c>
      <c r="H2297" s="5">
        <f>ROUND(G2297*NOTAS!$B$2,2)</f>
        <v>2589.63</v>
      </c>
      <c r="I2297" s="6">
        <f>ROUND(G2297*NOTAS!$B$3,0)</f>
        <v>11663</v>
      </c>
      <c r="J2297" s="2" t="n">
        <v>2</v>
      </c>
    </row>
    <row r="2298">
      <c r="A2298" s="2" t="inlineStr">
        <is>
          <t>DW-1700</t>
        </is>
      </c>
      <c r="B2298" s="2" t="inlineStr"/>
      <c r="C2298" s="2" t="inlineStr">
        <is>
          <t>GOMA TRIPOIDE LADO RUEDA CIELO/LANOS</t>
        </is>
      </c>
      <c r="D2298" s="2" t="inlineStr">
        <is>
          <t>HERNOL</t>
        </is>
      </c>
      <c r="E2298" s="3" t="n">
        <v>3.12</v>
      </c>
      <c r="F2298" s="4" t="n">
        <v>0.3</v>
      </c>
      <c r="G2298" s="5">
        <f>ROUND(E2298*(1+F2298),2)</f>
        <v>4.06</v>
      </c>
      <c r="H2298" s="5">
        <f>ROUND(G2298*NOTAS!$B$2,2)</f>
        <v>2928.66</v>
      </c>
      <c r="I2298" s="6">
        <f>ROUND(G2298*NOTAS!$B$3,0)</f>
        <v>13190</v>
      </c>
      <c r="J2298" s="2" t="n">
        <v>8</v>
      </c>
    </row>
    <row r="2299">
      <c r="A2299" s="2" t="inlineStr">
        <is>
          <t>FO-5003</t>
        </is>
      </c>
      <c r="B2299" s="2" t="inlineStr"/>
      <c r="C2299" s="2" t="inlineStr">
        <is>
          <t>GOMA TRIPOIDE LADO RUEDA CORCEL</t>
        </is>
      </c>
      <c r="D2299" s="2" t="inlineStr">
        <is>
          <t>HERNOL</t>
        </is>
      </c>
      <c r="E2299" s="3" t="n">
        <v>2.38</v>
      </c>
      <c r="F2299" s="4" t="n">
        <v>0.3</v>
      </c>
      <c r="G2299" s="5">
        <f>ROUND(E2299*(1+F2299),2)</f>
        <v>3.09</v>
      </c>
      <c r="H2299" s="5">
        <f>ROUND(G2299*NOTAS!$B$2,2)</f>
        <v>2228.96</v>
      </c>
      <c r="I2299" s="6">
        <f>ROUND(G2299*NOTAS!$B$3,0)</f>
        <v>10039</v>
      </c>
      <c r="J2299" s="2" t="n">
        <v>5</v>
      </c>
    </row>
    <row r="2300">
      <c r="A2300" s="2" t="inlineStr">
        <is>
          <t>TO-4000</t>
        </is>
      </c>
      <c r="B2300" s="2" t="inlineStr"/>
      <c r="C2300" s="2" t="inlineStr">
        <is>
          <t>GOMA TRIPOIDE LADO RUEDA COROLLA</t>
        </is>
      </c>
      <c r="D2300" s="2" t="inlineStr">
        <is>
          <t>HERNOL</t>
        </is>
      </c>
      <c r="E2300" s="3" t="n">
        <v>2.56</v>
      </c>
      <c r="F2300" s="4" t="n">
        <v>0.3</v>
      </c>
      <c r="G2300" s="5">
        <f>ROUND(E2300*(1+F2300),2)</f>
        <v>3.33</v>
      </c>
      <c r="H2300" s="5">
        <f>ROUND(G2300*NOTAS!$B$2,2)</f>
        <v>2402.08</v>
      </c>
      <c r="I2300" s="6">
        <f>ROUND(G2300*NOTAS!$B$3,0)</f>
        <v>10819</v>
      </c>
      <c r="J2300" s="2" t="n">
        <v>22</v>
      </c>
    </row>
    <row r="2301">
      <c r="A2301" s="2" t="inlineStr">
        <is>
          <t>CH-3027</t>
        </is>
      </c>
      <c r="B2301" s="2" t="inlineStr"/>
      <c r="C2301" s="2" t="inlineStr">
        <is>
          <t>GOMA TRIPOIDE LADO RUEDA CORSA/ACCENT</t>
        </is>
      </c>
      <c r="D2301" s="2" t="inlineStr">
        <is>
          <t>HERNOL</t>
        </is>
      </c>
      <c r="E2301" s="3" t="n">
        <v>2.76</v>
      </c>
      <c r="F2301" s="4" t="n">
        <v>0.3</v>
      </c>
      <c r="G2301" s="5">
        <f>ROUND(E2301*(1+F2301),2)</f>
        <v>3.59</v>
      </c>
      <c r="H2301" s="5">
        <f>ROUND(G2301*NOTAS!$B$2,2)</f>
        <v>2589.63</v>
      </c>
      <c r="I2301" s="6">
        <f>ROUND(G2301*NOTAS!$B$3,0)</f>
        <v>11663</v>
      </c>
      <c r="J2301" s="2" t="n">
        <v>5</v>
      </c>
    </row>
    <row r="2302">
      <c r="A2302" s="2" t="inlineStr">
        <is>
          <t>HD-1800</t>
        </is>
      </c>
      <c r="B2302" s="2" t="inlineStr"/>
      <c r="C2302" s="2" t="inlineStr">
        <is>
          <t>GOMA TRIPOIDE LADO RUEDA CORSA/ACCENT</t>
        </is>
      </c>
      <c r="D2302" s="2" t="inlineStr">
        <is>
          <t>HERNOL</t>
        </is>
      </c>
      <c r="E2302" s="3" t="n">
        <v>2.4</v>
      </c>
      <c r="F2302" s="4" t="n">
        <v>0.3</v>
      </c>
      <c r="G2302" s="5">
        <f>ROUND(E2302*(1+F2302),2)</f>
        <v>3.12</v>
      </c>
      <c r="H2302" s="5">
        <f>ROUND(G2302*NOTAS!$B$2,2)</f>
        <v>2250.60</v>
      </c>
      <c r="I2302" s="6">
        <f>ROUND(G2302*NOTAS!$B$3,0)</f>
        <v>10136</v>
      </c>
      <c r="J2302" s="2" t="n">
        <v>16</v>
      </c>
    </row>
    <row r="2303">
      <c r="A2303" s="2" t="inlineStr">
        <is>
          <t>FL-KGT-12</t>
        </is>
      </c>
      <c r="B2303" s="2" t="inlineStr"/>
      <c r="C2303" s="2" t="inlineStr">
        <is>
          <t>GOMA TRIPOIDE LADO RUEDA ECOSPORT</t>
        </is>
      </c>
      <c r="D2303" s="2" t="inlineStr">
        <is>
          <t>FLOAP</t>
        </is>
      </c>
      <c r="E2303" s="3" t="n">
        <v>3.5</v>
      </c>
      <c r="F2303" s="4" t="n">
        <v>0.3</v>
      </c>
      <c r="G2303" s="5">
        <f>ROUND(E2303*(1+F2303),2)</f>
        <v>4.55</v>
      </c>
      <c r="H2303" s="5">
        <f>ROUND(G2303*NOTAS!$B$2,2)</f>
        <v>3282.12</v>
      </c>
      <c r="I2303" s="6">
        <f>ROUND(G2303*NOTAS!$B$3,0)</f>
        <v>14782</v>
      </c>
      <c r="J2303" s="2" t="n">
        <v>7</v>
      </c>
    </row>
    <row r="2304">
      <c r="A2304" s="2" t="inlineStr">
        <is>
          <t>FO-5015</t>
        </is>
      </c>
      <c r="B2304" s="2" t="inlineStr"/>
      <c r="C2304" s="2" t="inlineStr">
        <is>
          <t>GOMA TRIPOIDE LADO RUEDA FIESTA/KA</t>
        </is>
      </c>
      <c r="D2304" s="2" t="inlineStr">
        <is>
          <t>HERNOL</t>
        </is>
      </c>
      <c r="E2304" s="3" t="n">
        <v>2.19</v>
      </c>
      <c r="F2304" s="4" t="n">
        <v>0.3</v>
      </c>
      <c r="G2304" s="5">
        <f>ROUND(E2304*(1+F2304),2)</f>
        <v>2.85</v>
      </c>
      <c r="H2304" s="5">
        <f>ROUND(G2304*NOTAS!$B$2,2)</f>
        <v>2055.83</v>
      </c>
      <c r="I2304" s="6">
        <f>ROUND(G2304*NOTAS!$B$3,0)</f>
        <v>9259</v>
      </c>
      <c r="J2304" s="2" t="n">
        <v>3</v>
      </c>
    </row>
    <row r="2305">
      <c r="A2305" s="2" t="inlineStr">
        <is>
          <t>M-021</t>
        </is>
      </c>
      <c r="B2305" s="2" t="inlineStr"/>
      <c r="C2305" s="2" t="inlineStr">
        <is>
          <t>GOMA TRIPOIDE LADO RUEDA FIESTA/KA</t>
        </is>
      </c>
      <c r="D2305" s="2" t="inlineStr">
        <is>
          <t>MOI GOMAS</t>
        </is>
      </c>
      <c r="E2305" s="3" t="n">
        <v>2</v>
      </c>
      <c r="F2305" s="4" t="n">
        <v>0.3</v>
      </c>
      <c r="G2305" s="5">
        <f>ROUND(E2305*(1+F2305),2)</f>
        <v>2.60</v>
      </c>
      <c r="H2305" s="5">
        <f>ROUND(G2305*NOTAS!$B$2,2)</f>
        <v>1875.50</v>
      </c>
      <c r="I2305" s="6">
        <f>ROUND(G2305*NOTAS!$B$3,0)</f>
        <v>8447</v>
      </c>
      <c r="J2305" s="2" t="n">
        <v>9</v>
      </c>
    </row>
    <row r="2306">
      <c r="A2306" s="2" t="inlineStr">
        <is>
          <t>FI-2003</t>
        </is>
      </c>
      <c r="B2306" s="2" t="inlineStr"/>
      <c r="C2306" s="2" t="inlineStr">
        <is>
          <t>GOMA TRIPOIDE LADO RUEDA F-PAL/SIE</t>
        </is>
      </c>
      <c r="D2306" s="2" t="inlineStr">
        <is>
          <t>HERNOL</t>
        </is>
      </c>
      <c r="E2306" s="3" t="n">
        <v>2.56</v>
      </c>
      <c r="F2306" s="4" t="n">
        <v>0.3</v>
      </c>
      <c r="G2306" s="5">
        <f>ROUND(E2306*(1+F2306),2)</f>
        <v>3.33</v>
      </c>
      <c r="H2306" s="5">
        <f>ROUND(G2306*NOTAS!$B$2,2)</f>
        <v>2402.08</v>
      </c>
      <c r="I2306" s="6">
        <f>ROUND(G2306*NOTAS!$B$3,0)</f>
        <v>10819</v>
      </c>
      <c r="J2306" s="2" t="n">
        <v>1</v>
      </c>
    </row>
    <row r="2307">
      <c r="A2307" s="2" t="inlineStr">
        <is>
          <t>30994</t>
        </is>
      </c>
      <c r="B2307" s="2" t="inlineStr"/>
      <c r="C2307" s="2" t="inlineStr">
        <is>
          <t>GOMA TRIPOIDE LADO RUEDA F-PAL/SIE</t>
        </is>
      </c>
      <c r="D2307" s="2" t="inlineStr">
        <is>
          <t>SPARE</t>
        </is>
      </c>
      <c r="E2307" s="3" t="n">
        <v>3</v>
      </c>
      <c r="F2307" s="4" t="n">
        <v>0.3</v>
      </c>
      <c r="G2307" s="5">
        <f>ROUND(E2307*(1+F2307),2)</f>
        <v>3.90</v>
      </c>
      <c r="H2307" s="5">
        <f>ROUND(G2307*NOTAS!$B$2,2)</f>
        <v>2813.25</v>
      </c>
      <c r="I2307" s="6">
        <f>ROUND(G2307*NOTAS!$B$3,0)</f>
        <v>12671</v>
      </c>
      <c r="J2307" s="2" t="n">
        <v>3</v>
      </c>
    </row>
    <row r="2308">
      <c r="A2308" s="2" t="inlineStr">
        <is>
          <t>20421</t>
        </is>
      </c>
      <c r="B2308" s="2" t="inlineStr"/>
      <c r="C2308" s="2" t="inlineStr">
        <is>
          <t>GOMA TRIPOIDE LADO RUEDA F-PAL/SIE</t>
        </is>
      </c>
      <c r="D2308" s="2" t="inlineStr">
        <is>
          <t>JAIME SERRAT</t>
        </is>
      </c>
      <c r="E2308" s="3" t="n">
        <v>3</v>
      </c>
      <c r="F2308" s="4" t="n">
        <v>0.3</v>
      </c>
      <c r="G2308" s="5">
        <f>ROUND(E2308*(1+F2308),2)</f>
        <v>3.90</v>
      </c>
      <c r="H2308" s="5">
        <f>ROUND(G2308*NOTAS!$B$2,2)</f>
        <v>2813.25</v>
      </c>
      <c r="I2308" s="6">
        <f>ROUND(G2308*NOTAS!$B$3,0)</f>
        <v>12671</v>
      </c>
      <c r="J2308" s="2" t="n">
        <v>1</v>
      </c>
    </row>
    <row r="2309">
      <c r="A2309" s="2" t="inlineStr">
        <is>
          <t>RE-0020</t>
        </is>
      </c>
      <c r="B2309" s="2" t="inlineStr"/>
      <c r="C2309" s="2" t="inlineStr">
        <is>
          <t>GOMA TRIPOIDE LADO RUEDA R-21</t>
        </is>
      </c>
      <c r="D2309" s="2" t="inlineStr">
        <is>
          <t>HERNOL</t>
        </is>
      </c>
      <c r="E2309" s="3" t="n">
        <v>2.64</v>
      </c>
      <c r="F2309" s="4" t="n">
        <v>0.3</v>
      </c>
      <c r="G2309" s="5">
        <f>ROUND(E2309*(1+F2309),2)</f>
        <v>3.43</v>
      </c>
      <c r="H2309" s="5">
        <f>ROUND(G2309*NOTAS!$B$2,2)</f>
        <v>2474.22</v>
      </c>
      <c r="I2309" s="6">
        <f>ROUND(G2309*NOTAS!$B$3,0)</f>
        <v>11144</v>
      </c>
      <c r="J2309" s="2" t="n">
        <v>4</v>
      </c>
    </row>
    <row r="2310">
      <c r="A2310" s="2" t="inlineStr">
        <is>
          <t>FI-2008</t>
        </is>
      </c>
      <c r="B2310" s="2" t="inlineStr"/>
      <c r="C2310" s="2" t="inlineStr">
        <is>
          <t>GOMA TRIPOIDE LADO RUEDA F-PAL/SIE 1.6</t>
        </is>
      </c>
      <c r="D2310" s="2" t="inlineStr">
        <is>
          <t>HERNOL</t>
        </is>
      </c>
      <c r="E2310" s="3" t="n">
        <v>2.6</v>
      </c>
      <c r="F2310" s="4" t="n">
        <v>0.3</v>
      </c>
      <c r="G2310" s="5">
        <f>ROUND(E2310*(1+F2310),2)</f>
        <v>3.38</v>
      </c>
      <c r="H2310" s="5">
        <f>ROUND(G2310*NOTAS!$B$2,2)</f>
        <v>2438.15</v>
      </c>
      <c r="I2310" s="6">
        <f>ROUND(G2310*NOTAS!$B$3,0)</f>
        <v>10981</v>
      </c>
      <c r="J2310" s="2" t="n">
        <v>3</v>
      </c>
    </row>
    <row r="2311">
      <c r="A2311" s="2" t="inlineStr">
        <is>
          <t>20420</t>
        </is>
      </c>
      <c r="B2311" s="2" t="inlineStr"/>
      <c r="C2311" s="2" t="inlineStr">
        <is>
          <t>GOMA TRIPOIDE LADO RUEDA F-UNO/PREMIO</t>
        </is>
      </c>
      <c r="D2311" s="2" t="inlineStr">
        <is>
          <t>JAIME SERRAT</t>
        </is>
      </c>
      <c r="E2311" s="3" t="n">
        <v>3</v>
      </c>
      <c r="F2311" s="4" t="n">
        <v>0.3</v>
      </c>
      <c r="G2311" s="5">
        <f>ROUND(E2311*(1+F2311),2)</f>
        <v>3.90</v>
      </c>
      <c r="H2311" s="5">
        <f>ROUND(G2311*NOTAS!$B$2,2)</f>
        <v>2813.25</v>
      </c>
      <c r="I2311" s="6">
        <f>ROUND(G2311*NOTAS!$B$3,0)</f>
        <v>12671</v>
      </c>
      <c r="J2311" s="2" t="n">
        <v>3</v>
      </c>
    </row>
    <row r="2312">
      <c r="A2312" s="2" t="inlineStr">
        <is>
          <t>CH-3000</t>
        </is>
      </c>
      <c r="B2312" s="2" t="inlineStr"/>
      <c r="C2312" s="2" t="inlineStr">
        <is>
          <t>GOMA TRIPOIDE LADO RUEDA MONZA</t>
        </is>
      </c>
      <c r="D2312" s="2" t="inlineStr">
        <is>
          <t>HERNOL</t>
        </is>
      </c>
      <c r="E2312" s="3" t="n">
        <v>2.48</v>
      </c>
      <c r="F2312" s="4" t="n">
        <v>0.3</v>
      </c>
      <c r="G2312" s="5">
        <f>ROUND(E2312*(1+F2312),2)</f>
        <v>3.22</v>
      </c>
      <c r="H2312" s="5">
        <f>ROUND(G2312*NOTAS!$B$2,2)</f>
        <v>2322.73</v>
      </c>
      <c r="I2312" s="6">
        <f>ROUND(G2312*NOTAS!$B$3,0)</f>
        <v>10461</v>
      </c>
      <c r="J2312" s="2" t="n">
        <v>4</v>
      </c>
    </row>
    <row r="2313">
      <c r="A2313" s="2" t="inlineStr">
        <is>
          <t>DW-1703</t>
        </is>
      </c>
      <c r="B2313" s="2" t="inlineStr"/>
      <c r="C2313" s="2" t="inlineStr">
        <is>
          <t>GOMA TRIPOIDE LADO RUEDA NUBIRA/ESPERO</t>
        </is>
      </c>
      <c r="D2313" s="2" t="inlineStr">
        <is>
          <t>HERNOL</t>
        </is>
      </c>
      <c r="E2313" s="3" t="n">
        <v>3.16</v>
      </c>
      <c r="F2313" s="4" t="n">
        <v>0.3</v>
      </c>
      <c r="G2313" s="5">
        <f>ROUND(E2313*(1+F2313),2)</f>
        <v>4.11</v>
      </c>
      <c r="H2313" s="5">
        <f>ROUND(G2313*NOTAS!$B$2,2)</f>
        <v>2964.73</v>
      </c>
      <c r="I2313" s="6">
        <f>ROUND(G2313*NOTAS!$B$3,0)</f>
        <v>13353</v>
      </c>
      <c r="J2313" s="2" t="n">
        <v>25</v>
      </c>
    </row>
    <row r="2314">
      <c r="A2314" s="2" t="inlineStr">
        <is>
          <t>RE-0007</t>
        </is>
      </c>
      <c r="B2314" s="2" t="inlineStr"/>
      <c r="C2314" s="2" t="inlineStr">
        <is>
          <t>GOMA TRIPOIDE LADO RUEDA R-11</t>
        </is>
      </c>
      <c r="D2314" s="2" t="inlineStr">
        <is>
          <t>HERNOL</t>
        </is>
      </c>
      <c r="E2314" s="3" t="n">
        <v>2.64</v>
      </c>
      <c r="F2314" s="4" t="n">
        <v>0.3</v>
      </c>
      <c r="G2314" s="5">
        <f>ROUND(E2314*(1+F2314),2)</f>
        <v>3.43</v>
      </c>
      <c r="H2314" s="5">
        <f>ROUND(G2314*NOTAS!$B$2,2)</f>
        <v>2474.22</v>
      </c>
      <c r="I2314" s="6">
        <f>ROUND(G2314*NOTAS!$B$3,0)</f>
        <v>11144</v>
      </c>
      <c r="J2314" s="2" t="n">
        <v>5</v>
      </c>
    </row>
    <row r="2315">
      <c r="A2315" s="2" t="inlineStr"/>
      <c r="B2315" s="2" t="inlineStr"/>
      <c r="C2315" s="2" t="inlineStr">
        <is>
          <t>GOMA TRIPOIDE LADO RUEDA R-11</t>
        </is>
      </c>
      <c r="D2315" s="2" t="inlineStr">
        <is>
          <t>ORIGINAL BIRTH</t>
        </is>
      </c>
      <c r="E2315" s="3" t="n">
        <v>3</v>
      </c>
      <c r="F2315" s="4" t="n">
        <v>0.3</v>
      </c>
      <c r="G2315" s="5">
        <f>ROUND(E2315*(1+F2315),2)</f>
        <v>3.90</v>
      </c>
      <c r="H2315" s="5">
        <f>ROUND(G2315*NOTAS!$B$2,2)</f>
        <v>2813.25</v>
      </c>
      <c r="I2315" s="6">
        <f>ROUND(G2315*NOTAS!$B$3,0)</f>
        <v>12671</v>
      </c>
      <c r="J2315" s="2" t="n">
        <v>7</v>
      </c>
    </row>
    <row r="2316">
      <c r="A2316" s="2" t="inlineStr">
        <is>
          <t>RE-0005C</t>
        </is>
      </c>
      <c r="B2316" s="2" t="inlineStr"/>
      <c r="C2316" s="2" t="inlineStr">
        <is>
          <t>GOMA TRIPOIDE LADO RUEDA R-12</t>
        </is>
      </c>
      <c r="D2316" s="2" t="inlineStr">
        <is>
          <t>HERNOL</t>
        </is>
      </c>
      <c r="E2316" s="3" t="n">
        <v>2.32</v>
      </c>
      <c r="F2316" s="4" t="n">
        <v>0.3</v>
      </c>
      <c r="G2316" s="5">
        <f>ROUND(E2316*(1+F2316),2)</f>
        <v>3.02</v>
      </c>
      <c r="H2316" s="5">
        <f>ROUND(G2316*NOTAS!$B$2,2)</f>
        <v>2178.46</v>
      </c>
      <c r="I2316" s="6">
        <f>ROUND(G2316*NOTAS!$B$3,0)</f>
        <v>9812</v>
      </c>
      <c r="J2316" s="2" t="n">
        <v>25</v>
      </c>
    </row>
    <row r="2317">
      <c r="A2317" s="2" t="inlineStr">
        <is>
          <t>RE-0015</t>
        </is>
      </c>
      <c r="B2317" s="2" t="inlineStr"/>
      <c r="C2317" s="2" t="inlineStr">
        <is>
          <t>GOMA TRIPOIDE LADO RUEDA R-18/FUEGO</t>
        </is>
      </c>
      <c r="D2317" s="2" t="inlineStr">
        <is>
          <t>HERNOL</t>
        </is>
      </c>
      <c r="E2317" s="3" t="n">
        <v>2.64</v>
      </c>
      <c r="F2317" s="4" t="n">
        <v>0.3</v>
      </c>
      <c r="G2317" s="5">
        <f>ROUND(E2317*(1+F2317),2)</f>
        <v>3.43</v>
      </c>
      <c r="H2317" s="5">
        <f>ROUND(G2317*NOTAS!$B$2,2)</f>
        <v>2474.22</v>
      </c>
      <c r="I2317" s="6">
        <f>ROUND(G2317*NOTAS!$B$3,0)</f>
        <v>11144</v>
      </c>
      <c r="J2317" s="2" t="n">
        <v>18</v>
      </c>
    </row>
    <row r="2318">
      <c r="A2318" s="2" t="inlineStr">
        <is>
          <t>RE-0023</t>
        </is>
      </c>
      <c r="B2318" s="2" t="inlineStr"/>
      <c r="C2318" s="2" t="inlineStr">
        <is>
          <t>GOMA TRIPOIDE LADO RUEDA R-19/SYMBOL</t>
        </is>
      </c>
      <c r="D2318" s="2" t="inlineStr">
        <is>
          <t>HERNOL</t>
        </is>
      </c>
      <c r="E2318" s="3" t="n">
        <v>3.67</v>
      </c>
      <c r="F2318" s="4" t="n">
        <v>0.3</v>
      </c>
      <c r="G2318" s="5">
        <f>ROUND(E2318*(1+F2318),2)</f>
        <v>4.77</v>
      </c>
      <c r="H2318" s="5">
        <f>ROUND(G2318*NOTAS!$B$2,2)</f>
        <v>3440.82</v>
      </c>
      <c r="I2318" s="6">
        <f>ROUND(G2318*NOTAS!$B$3,0)</f>
        <v>15497</v>
      </c>
      <c r="J2318" s="2" t="n">
        <v>5</v>
      </c>
    </row>
    <row r="2319">
      <c r="A2319" s="2" t="inlineStr">
        <is>
          <t>RE-0019</t>
        </is>
      </c>
      <c r="B2319" s="2" t="inlineStr"/>
      <c r="C2319" s="2" t="inlineStr">
        <is>
          <t>GOMA TRIPOIDE LADO RUEDA R-21</t>
        </is>
      </c>
      <c r="D2319" s="2" t="inlineStr">
        <is>
          <t>HERNOL</t>
        </is>
      </c>
      <c r="E2319" s="3" t="n">
        <v>2.64</v>
      </c>
      <c r="F2319" s="4" t="n">
        <v>0.3</v>
      </c>
      <c r="G2319" s="5">
        <f>ROUND(E2319*(1+F2319),2)</f>
        <v>3.43</v>
      </c>
      <c r="H2319" s="5">
        <f>ROUND(G2319*NOTAS!$B$2,2)</f>
        <v>2474.22</v>
      </c>
      <c r="I2319" s="6">
        <f>ROUND(G2319*NOTAS!$B$3,0)</f>
        <v>11144</v>
      </c>
      <c r="J2319" s="2" t="n">
        <v>4</v>
      </c>
    </row>
    <row r="2320">
      <c r="A2320" s="2" t="inlineStr">
        <is>
          <t>RE-0001</t>
        </is>
      </c>
      <c r="B2320" s="2" t="inlineStr"/>
      <c r="C2320" s="2" t="inlineStr">
        <is>
          <t>GOMA TRIPOIDE LADO RUEDA R-5</t>
        </is>
      </c>
      <c r="D2320" s="2" t="inlineStr">
        <is>
          <t>HERNOL</t>
        </is>
      </c>
      <c r="E2320" s="3" t="n">
        <v>2.32</v>
      </c>
      <c r="F2320" s="4" t="n">
        <v>0.3</v>
      </c>
      <c r="G2320" s="5">
        <f>ROUND(E2320*(1+F2320),2)</f>
        <v>3.02</v>
      </c>
      <c r="H2320" s="5">
        <f>ROUND(G2320*NOTAS!$B$2,2)</f>
        <v>2178.46</v>
      </c>
      <c r="I2320" s="6">
        <f>ROUND(G2320*NOTAS!$B$3,0)</f>
        <v>9812</v>
      </c>
      <c r="J2320" s="2" t="n">
        <v>1</v>
      </c>
    </row>
    <row r="2321">
      <c r="A2321" s="2" t="inlineStr">
        <is>
          <t>7273/A</t>
        </is>
      </c>
      <c r="B2321" s="2" t="inlineStr"/>
      <c r="C2321" s="2" t="inlineStr">
        <is>
          <t>GOMA TRIPOIDE LADO RUEDA R-CLIO</t>
        </is>
      </c>
      <c r="D2321" s="2" t="inlineStr">
        <is>
          <t>ORIGINAL BIRTH</t>
        </is>
      </c>
      <c r="E2321" s="3" t="n">
        <v>3</v>
      </c>
      <c r="F2321" s="4" t="n">
        <v>0.3</v>
      </c>
      <c r="G2321" s="5">
        <f>ROUND(E2321*(1+F2321),2)</f>
        <v>3.90</v>
      </c>
      <c r="H2321" s="5">
        <f>ROUND(G2321*NOTAS!$B$2,2)</f>
        <v>2813.25</v>
      </c>
      <c r="I2321" s="6">
        <f>ROUND(G2321*NOTAS!$B$3,0)</f>
        <v>12671</v>
      </c>
      <c r="J2321" s="2" t="n">
        <v>9</v>
      </c>
    </row>
    <row r="2322">
      <c r="A2322" s="2" t="inlineStr">
        <is>
          <t>RE-0027</t>
        </is>
      </c>
      <c r="B2322" s="2" t="inlineStr"/>
      <c r="C2322" s="2" t="inlineStr">
        <is>
          <t>GOMA TRIPOIDE LADO RUEDA R-LOGAN</t>
        </is>
      </c>
      <c r="D2322" s="2" t="inlineStr">
        <is>
          <t>HERNOL</t>
        </is>
      </c>
      <c r="E2322" s="3" t="n">
        <v>2.27</v>
      </c>
      <c r="F2322" s="4" t="n">
        <v>0.3</v>
      </c>
      <c r="G2322" s="5">
        <f>ROUND(E2322*(1+F2322),2)</f>
        <v>2.95</v>
      </c>
      <c r="H2322" s="5">
        <f>ROUND(G2322*NOTAS!$B$2,2)</f>
        <v>2127.97</v>
      </c>
      <c r="I2322" s="6">
        <f>ROUND(G2322*NOTAS!$B$3,0)</f>
        <v>9584</v>
      </c>
      <c r="J2322" s="2" t="n">
        <v>2</v>
      </c>
    </row>
    <row r="2323">
      <c r="A2323" s="2" t="inlineStr">
        <is>
          <t>34800I</t>
        </is>
      </c>
      <c r="B2323" s="2" t="inlineStr"/>
      <c r="C2323" s="2" t="inlineStr">
        <is>
          <t>GOMA TRIPOIDE LADO RUEDA R-MEGANE II/TWINGO/LOGAN/SENDERO/SCENIC</t>
        </is>
      </c>
      <c r="D2323" s="2" t="inlineStr">
        <is>
          <t>ORIGINAL BIRTH</t>
        </is>
      </c>
      <c r="E2323" s="3" t="n">
        <v>3</v>
      </c>
      <c r="F2323" s="4" t="n">
        <v>0.3</v>
      </c>
      <c r="G2323" s="5">
        <f>ROUND(E2323*(1+F2323),2)</f>
        <v>3.90</v>
      </c>
      <c r="H2323" s="5">
        <f>ROUND(G2323*NOTAS!$B$2,2)</f>
        <v>2813.25</v>
      </c>
      <c r="I2323" s="6">
        <f>ROUND(G2323*NOTAS!$B$3,0)</f>
        <v>12671</v>
      </c>
      <c r="J2323" s="2" t="n">
        <v>6</v>
      </c>
    </row>
    <row r="2324">
      <c r="A2324" s="2" t="inlineStr">
        <is>
          <t>RE-0025</t>
        </is>
      </c>
      <c r="B2324" s="2" t="inlineStr"/>
      <c r="C2324" s="2" t="inlineStr">
        <is>
          <t>GOMA TRIPOIDE LADO RUEDA R-MEGANE II/TWINGO/LOGAN/SENDERO/SCENIC</t>
        </is>
      </c>
      <c r="D2324" s="2" t="inlineStr">
        <is>
          <t>HERNOL</t>
        </is>
      </c>
      <c r="E2324" s="3" t="n">
        <v>3.28</v>
      </c>
      <c r="F2324" s="4" t="n">
        <v>0.3</v>
      </c>
      <c r="G2324" s="5">
        <f>ROUND(E2324*(1+F2324),2)</f>
        <v>4.26</v>
      </c>
      <c r="H2324" s="5">
        <f>ROUND(G2324*NOTAS!$B$2,2)</f>
        <v>3072.93</v>
      </c>
      <c r="I2324" s="6">
        <f>ROUND(G2324*NOTAS!$B$3,0)</f>
        <v>13840</v>
      </c>
      <c r="J2324" s="2" t="n">
        <v>15</v>
      </c>
    </row>
    <row r="2325">
      <c r="A2325" s="2" t="inlineStr">
        <is>
          <t>NS-8101</t>
        </is>
      </c>
      <c r="B2325" s="2" t="inlineStr"/>
      <c r="C2325" s="2" t="inlineStr">
        <is>
          <t>GOMA TRIPOIDE LADO RUEDA SENTRA</t>
        </is>
      </c>
      <c r="D2325" s="2" t="inlineStr">
        <is>
          <t>HERNOL</t>
        </is>
      </c>
      <c r="E2325" s="3" t="n">
        <v>3.36</v>
      </c>
      <c r="F2325" s="4" t="n">
        <v>0.3</v>
      </c>
      <c r="G2325" s="5">
        <f>ROUND(E2325*(1+F2325),2)</f>
        <v>4.37</v>
      </c>
      <c r="H2325" s="5">
        <f>ROUND(G2325*NOTAS!$B$2,2)</f>
        <v>3152.28</v>
      </c>
      <c r="I2325" s="6">
        <f>ROUND(G2325*NOTAS!$B$3,0)</f>
        <v>14198</v>
      </c>
      <c r="J2325" s="2" t="n">
        <v>3</v>
      </c>
    </row>
    <row r="2326">
      <c r="A2326" s="2" t="inlineStr">
        <is>
          <t>CH-3037</t>
        </is>
      </c>
      <c r="B2326" s="2" t="inlineStr"/>
      <c r="C2326" s="2" t="inlineStr">
        <is>
          <t>GOMA TRIPOIDE LADO RUEDA SPARK</t>
        </is>
      </c>
      <c r="D2326" s="2" t="inlineStr">
        <is>
          <t>HERNOL</t>
        </is>
      </c>
      <c r="E2326" s="3" t="n">
        <v>2.56</v>
      </c>
      <c r="F2326" s="4" t="n">
        <v>0.3</v>
      </c>
      <c r="G2326" s="5">
        <f>ROUND(E2326*(1+F2326),2)</f>
        <v>3.33</v>
      </c>
      <c r="H2326" s="5">
        <f>ROUND(G2326*NOTAS!$B$2,2)</f>
        <v>2402.08</v>
      </c>
      <c r="I2326" s="6">
        <f>ROUND(G2326*NOTAS!$B$3,0)</f>
        <v>10819</v>
      </c>
      <c r="J2326" s="2" t="n">
        <v>6</v>
      </c>
    </row>
    <row r="2327">
      <c r="A2327" s="2" t="inlineStr">
        <is>
          <t>TO-4009</t>
        </is>
      </c>
      <c r="B2327" s="2" t="inlineStr"/>
      <c r="C2327" s="2" t="inlineStr">
        <is>
          <t>GOMA TRIPOIDE LADO RUEDA STARLET</t>
        </is>
      </c>
      <c r="D2327" s="2" t="inlineStr">
        <is>
          <t>HERNOL</t>
        </is>
      </c>
      <c r="E2327" s="3" t="n">
        <v>3.2</v>
      </c>
      <c r="F2327" s="4" t="n">
        <v>0.3</v>
      </c>
      <c r="G2327" s="5">
        <f>ROUND(E2327*(1+F2327),2)</f>
        <v>4.16</v>
      </c>
      <c r="H2327" s="5">
        <f>ROUND(G2327*NOTAS!$B$2,2)</f>
        <v>3000.80</v>
      </c>
      <c r="I2327" s="6">
        <f>ROUND(G2327*NOTAS!$B$3,0)</f>
        <v>13515</v>
      </c>
      <c r="J2327" s="2" t="n">
        <v>4</v>
      </c>
    </row>
    <row r="2328">
      <c r="A2328" s="2" t="inlineStr"/>
      <c r="B2328" s="2" t="inlineStr"/>
      <c r="C2328" s="2" t="inlineStr">
        <is>
          <t>GOMA TRIPOIDE TRASERO SIERRA</t>
        </is>
      </c>
      <c r="D2328" s="2" t="inlineStr">
        <is>
          <t>HERNOL</t>
        </is>
      </c>
      <c r="E2328" s="3" t="n">
        <v>1</v>
      </c>
      <c r="F2328" s="4" t="n">
        <v>0.3</v>
      </c>
      <c r="G2328" s="5">
        <f>ROUND(E2328*(1+F2328),2)</f>
        <v>1.30</v>
      </c>
      <c r="H2328" s="5">
        <f>ROUND(G2328*NOTAS!$B$2,2)</f>
        <v>937.75</v>
      </c>
      <c r="I2328" s="6">
        <f>ROUND(G2328*NOTAS!$B$3,0)</f>
        <v>4224</v>
      </c>
      <c r="J2328" s="2" t="n">
        <v>11</v>
      </c>
    </row>
    <row r="2329">
      <c r="A2329" s="2" t="inlineStr">
        <is>
          <t>60932</t>
        </is>
      </c>
      <c r="B2329" s="2" t="inlineStr"/>
      <c r="C2329" s="2" t="inlineStr">
        <is>
          <t>GRADUACION FRENO DER CIELO/LANOS</t>
        </is>
      </c>
      <c r="D2329" s="2" t="inlineStr">
        <is>
          <t>BS</t>
        </is>
      </c>
      <c r="E2329" s="3" t="n">
        <v>9.2308</v>
      </c>
      <c r="F2329" s="4" t="n">
        <v>0.3</v>
      </c>
      <c r="G2329" s="5">
        <f>ROUND(E2329*(1+F2329),2)</f>
        <v>12.00</v>
      </c>
      <c r="H2329" s="5">
        <f>ROUND(G2329*NOTAS!$B$2,2)</f>
        <v>8656.15</v>
      </c>
      <c r="I2329" s="6">
        <f>ROUND(G2329*NOTAS!$B$3,0)</f>
        <v>38986</v>
      </c>
      <c r="J2329" s="2" t="n">
        <v>4</v>
      </c>
    </row>
    <row r="2330">
      <c r="A2330" s="2" t="inlineStr">
        <is>
          <t>61008</t>
        </is>
      </c>
      <c r="B2330" s="2" t="inlineStr"/>
      <c r="C2330" s="2" t="inlineStr">
        <is>
          <t>GRADUACION FRENO DER R-19</t>
        </is>
      </c>
      <c r="D2330" s="2" t="inlineStr">
        <is>
          <t>BS</t>
        </is>
      </c>
      <c r="E2330" s="3" t="n">
        <v>9.2308</v>
      </c>
      <c r="F2330" s="4" t="n">
        <v>0.3</v>
      </c>
      <c r="G2330" s="5">
        <f>ROUND(E2330*(1+F2330),2)</f>
        <v>12.00</v>
      </c>
      <c r="H2330" s="5">
        <f>ROUND(G2330*NOTAS!$B$2,2)</f>
        <v>8656.15</v>
      </c>
      <c r="I2330" s="6">
        <f>ROUND(G2330*NOTAS!$B$3,0)</f>
        <v>38986</v>
      </c>
      <c r="J2330" s="2" t="n">
        <v>7</v>
      </c>
    </row>
    <row r="2331">
      <c r="A2331" s="2" t="inlineStr">
        <is>
          <t>60931</t>
        </is>
      </c>
      <c r="B2331" s="2" t="inlineStr"/>
      <c r="C2331" s="2" t="inlineStr">
        <is>
          <t>GRADUACION FRENO IZQ CIELO/LANOS</t>
        </is>
      </c>
      <c r="D2331" s="2" t="inlineStr">
        <is>
          <t>BS</t>
        </is>
      </c>
      <c r="E2331" s="3" t="n">
        <v>9.2308</v>
      </c>
      <c r="F2331" s="4" t="n">
        <v>0.3</v>
      </c>
      <c r="G2331" s="5">
        <f>ROUND(E2331*(1+F2331),2)</f>
        <v>12.00</v>
      </c>
      <c r="H2331" s="5">
        <f>ROUND(G2331*NOTAS!$B$2,2)</f>
        <v>8656.15</v>
      </c>
      <c r="I2331" s="6">
        <f>ROUND(G2331*NOTAS!$B$3,0)</f>
        <v>38986</v>
      </c>
      <c r="J2331" s="2" t="n">
        <v>3</v>
      </c>
    </row>
    <row r="2332">
      <c r="A2332" s="2" t="inlineStr">
        <is>
          <t>415</t>
        </is>
      </c>
      <c r="B2332" s="2" t="inlineStr"/>
      <c r="C2332" s="2" t="inlineStr">
        <is>
          <t>GRADUACION FRENO IZQ F-PALIO/SIENA</t>
        </is>
      </c>
      <c r="D2332" s="2" t="inlineStr">
        <is>
          <t>CECCARELLI</t>
        </is>
      </c>
      <c r="E2332" s="3" t="n">
        <v>9.2308</v>
      </c>
      <c r="F2332" s="4" t="n">
        <v>0.3</v>
      </c>
      <c r="G2332" s="5">
        <f>ROUND(E2332*(1+F2332),2)</f>
        <v>12.00</v>
      </c>
      <c r="H2332" s="5">
        <f>ROUND(G2332*NOTAS!$B$2,2)</f>
        <v>8656.15</v>
      </c>
      <c r="I2332" s="6">
        <f>ROUND(G2332*NOTAS!$B$3,0)</f>
        <v>38986</v>
      </c>
      <c r="J2332" s="2" t="n">
        <v>2</v>
      </c>
    </row>
    <row r="2333">
      <c r="A2333" s="2" t="inlineStr">
        <is>
          <t>61009</t>
        </is>
      </c>
      <c r="B2333" s="2" t="inlineStr"/>
      <c r="C2333" s="2" t="inlineStr">
        <is>
          <t>GRADUACION FRENO IZQ R-19</t>
        </is>
      </c>
      <c r="D2333" s="2" t="inlineStr">
        <is>
          <t>BS</t>
        </is>
      </c>
      <c r="E2333" s="3" t="n">
        <v>9.2308</v>
      </c>
      <c r="F2333" s="4" t="n">
        <v>0.3</v>
      </c>
      <c r="G2333" s="5">
        <f>ROUND(E2333*(1+F2333),2)</f>
        <v>12.00</v>
      </c>
      <c r="H2333" s="5">
        <f>ROUND(G2333*NOTAS!$B$2,2)</f>
        <v>8656.15</v>
      </c>
      <c r="I2333" s="6">
        <f>ROUND(G2333*NOTAS!$B$3,0)</f>
        <v>38986</v>
      </c>
      <c r="J2333" s="2" t="n">
        <v>5</v>
      </c>
    </row>
    <row r="2334">
      <c r="A2334" s="2" t="inlineStr">
        <is>
          <t>10951</t>
        </is>
      </c>
      <c r="B2334" s="2" t="inlineStr"/>
      <c r="C2334" s="2" t="inlineStr">
        <is>
          <t>GUARDAPOLVO AMORTIGUADOR DELANTERO CORSA</t>
        </is>
      </c>
      <c r="D2334" s="2" t="inlineStr">
        <is>
          <t>JAIME SERRAT</t>
        </is>
      </c>
      <c r="E2334" s="3" t="n">
        <v>6.25</v>
      </c>
      <c r="F2334" s="4" t="n">
        <v>0.3</v>
      </c>
      <c r="G2334" s="5">
        <f>ROUND(E2334*(1+F2334),2)</f>
        <v>8.13</v>
      </c>
      <c r="H2334" s="5">
        <f>ROUND(G2334*NOTAS!$B$2,2)</f>
        <v>5864.54</v>
      </c>
      <c r="I2334" s="6">
        <f>ROUND(G2334*NOTAS!$B$3,0)</f>
        <v>26413</v>
      </c>
      <c r="J2334" s="2" t="n">
        <v>0</v>
      </c>
    </row>
    <row r="2335">
      <c r="A2335" s="2" t="inlineStr">
        <is>
          <t>63001</t>
        </is>
      </c>
      <c r="B2335" s="2" t="inlineStr"/>
      <c r="C2335" s="2" t="inlineStr">
        <is>
          <t>GUARDAPOLVO AMORTIGUADOR DELANTERO FESTIVA</t>
        </is>
      </c>
      <c r="D2335" s="2" t="inlineStr">
        <is>
          <t>JAFERPA</t>
        </is>
      </c>
      <c r="E2335" s="3" t="n">
        <v>5.3846</v>
      </c>
      <c r="F2335" s="4" t="n">
        <v>0.3</v>
      </c>
      <c r="G2335" s="5">
        <f>ROUND(E2335*(1+F2335),2)</f>
        <v>7.00</v>
      </c>
      <c r="H2335" s="5">
        <f>ROUND(G2335*NOTAS!$B$2,2)</f>
        <v>5049.42</v>
      </c>
      <c r="I2335" s="6">
        <f>ROUND(G2335*NOTAS!$B$3,0)</f>
        <v>22742</v>
      </c>
      <c r="J2335" s="2" t="n">
        <v>2</v>
      </c>
    </row>
    <row r="2336">
      <c r="A2336" s="2" t="inlineStr">
        <is>
          <t>SK227S</t>
        </is>
      </c>
      <c r="B2336" s="2" t="inlineStr"/>
      <c r="C2336" s="2" t="inlineStr">
        <is>
          <t>GUARDAPOLVO AMORTIGUADOR DELANTERO FIESTA</t>
        </is>
      </c>
      <c r="D2336" s="2" t="inlineStr">
        <is>
          <t>SAMPEL</t>
        </is>
      </c>
      <c r="E2336" s="3" t="n">
        <v>5.3846</v>
      </c>
      <c r="F2336" s="4" t="n">
        <v>0.3</v>
      </c>
      <c r="G2336" s="5">
        <f>ROUND(E2336*(1+F2336),2)</f>
        <v>7.00</v>
      </c>
      <c r="H2336" s="5">
        <f>ROUND(G2336*NOTAS!$B$2,2)</f>
        <v>5049.42</v>
      </c>
      <c r="I2336" s="6">
        <f>ROUND(G2336*NOTAS!$B$3,0)</f>
        <v>22742</v>
      </c>
      <c r="J2336" s="2" t="n">
        <v>1</v>
      </c>
    </row>
    <row r="2337">
      <c r="A2337" s="2" t="inlineStr">
        <is>
          <t>SK309S</t>
        </is>
      </c>
      <c r="B2337" s="2" t="inlineStr"/>
      <c r="C2337" s="2" t="inlineStr">
        <is>
          <t>GUARDAPOLVO AMORTIGUADOR TRASERO CORSA</t>
        </is>
      </c>
      <c r="D2337" s="2" t="inlineStr">
        <is>
          <t>SAMPEL</t>
        </is>
      </c>
      <c r="E2337" s="3" t="n">
        <v>4.6154</v>
      </c>
      <c r="F2337" s="4" t="n">
        <v>0.3</v>
      </c>
      <c r="G2337" s="5">
        <f>ROUND(E2337*(1+F2337),2)</f>
        <v>6.00</v>
      </c>
      <c r="H2337" s="5">
        <f>ROUND(G2337*NOTAS!$B$2,2)</f>
        <v>4328.07</v>
      </c>
      <c r="I2337" s="6">
        <f>ROUND(G2337*NOTAS!$B$3,0)</f>
        <v>19493</v>
      </c>
      <c r="J2337" s="2" t="n">
        <v>2</v>
      </c>
    </row>
    <row r="2338">
      <c r="A2338" s="2" t="inlineStr">
        <is>
          <t>63002</t>
        </is>
      </c>
      <c r="B2338" s="2" t="inlineStr"/>
      <c r="C2338" s="2" t="inlineStr">
        <is>
          <t>GUARDAPOLVO AMORTIGUADOR TRASERO FESTIVA</t>
        </is>
      </c>
      <c r="D2338" s="2" t="inlineStr">
        <is>
          <t>ZIZAS</t>
        </is>
      </c>
      <c r="E2338" s="3" t="n">
        <v>4.6154</v>
      </c>
      <c r="F2338" s="4" t="n">
        <v>0.3</v>
      </c>
      <c r="G2338" s="5">
        <f>ROUND(E2338*(1+F2338),2)</f>
        <v>6.00</v>
      </c>
      <c r="H2338" s="5">
        <f>ROUND(G2338*NOTAS!$B$2,2)</f>
        <v>4328.07</v>
      </c>
      <c r="I2338" s="6">
        <f>ROUND(G2338*NOTAS!$B$3,0)</f>
        <v>19493</v>
      </c>
      <c r="J2338" s="2" t="n">
        <v>2</v>
      </c>
    </row>
    <row r="2339">
      <c r="A2339" s="2" t="inlineStr">
        <is>
          <t>CH-3051</t>
        </is>
      </c>
      <c r="B2339" s="2" t="inlineStr"/>
      <c r="C2339" s="2" t="inlineStr">
        <is>
          <t>GUARDAPOLVO CAJA DIRECCION CHEVETTE</t>
        </is>
      </c>
      <c r="D2339" s="2" t="inlineStr">
        <is>
          <t>HERNOL</t>
        </is>
      </c>
      <c r="E2339" s="3" t="n">
        <v>2.64</v>
      </c>
      <c r="F2339" s="4" t="n">
        <v>0.3</v>
      </c>
      <c r="G2339" s="5">
        <f>ROUND(E2339*(1+F2339),2)</f>
        <v>3.43</v>
      </c>
      <c r="H2339" s="5">
        <f>ROUND(G2339*NOTAS!$B$2,2)</f>
        <v>2474.22</v>
      </c>
      <c r="I2339" s="6">
        <f>ROUND(G2339*NOTAS!$B$3,0)</f>
        <v>11144</v>
      </c>
      <c r="J2339" s="2" t="n">
        <v>1</v>
      </c>
    </row>
    <row r="2340">
      <c r="A2340" s="2" t="inlineStr"/>
      <c r="B2340" s="2" t="inlineStr"/>
      <c r="C2340" s="2" t="inlineStr">
        <is>
          <t>GUARDAPOLVO CAJA DIRECCION COROLLA</t>
        </is>
      </c>
      <c r="D2340" s="2" t="inlineStr">
        <is>
          <t>HERNOL</t>
        </is>
      </c>
      <c r="E2340" s="3" t="n">
        <v>2.64</v>
      </c>
      <c r="F2340" s="4" t="n">
        <v>0.3</v>
      </c>
      <c r="G2340" s="5">
        <f>ROUND(E2340*(1+F2340),2)</f>
        <v>3.43</v>
      </c>
      <c r="H2340" s="5">
        <f>ROUND(G2340*NOTAS!$B$2,2)</f>
        <v>2474.22</v>
      </c>
      <c r="I2340" s="6">
        <f>ROUND(G2340*NOTAS!$B$3,0)</f>
        <v>11144</v>
      </c>
      <c r="J2340" s="2" t="n">
        <v>4</v>
      </c>
    </row>
    <row r="2341">
      <c r="A2341" s="2" t="inlineStr">
        <is>
          <t>FI-2034</t>
        </is>
      </c>
      <c r="B2341" s="2" t="inlineStr"/>
      <c r="C2341" s="2" t="inlineStr">
        <is>
          <t>GUARDAPOLVO CAJA DIRECCION F-PAL/SIE</t>
        </is>
      </c>
      <c r="D2341" s="2" t="inlineStr">
        <is>
          <t>HERNOL</t>
        </is>
      </c>
      <c r="E2341" s="3" t="n">
        <v>3.2</v>
      </c>
      <c r="F2341" s="4" t="n">
        <v>0.3</v>
      </c>
      <c r="G2341" s="5">
        <f>ROUND(E2341*(1+F2341),2)</f>
        <v>4.16</v>
      </c>
      <c r="H2341" s="5">
        <f>ROUND(G2341*NOTAS!$B$2,2)</f>
        <v>3000.80</v>
      </c>
      <c r="I2341" s="6">
        <f>ROUND(G2341*NOTAS!$B$3,0)</f>
        <v>13515</v>
      </c>
      <c r="J2341" s="2" t="n">
        <v>4</v>
      </c>
    </row>
    <row r="2342">
      <c r="A2342" s="2" t="inlineStr">
        <is>
          <t>FI-2030</t>
        </is>
      </c>
      <c r="B2342" s="2" t="inlineStr"/>
      <c r="C2342" s="2" t="inlineStr">
        <is>
          <t>GUARDAPOLVO CAJA DIRECCION F-REGATA/RITMO</t>
        </is>
      </c>
      <c r="D2342" s="2" t="inlineStr">
        <is>
          <t>HERNOL</t>
        </is>
      </c>
      <c r="E2342" s="3" t="n">
        <v>2.24</v>
      </c>
      <c r="F2342" s="4" t="n">
        <v>0.3</v>
      </c>
      <c r="G2342" s="5">
        <f>ROUND(E2342*(1+F2342),2)</f>
        <v>2.91</v>
      </c>
      <c r="H2342" s="5">
        <f>ROUND(G2342*NOTAS!$B$2,2)</f>
        <v>2099.12</v>
      </c>
      <c r="I2342" s="6">
        <f>ROUND(G2342*NOTAS!$B$3,0)</f>
        <v>9454</v>
      </c>
      <c r="J2342" s="2" t="n">
        <v>42</v>
      </c>
    </row>
    <row r="2343">
      <c r="A2343" s="2" t="inlineStr">
        <is>
          <t>FI-2031</t>
        </is>
      </c>
      <c r="B2343" s="2" t="inlineStr"/>
      <c r="C2343" s="2" t="inlineStr">
        <is>
          <t>GUARDAPOLVO CAJA DIRECCION F-UNO/PREMIO CORTO</t>
        </is>
      </c>
      <c r="D2343" s="2" t="inlineStr">
        <is>
          <t>HERNOL</t>
        </is>
      </c>
      <c r="E2343" s="3" t="n">
        <v>2.24</v>
      </c>
      <c r="F2343" s="4" t="n">
        <v>0.3</v>
      </c>
      <c r="G2343" s="5">
        <f>ROUND(E2343*(1+F2343),2)</f>
        <v>2.91</v>
      </c>
      <c r="H2343" s="5">
        <f>ROUND(G2343*NOTAS!$B$2,2)</f>
        <v>2099.12</v>
      </c>
      <c r="I2343" s="6">
        <f>ROUND(G2343*NOTAS!$B$3,0)</f>
        <v>9454</v>
      </c>
      <c r="J2343" s="2" t="n">
        <v>11</v>
      </c>
    </row>
    <row r="2344">
      <c r="A2344" s="2" t="inlineStr">
        <is>
          <t>RE-0042</t>
        </is>
      </c>
      <c r="B2344" s="2" t="inlineStr"/>
      <c r="C2344" s="2" t="inlineStr">
        <is>
          <t>GUARDAPOLVO CAJA DIRECCION R-11/19/TWINGO/SYMBOL/CLIO</t>
        </is>
      </c>
      <c r="D2344" s="2" t="inlineStr">
        <is>
          <t>HERNOL</t>
        </is>
      </c>
      <c r="E2344" s="3" t="n">
        <v>2.19</v>
      </c>
      <c r="F2344" s="4" t="n">
        <v>0.3</v>
      </c>
      <c r="G2344" s="5">
        <f>ROUND(E2344*(1+F2344),2)</f>
        <v>2.85</v>
      </c>
      <c r="H2344" s="5">
        <f>ROUND(G2344*NOTAS!$B$2,2)</f>
        <v>2055.83</v>
      </c>
      <c r="I2344" s="6">
        <f>ROUND(G2344*NOTAS!$B$3,0)</f>
        <v>9259</v>
      </c>
      <c r="J2344" s="2" t="n">
        <v>2</v>
      </c>
    </row>
    <row r="2345">
      <c r="A2345" s="2" t="inlineStr">
        <is>
          <t>RE-0030</t>
        </is>
      </c>
      <c r="B2345" s="2" t="inlineStr"/>
      <c r="C2345" s="2" t="inlineStr">
        <is>
          <t>GUARDAPOLVO CAJA DIRECCION R-11/19/TWINGO/SYMBOL/CLIO</t>
        </is>
      </c>
      <c r="D2345" s="2" t="inlineStr">
        <is>
          <t>HERNOL</t>
        </is>
      </c>
      <c r="E2345" s="3" t="n">
        <v>2.19</v>
      </c>
      <c r="F2345" s="4" t="n">
        <v>0.3</v>
      </c>
      <c r="G2345" s="5">
        <f>ROUND(E2345*(1+F2345),2)</f>
        <v>2.85</v>
      </c>
      <c r="H2345" s="5">
        <f>ROUND(G2345*NOTAS!$B$2,2)</f>
        <v>2055.83</v>
      </c>
      <c r="I2345" s="6">
        <f>ROUND(G2345*NOTAS!$B$3,0)</f>
        <v>9259</v>
      </c>
      <c r="J2345" s="2" t="n">
        <v>2</v>
      </c>
    </row>
    <row r="2346">
      <c r="A2346" s="2" t="inlineStr">
        <is>
          <t>RE-0040</t>
        </is>
      </c>
      <c r="B2346" s="2" t="inlineStr"/>
      <c r="C2346" s="2" t="inlineStr">
        <is>
          <t>GUARDAPOLVO CAJA DIRECCION R-11/19/TWINGO/SYMBOL/CLIO</t>
        </is>
      </c>
      <c r="D2346" s="2" t="inlineStr">
        <is>
          <t>HERNOL</t>
        </is>
      </c>
      <c r="E2346" s="3" t="n">
        <v>2.19</v>
      </c>
      <c r="F2346" s="4" t="n">
        <v>0.3</v>
      </c>
      <c r="G2346" s="5">
        <f>ROUND(E2346*(1+F2346),2)</f>
        <v>2.85</v>
      </c>
      <c r="H2346" s="5">
        <f>ROUND(G2346*NOTAS!$B$2,2)</f>
        <v>2055.83</v>
      </c>
      <c r="I2346" s="6">
        <f>ROUND(G2346*NOTAS!$B$3,0)</f>
        <v>9259</v>
      </c>
      <c r="J2346" s="2" t="n">
        <v>4</v>
      </c>
    </row>
    <row r="2347">
      <c r="A2347" s="2" t="inlineStr">
        <is>
          <t>FO-5032</t>
        </is>
      </c>
      <c r="B2347" s="2" t="inlineStr"/>
      <c r="C2347" s="2" t="inlineStr">
        <is>
          <t>GUARDAPOLVO CAJA DIRECCION SIERRA</t>
        </is>
      </c>
      <c r="D2347" s="2" t="inlineStr">
        <is>
          <t>HERNOL</t>
        </is>
      </c>
      <c r="E2347" s="3" t="n">
        <v>2.84</v>
      </c>
      <c r="F2347" s="4" t="n">
        <v>0.3</v>
      </c>
      <c r="G2347" s="5">
        <f>ROUND(E2347*(1+F2347),2)</f>
        <v>3.69</v>
      </c>
      <c r="H2347" s="5">
        <f>ROUND(G2347*NOTAS!$B$2,2)</f>
        <v>2661.77</v>
      </c>
      <c r="I2347" s="6">
        <f>ROUND(G2347*NOTAS!$B$3,0)</f>
        <v>11988</v>
      </c>
      <c r="J2347" s="2" t="n">
        <v>2</v>
      </c>
    </row>
    <row r="2348">
      <c r="A2348" s="2" t="inlineStr">
        <is>
          <t>93386265</t>
        </is>
      </c>
      <c r="B2348" s="2" t="inlineStr"/>
      <c r="C2348" s="2" t="inlineStr">
        <is>
          <t>GUARDAPOLVO FORRO PALANCA CAMBIO CORSA</t>
        </is>
      </c>
      <c r="D2348" s="2" t="inlineStr">
        <is>
          <t>GM</t>
        </is>
      </c>
      <c r="E2348" s="3" t="n">
        <v>6.1538</v>
      </c>
      <c r="F2348" s="4" t="n">
        <v>0.3</v>
      </c>
      <c r="G2348" s="5">
        <f>ROUND(E2348*(1+F2348),2)</f>
        <v>8.00</v>
      </c>
      <c r="H2348" s="5">
        <f>ROUND(G2348*NOTAS!$B$2,2)</f>
        <v>5770.76</v>
      </c>
      <c r="I2348" s="6">
        <f>ROUND(G2348*NOTAS!$B$3,0)</f>
        <v>25991</v>
      </c>
      <c r="J2348" s="2" t="n">
        <v>3</v>
      </c>
    </row>
    <row r="2349">
      <c r="A2349" s="2" t="inlineStr">
        <is>
          <t>900560</t>
        </is>
      </c>
      <c r="B2349" s="2" t="inlineStr">
        <is>
          <t>2S657277BAYYG</t>
        </is>
      </c>
      <c r="C2349" s="2" t="inlineStr">
        <is>
          <t>GUARDAPOLVO FORRO PALANCA CAMBIO FIESTA 00/03 KA</t>
        </is>
      </c>
      <c r="D2349" s="2" t="inlineStr">
        <is>
          <t>FORD</t>
        </is>
      </c>
      <c r="E2349" s="3" t="n">
        <v>6.1538</v>
      </c>
      <c r="F2349" s="4" t="n">
        <v>0.3</v>
      </c>
      <c r="G2349" s="5">
        <f>ROUND(E2349*(1+F2349),2)</f>
        <v>8.00</v>
      </c>
      <c r="H2349" s="5">
        <f>ROUND(G2349*NOTAS!$B$2,2)</f>
        <v>5770.76</v>
      </c>
      <c r="I2349" s="6">
        <f>ROUND(G2349*NOTAS!$B$3,0)</f>
        <v>25991</v>
      </c>
      <c r="J2349" s="2" t="n">
        <v>2</v>
      </c>
    </row>
    <row r="2350">
      <c r="A2350" s="2" t="inlineStr">
        <is>
          <t>EX04446.52</t>
        </is>
      </c>
      <c r="B2350" s="2" t="inlineStr"/>
      <c r="C2350" s="2" t="inlineStr">
        <is>
          <t xml:space="preserve">GUARDAPOLVO PALANCA FORRO CAMBIO F-PALIO/SIENA </t>
        </is>
      </c>
      <c r="D2350" s="2" t="inlineStr">
        <is>
          <t>CENTERPARTS</t>
        </is>
      </c>
      <c r="E2350" s="3" t="n">
        <v>6.1538</v>
      </c>
      <c r="F2350" s="4" t="n">
        <v>0.3</v>
      </c>
      <c r="G2350" s="5">
        <f>ROUND(E2350*(1+F2350),2)</f>
        <v>8.00</v>
      </c>
      <c r="H2350" s="5">
        <f>ROUND(G2350*NOTAS!$B$2,2)</f>
        <v>5770.76</v>
      </c>
      <c r="I2350" s="6">
        <f>ROUND(G2350*NOTAS!$B$3,0)</f>
        <v>25991</v>
      </c>
      <c r="J2350" s="2" t="n">
        <v>1</v>
      </c>
    </row>
    <row r="2351">
      <c r="A2351" s="2" t="inlineStr">
        <is>
          <t>907122</t>
        </is>
      </c>
      <c r="B2351" s="2" t="inlineStr">
        <is>
          <t>2S6516C656AD</t>
        </is>
      </c>
      <c r="C2351" s="2" t="inlineStr">
        <is>
          <t>GUAYA ABRIR CAPOT  FIESTA/ECOSPORT</t>
        </is>
      </c>
      <c r="D2351" s="2" t="inlineStr">
        <is>
          <t>FORD</t>
        </is>
      </c>
      <c r="E2351" s="3" t="n">
        <v>15</v>
      </c>
      <c r="F2351" s="4" t="n">
        <v>0.3</v>
      </c>
      <c r="G2351" s="5">
        <f>ROUND(E2351*(1+F2351),2)</f>
        <v>19.50</v>
      </c>
      <c r="H2351" s="5">
        <f>ROUND(G2351*NOTAS!$B$2,2)</f>
        <v>14066.24</v>
      </c>
      <c r="I2351" s="6">
        <f>ROUND(G2351*NOTAS!$B$3,0)</f>
        <v>63353</v>
      </c>
      <c r="J2351" s="2" t="n">
        <v>2</v>
      </c>
    </row>
    <row r="2352">
      <c r="A2352" s="2" t="inlineStr">
        <is>
          <t>94635241</t>
        </is>
      </c>
      <c r="B2352" s="2" t="inlineStr"/>
      <c r="C2352" s="2" t="inlineStr">
        <is>
          <t>GUAYA ABRIR CAPOT CON MANILLA CHEVETTE</t>
        </is>
      </c>
      <c r="D2352" s="2" t="inlineStr">
        <is>
          <t>TORKY</t>
        </is>
      </c>
      <c r="E2352" s="3" t="n">
        <v>6</v>
      </c>
      <c r="F2352" s="4" t="n">
        <v>0.3</v>
      </c>
      <c r="G2352" s="5">
        <f>ROUND(E2352*(1+F2352),2)</f>
        <v>7.80</v>
      </c>
      <c r="H2352" s="5">
        <f>ROUND(G2352*NOTAS!$B$2,2)</f>
        <v>5626.50</v>
      </c>
      <c r="I2352" s="6">
        <f>ROUND(G2352*NOTAS!$B$3,0)</f>
        <v>25341</v>
      </c>
      <c r="J2352" s="2" t="n">
        <v>3</v>
      </c>
    </row>
    <row r="2353">
      <c r="A2353" s="2" t="inlineStr">
        <is>
          <t>745</t>
        </is>
      </c>
      <c r="B2353" s="2" t="inlineStr"/>
      <c r="C2353" s="2" t="inlineStr">
        <is>
          <t>GUAYA ABRIR CAPOT CON MANILLA CHEVETTE</t>
        </is>
      </c>
      <c r="D2353" s="2" t="inlineStr">
        <is>
          <t>FREMEC</t>
        </is>
      </c>
      <c r="E2353" s="3" t="n">
        <v>6</v>
      </c>
      <c r="F2353" s="4" t="n">
        <v>0.3</v>
      </c>
      <c r="G2353" s="5">
        <f>ROUND(E2353*(1+F2353),2)</f>
        <v>7.80</v>
      </c>
      <c r="H2353" s="5">
        <f>ROUND(G2353*NOTAS!$B$2,2)</f>
        <v>5626.50</v>
      </c>
      <c r="I2353" s="6">
        <f>ROUND(G2353*NOTAS!$B$3,0)</f>
        <v>25341</v>
      </c>
      <c r="J2353" s="2" t="n">
        <v>3</v>
      </c>
    </row>
    <row r="2354">
      <c r="A2354" s="2" t="inlineStr">
        <is>
          <t>8450</t>
        </is>
      </c>
      <c r="B2354" s="2" t="inlineStr"/>
      <c r="C2354" s="2" t="inlineStr">
        <is>
          <t>GUAYA ABRIR CAPOT CON MANILLA CORCEL</t>
        </is>
      </c>
      <c r="D2354" s="2" t="inlineStr">
        <is>
          <t>TUBA</t>
        </is>
      </c>
      <c r="E2354" s="3" t="n">
        <v>5</v>
      </c>
      <c r="F2354" s="4" t="n">
        <v>0.3</v>
      </c>
      <c r="G2354" s="5">
        <f>ROUND(E2354*(1+F2354),2)</f>
        <v>6.50</v>
      </c>
      <c r="H2354" s="5">
        <f>ROUND(G2354*NOTAS!$B$2,2)</f>
        <v>4688.75</v>
      </c>
      <c r="I2354" s="6">
        <f>ROUND(G2354*NOTAS!$B$3,0)</f>
        <v>21118</v>
      </c>
      <c r="J2354" s="2" t="n">
        <v>3</v>
      </c>
    </row>
    <row r="2355">
      <c r="A2355" s="2" t="inlineStr">
        <is>
          <t>772</t>
        </is>
      </c>
      <c r="B2355" s="2" t="inlineStr"/>
      <c r="C2355" s="2" t="inlineStr">
        <is>
          <t>GUAYA ABRIR CAPOT CON MANILLA CORSA</t>
        </is>
      </c>
      <c r="D2355" s="2" t="inlineStr">
        <is>
          <t>FREMEC</t>
        </is>
      </c>
      <c r="E2355" s="3" t="n">
        <v>6</v>
      </c>
      <c r="F2355" s="4" t="n">
        <v>0.3</v>
      </c>
      <c r="G2355" s="5">
        <f>ROUND(E2355*(1+F2355),2)</f>
        <v>7.80</v>
      </c>
      <c r="H2355" s="5">
        <f>ROUND(G2355*NOTAS!$B$2,2)</f>
        <v>5626.50</v>
      </c>
      <c r="I2355" s="6">
        <f>ROUND(G2355*NOTAS!$B$3,0)</f>
        <v>25341</v>
      </c>
      <c r="J2355" s="2" t="n">
        <v>4</v>
      </c>
    </row>
    <row r="2356">
      <c r="A2356" s="2" t="inlineStr">
        <is>
          <t>90482081</t>
        </is>
      </c>
      <c r="B2356" s="2" t="inlineStr"/>
      <c r="C2356" s="2" t="inlineStr">
        <is>
          <t>GUAYA ABRIR CAPOT CON MANILLA CORSA</t>
        </is>
      </c>
      <c r="D2356" s="2" t="inlineStr">
        <is>
          <t>GM</t>
        </is>
      </c>
      <c r="E2356" s="3" t="n">
        <v>10</v>
      </c>
      <c r="F2356" s="4" t="n">
        <v>0.3</v>
      </c>
      <c r="G2356" s="5">
        <f>ROUND(E2356*(1+F2356),2)</f>
        <v>13.00</v>
      </c>
      <c r="H2356" s="5">
        <f>ROUND(G2356*NOTAS!$B$2,2)</f>
        <v>9377.49</v>
      </c>
      <c r="I2356" s="6">
        <f>ROUND(G2356*NOTAS!$B$3,0)</f>
        <v>42235</v>
      </c>
      <c r="J2356" s="2" t="n">
        <v>1</v>
      </c>
    </row>
    <row r="2357">
      <c r="A2357" s="2" t="inlineStr">
        <is>
          <t>4405267</t>
        </is>
      </c>
      <c r="B2357" s="2" t="inlineStr"/>
      <c r="C2357" s="2" t="inlineStr">
        <is>
          <t>GUAYA ABRIR CAPOT F-147/SPAZIO</t>
        </is>
      </c>
      <c r="D2357" s="2" t="inlineStr">
        <is>
          <t>RICAMBIFLEX</t>
        </is>
      </c>
      <c r="E2357" s="3" t="n">
        <v>3</v>
      </c>
      <c r="F2357" s="4" t="n">
        <v>0.3</v>
      </c>
      <c r="G2357" s="5">
        <f>ROUND(E2357*(1+F2357),2)</f>
        <v>3.90</v>
      </c>
      <c r="H2357" s="5">
        <f>ROUND(G2357*NOTAS!$B$2,2)</f>
        <v>2813.25</v>
      </c>
      <c r="I2357" s="6">
        <f>ROUND(G2357*NOTAS!$B$3,0)</f>
        <v>12671</v>
      </c>
      <c r="J2357" s="2" t="n">
        <v>2</v>
      </c>
    </row>
    <row r="2358">
      <c r="A2358" s="2" t="inlineStr">
        <is>
          <t>6025</t>
        </is>
      </c>
      <c r="B2358" s="2" t="inlineStr">
        <is>
          <t>46455996</t>
        </is>
      </c>
      <c r="C2358" s="2" t="inlineStr">
        <is>
          <t>GUAYA ABRIR CAPOT F-PALIO/SIENA</t>
        </is>
      </c>
      <c r="D2358" s="2" t="inlineStr">
        <is>
          <t>TUBA</t>
        </is>
      </c>
      <c r="E2358" s="3" t="n">
        <v>5</v>
      </c>
      <c r="F2358" s="4" t="n">
        <v>0.3</v>
      </c>
      <c r="G2358" s="5">
        <f>ROUND(E2358*(1+F2358),2)</f>
        <v>6.50</v>
      </c>
      <c r="H2358" s="5">
        <f>ROUND(G2358*NOTAS!$B$2,2)</f>
        <v>4688.75</v>
      </c>
      <c r="I2358" s="6">
        <f>ROUND(G2358*NOTAS!$B$3,0)</f>
        <v>21118</v>
      </c>
      <c r="J2358" s="2" t="n">
        <v>2</v>
      </c>
    </row>
    <row r="2359">
      <c r="A2359" s="2" t="inlineStr">
        <is>
          <t>11837</t>
        </is>
      </c>
      <c r="B2359" s="2" t="inlineStr"/>
      <c r="C2359" s="2" t="inlineStr">
        <is>
          <t>GUAYA ABRIR CAPOT F-PALIO/SIENA</t>
        </is>
      </c>
      <c r="D2359" s="2" t="inlineStr">
        <is>
          <t>EUROBRAS</t>
        </is>
      </c>
      <c r="E2359" s="3" t="n">
        <v>4</v>
      </c>
      <c r="F2359" s="4" t="n">
        <v>0.3</v>
      </c>
      <c r="G2359" s="5">
        <f>ROUND(E2359*(1+F2359),2)</f>
        <v>5.20</v>
      </c>
      <c r="H2359" s="5">
        <f>ROUND(G2359*NOTAS!$B$2,2)</f>
        <v>3751.00</v>
      </c>
      <c r="I2359" s="6">
        <f>ROUND(G2359*NOTAS!$B$3,0)</f>
        <v>16894</v>
      </c>
      <c r="J2359" s="2" t="n">
        <v>2</v>
      </c>
    </row>
    <row r="2360">
      <c r="A2360" s="2" t="inlineStr">
        <is>
          <t>IKS4104</t>
        </is>
      </c>
      <c r="B2360" s="2" t="inlineStr">
        <is>
          <t>52270175</t>
        </is>
      </c>
      <c r="C2360" s="2" t="inlineStr">
        <is>
          <t>GUAYA ACELERADOR CHEVETTE 87/…</t>
        </is>
      </c>
      <c r="D2360" s="2" t="inlineStr">
        <is>
          <t>IKS</t>
        </is>
      </c>
      <c r="E2360" s="3" t="n">
        <v>6</v>
      </c>
      <c r="F2360" s="4" t="n">
        <v>0.3</v>
      </c>
      <c r="G2360" s="5">
        <f>ROUND(E2360*(1+F2360),2)</f>
        <v>7.80</v>
      </c>
      <c r="H2360" s="5">
        <f>ROUND(G2360*NOTAS!$B$2,2)</f>
        <v>5626.50</v>
      </c>
      <c r="I2360" s="6">
        <f>ROUND(G2360*NOTAS!$B$3,0)</f>
        <v>25341</v>
      </c>
      <c r="J2360" s="2" t="n">
        <v>2</v>
      </c>
    </row>
    <row r="2361">
      <c r="A2361" s="2" t="inlineStr">
        <is>
          <t>96130368-A</t>
        </is>
      </c>
      <c r="B2361" s="2" t="inlineStr"/>
      <c r="C2361" s="2" t="inlineStr">
        <is>
          <t>GUAYA ACELERADOR CIELO/CORSA</t>
        </is>
      </c>
      <c r="D2361" s="2" t="inlineStr">
        <is>
          <t>KOREA</t>
        </is>
      </c>
      <c r="E2361" s="3" t="n">
        <v>5</v>
      </c>
      <c r="F2361" s="4" t="n">
        <v>0.3</v>
      </c>
      <c r="G2361" s="5">
        <f>ROUND(E2361*(1+F2361),2)</f>
        <v>6.50</v>
      </c>
      <c r="H2361" s="5">
        <f>ROUND(G2361*NOTAS!$B$2,2)</f>
        <v>4688.75</v>
      </c>
      <c r="I2361" s="6">
        <f>ROUND(G2361*NOTAS!$B$3,0)</f>
        <v>21118</v>
      </c>
      <c r="J2361" s="2" t="n">
        <v>2</v>
      </c>
    </row>
    <row r="2362">
      <c r="A2362" s="2" t="inlineStr">
        <is>
          <t>96184236</t>
        </is>
      </c>
      <c r="B2362" s="2" t="inlineStr"/>
      <c r="C2362" s="2" t="inlineStr">
        <is>
          <t>GUAYA ACELERADOR ESPERO</t>
        </is>
      </c>
      <c r="D2362" s="2" t="inlineStr">
        <is>
          <t>GM</t>
        </is>
      </c>
      <c r="E2362" s="3" t="n">
        <v>5</v>
      </c>
      <c r="F2362" s="4" t="n">
        <v>0.3</v>
      </c>
      <c r="G2362" s="5">
        <f>ROUND(E2362*(1+F2362),2)</f>
        <v>6.50</v>
      </c>
      <c r="H2362" s="5">
        <f>ROUND(G2362*NOTAS!$B$2,2)</f>
        <v>4688.75</v>
      </c>
      <c r="I2362" s="6">
        <f>ROUND(G2362*NOTAS!$B$3,0)</f>
        <v>21118</v>
      </c>
      <c r="J2362" s="2" t="n">
        <v>2</v>
      </c>
    </row>
    <row r="2363">
      <c r="A2363" s="2" t="inlineStr">
        <is>
          <t>KDA01-41-660B</t>
        </is>
      </c>
      <c r="B2363" s="2" t="inlineStr"/>
      <c r="C2363" s="2" t="inlineStr">
        <is>
          <t>GUAYA ACELERADOR FESTIVA</t>
        </is>
      </c>
      <c r="D2363" s="2" t="inlineStr">
        <is>
          <t>KOREA</t>
        </is>
      </c>
      <c r="E2363" s="3" t="n">
        <v>5</v>
      </c>
      <c r="F2363" s="4" t="n">
        <v>0.3</v>
      </c>
      <c r="G2363" s="5">
        <f>ROUND(E2363*(1+F2363),2)</f>
        <v>6.50</v>
      </c>
      <c r="H2363" s="5">
        <f>ROUND(G2363*NOTAS!$B$2,2)</f>
        <v>4688.75</v>
      </c>
      <c r="I2363" s="6">
        <f>ROUND(G2363*NOTAS!$B$3,0)</f>
        <v>21118</v>
      </c>
      <c r="J2363" s="2" t="n">
        <v>2</v>
      </c>
    </row>
    <row r="2364">
      <c r="A2364" s="2" t="inlineStr">
        <is>
          <t>900207</t>
        </is>
      </c>
      <c r="B2364" s="2" t="inlineStr">
        <is>
          <t>YS659C799BA</t>
        </is>
      </c>
      <c r="C2364" s="2" t="inlineStr">
        <is>
          <t>GUAYA ACELERADOR FIESTA …/03</t>
        </is>
      </c>
      <c r="D2364" s="2" t="inlineStr">
        <is>
          <t>FORD</t>
        </is>
      </c>
      <c r="E2364" s="3" t="n">
        <v>20</v>
      </c>
      <c r="F2364" s="4" t="n">
        <v>0.3</v>
      </c>
      <c r="G2364" s="5">
        <f>ROUND(E2364*(1+F2364),2)</f>
        <v>26.00</v>
      </c>
      <c r="H2364" s="5">
        <f>ROUND(G2364*NOTAS!$B$2,2)</f>
        <v>18754.99</v>
      </c>
      <c r="I2364" s="6">
        <f>ROUND(G2364*NOTAS!$B$3,0)</f>
        <v>84471</v>
      </c>
      <c r="J2364" s="2" t="n">
        <v>2</v>
      </c>
    </row>
    <row r="2365">
      <c r="A2365" s="2" t="inlineStr">
        <is>
          <t>5C459C799AB</t>
        </is>
      </c>
      <c r="B2365" s="2" t="inlineStr"/>
      <c r="C2365" s="2" t="inlineStr">
        <is>
          <t>GUAYA ACELERADOR FORD CARGO 815</t>
        </is>
      </c>
      <c r="D2365" s="2" t="inlineStr">
        <is>
          <t>FORD</t>
        </is>
      </c>
      <c r="E2365" s="3" t="n">
        <v>20</v>
      </c>
      <c r="F2365" s="4" t="n">
        <v>0.3</v>
      </c>
      <c r="G2365" s="5">
        <f>ROUND(E2365*(1+F2365),2)</f>
        <v>26.00</v>
      </c>
      <c r="H2365" s="5">
        <f>ROUND(G2365*NOTAS!$B$2,2)</f>
        <v>18754.99</v>
      </c>
      <c r="I2365" s="6">
        <f>ROUND(G2365*NOTAS!$B$3,0)</f>
        <v>84471</v>
      </c>
      <c r="J2365" s="2" t="n">
        <v>1</v>
      </c>
    </row>
    <row r="2366">
      <c r="A2366" s="2" t="inlineStr">
        <is>
          <t>IKS3127</t>
        </is>
      </c>
      <c r="B2366" s="2" t="inlineStr">
        <is>
          <t>51716980</t>
        </is>
      </c>
      <c r="C2366" s="2" t="inlineStr">
        <is>
          <t>GUAYA ACELERADOR F-PAL/SIE 1.3 16V FIRE</t>
        </is>
      </c>
      <c r="D2366" s="2" t="inlineStr">
        <is>
          <t>IKS</t>
        </is>
      </c>
      <c r="E2366" s="3" t="n">
        <v>5</v>
      </c>
      <c r="F2366" s="4" t="n">
        <v>0.3</v>
      </c>
      <c r="G2366" s="5">
        <f>ROUND(E2366*(1+F2366),2)</f>
        <v>6.50</v>
      </c>
      <c r="H2366" s="5">
        <f>ROUND(G2366*NOTAS!$B$2,2)</f>
        <v>4688.75</v>
      </c>
      <c r="I2366" s="6">
        <f>ROUND(G2366*NOTAS!$B$3,0)</f>
        <v>21118</v>
      </c>
      <c r="J2366" s="2" t="n">
        <v>1</v>
      </c>
    </row>
    <row r="2367">
      <c r="A2367" s="2" t="inlineStr">
        <is>
          <t>6201</t>
        </is>
      </c>
      <c r="B2367" s="2" t="inlineStr">
        <is>
          <t>46523140</t>
        </is>
      </c>
      <c r="C2367" s="2" t="inlineStr">
        <is>
          <t>GUAYA ACELERADOR F-PAL/SIE 1.3 YOUNG</t>
        </is>
      </c>
      <c r="D2367" s="2" t="inlineStr">
        <is>
          <t>TUBA</t>
        </is>
      </c>
      <c r="E2367" s="3" t="n">
        <v>5</v>
      </c>
      <c r="F2367" s="4" t="n">
        <v>0.3</v>
      </c>
      <c r="G2367" s="5">
        <f>ROUND(E2367*(1+F2367),2)</f>
        <v>6.50</v>
      </c>
      <c r="H2367" s="5">
        <f>ROUND(G2367*NOTAS!$B$2,2)</f>
        <v>4688.75</v>
      </c>
      <c r="I2367" s="6">
        <f>ROUND(G2367*NOTAS!$B$3,0)</f>
        <v>21118</v>
      </c>
      <c r="J2367" s="2" t="n">
        <v>1</v>
      </c>
    </row>
    <row r="2368">
      <c r="A2368" s="2" t="inlineStr">
        <is>
          <t>113791</t>
        </is>
      </c>
      <c r="B2368" s="2" t="inlineStr">
        <is>
          <t>46433899</t>
        </is>
      </c>
      <c r="C2368" s="2" t="inlineStr">
        <is>
          <t>GUAYA ACELERADOR F-PALIO 1.3</t>
        </is>
      </c>
      <c r="D2368" s="2" t="inlineStr">
        <is>
          <t>EUROBRAS</t>
        </is>
      </c>
      <c r="E2368" s="3" t="n">
        <v>6</v>
      </c>
      <c r="F2368" s="4" t="n">
        <v>0.3</v>
      </c>
      <c r="G2368" s="5">
        <f>ROUND(E2368*(1+F2368),2)</f>
        <v>7.80</v>
      </c>
      <c r="H2368" s="5">
        <f>ROUND(G2368*NOTAS!$B$2,2)</f>
        <v>5626.50</v>
      </c>
      <c r="I2368" s="6">
        <f>ROUND(G2368*NOTAS!$B$3,0)</f>
        <v>25341</v>
      </c>
      <c r="J2368" s="2" t="n">
        <v>6</v>
      </c>
    </row>
    <row r="2369">
      <c r="A2369" s="2" t="inlineStr">
        <is>
          <t>3200</t>
        </is>
      </c>
      <c r="B2369" s="2" t="inlineStr">
        <is>
          <t>46433899</t>
        </is>
      </c>
      <c r="C2369" s="2" t="inlineStr">
        <is>
          <t>GUAYA ACELERADOR F-PALIO 1.3</t>
        </is>
      </c>
      <c r="D2369" s="2" t="inlineStr">
        <is>
          <t>FREMEC</t>
        </is>
      </c>
      <c r="E2369" s="3" t="n">
        <v>6</v>
      </c>
      <c r="F2369" s="4" t="n">
        <v>0.3</v>
      </c>
      <c r="G2369" s="5">
        <f>ROUND(E2369*(1+F2369),2)</f>
        <v>7.80</v>
      </c>
      <c r="H2369" s="5">
        <f>ROUND(G2369*NOTAS!$B$2,2)</f>
        <v>5626.50</v>
      </c>
      <c r="I2369" s="6">
        <f>ROUND(G2369*NOTAS!$B$3,0)</f>
        <v>25341</v>
      </c>
      <c r="J2369" s="2" t="n">
        <v>1</v>
      </c>
    </row>
    <row r="2370">
      <c r="A2370" s="2" t="inlineStr">
        <is>
          <t>IKS3112</t>
        </is>
      </c>
      <c r="B2370" s="2" t="inlineStr">
        <is>
          <t>46433899</t>
        </is>
      </c>
      <c r="C2370" s="2" t="inlineStr">
        <is>
          <t>GUAYA ACELERADOR F-PALIO 1.3</t>
        </is>
      </c>
      <c r="D2370" s="2" t="inlineStr">
        <is>
          <t>IKS</t>
        </is>
      </c>
      <c r="E2370" s="3" t="n">
        <v>7</v>
      </c>
      <c r="F2370" s="4" t="n">
        <v>0.3</v>
      </c>
      <c r="G2370" s="5">
        <f>ROUND(E2370*(1+F2370),2)</f>
        <v>9.10</v>
      </c>
      <c r="H2370" s="5">
        <f>ROUND(G2370*NOTAS!$B$2,2)</f>
        <v>6564.24</v>
      </c>
      <c r="I2370" s="6">
        <f>ROUND(G2370*NOTAS!$B$3,0)</f>
        <v>29565</v>
      </c>
      <c r="J2370" s="2" t="n">
        <v>1</v>
      </c>
    </row>
    <row r="2371">
      <c r="A2371" s="2" t="inlineStr">
        <is>
          <t>6206</t>
        </is>
      </c>
      <c r="B2371" s="2" t="inlineStr">
        <is>
          <t>46419108</t>
        </is>
      </c>
      <c r="C2371" s="2" t="inlineStr">
        <is>
          <t>GUAYA ACELERADOR F-PALIO 1.6</t>
        </is>
      </c>
      <c r="D2371" s="2" t="inlineStr">
        <is>
          <t>TUBA</t>
        </is>
      </c>
      <c r="E2371" s="3" t="n">
        <v>5</v>
      </c>
      <c r="F2371" s="4" t="n">
        <v>0.3</v>
      </c>
      <c r="G2371" s="5">
        <f>ROUND(E2371*(1+F2371),2)</f>
        <v>6.50</v>
      </c>
      <c r="H2371" s="5">
        <f>ROUND(G2371*NOTAS!$B$2,2)</f>
        <v>4688.75</v>
      </c>
      <c r="I2371" s="6">
        <f>ROUND(G2371*NOTAS!$B$3,0)</f>
        <v>21118</v>
      </c>
      <c r="J2371" s="2" t="n">
        <v>1</v>
      </c>
    </row>
    <row r="2372">
      <c r="A2372" s="2" t="inlineStr"/>
      <c r="B2372" s="2" t="inlineStr"/>
      <c r="C2372" s="2" t="inlineStr">
        <is>
          <t>GUAYA ACELERADOR F-PALIO 1.6 16V CORTA</t>
        </is>
      </c>
      <c r="D2372" s="2" t="inlineStr">
        <is>
          <t>EUROBRAS</t>
        </is>
      </c>
      <c r="E2372" s="3" t="n">
        <v>5</v>
      </c>
      <c r="F2372" s="4" t="n">
        <v>0.3</v>
      </c>
      <c r="G2372" s="5">
        <f>ROUND(E2372*(1+F2372),2)</f>
        <v>6.50</v>
      </c>
      <c r="H2372" s="5">
        <f>ROUND(G2372*NOTAS!$B$2,2)</f>
        <v>4688.75</v>
      </c>
      <c r="I2372" s="6">
        <f>ROUND(G2372*NOTAS!$B$3,0)</f>
        <v>21118</v>
      </c>
      <c r="J2372" s="2" t="n">
        <v>7</v>
      </c>
    </row>
    <row r="2373">
      <c r="A2373" s="2" t="inlineStr">
        <is>
          <t>306</t>
        </is>
      </c>
      <c r="B2373" s="2" t="inlineStr"/>
      <c r="C2373" s="2" t="inlineStr">
        <is>
          <t>GUAYA ACELERADOR F-PREMIO 88</t>
        </is>
      </c>
      <c r="D2373" s="2" t="inlineStr">
        <is>
          <t>FREMEC</t>
        </is>
      </c>
      <c r="E2373" s="3" t="n">
        <v>2</v>
      </c>
      <c r="F2373" s="4" t="n">
        <v>0.3</v>
      </c>
      <c r="G2373" s="5">
        <f>ROUND(E2373*(1+F2373),2)</f>
        <v>2.60</v>
      </c>
      <c r="H2373" s="5">
        <f>ROUND(G2373*NOTAS!$B$2,2)</f>
        <v>1875.50</v>
      </c>
      <c r="I2373" s="6">
        <f>ROUND(G2373*NOTAS!$B$3,0)</f>
        <v>8447</v>
      </c>
      <c r="J2373" s="2" t="n">
        <v>7</v>
      </c>
    </row>
    <row r="2374">
      <c r="A2374" s="2" t="inlineStr">
        <is>
          <t>301</t>
        </is>
      </c>
      <c r="B2374" s="2" t="inlineStr"/>
      <c r="C2374" s="2" t="inlineStr">
        <is>
          <t>GUAYA ACELERADOR F-REGATA 2.0</t>
        </is>
      </c>
      <c r="D2374" s="2" t="inlineStr">
        <is>
          <t>FREMEC</t>
        </is>
      </c>
      <c r="E2374" s="3" t="n">
        <v>2</v>
      </c>
      <c r="F2374" s="4" t="n">
        <v>0.3</v>
      </c>
      <c r="G2374" s="5">
        <f>ROUND(E2374*(1+F2374),2)</f>
        <v>2.60</v>
      </c>
      <c r="H2374" s="5">
        <f>ROUND(G2374*NOTAS!$B$2,2)</f>
        <v>1875.50</v>
      </c>
      <c r="I2374" s="6">
        <f>ROUND(G2374*NOTAS!$B$3,0)</f>
        <v>8447</v>
      </c>
      <c r="J2374" s="2" t="n">
        <v>1</v>
      </c>
    </row>
    <row r="2375">
      <c r="A2375" s="2" t="inlineStr">
        <is>
          <t>296</t>
        </is>
      </c>
      <c r="B2375" s="2" t="inlineStr"/>
      <c r="C2375" s="2" t="inlineStr">
        <is>
          <t>GUAYA ACELERADOR F-REGATA/RITMO</t>
        </is>
      </c>
      <c r="D2375" s="2" t="inlineStr">
        <is>
          <t>FREMEC</t>
        </is>
      </c>
      <c r="E2375" s="3" t="n">
        <v>1</v>
      </c>
      <c r="F2375" s="4" t="n">
        <v>0.3</v>
      </c>
      <c r="G2375" s="5">
        <f>ROUND(E2375*(1+F2375),2)</f>
        <v>1.30</v>
      </c>
      <c r="H2375" s="5">
        <f>ROUND(G2375*NOTAS!$B$2,2)</f>
        <v>937.75</v>
      </c>
      <c r="I2375" s="6">
        <f>ROUND(G2375*NOTAS!$B$3,0)</f>
        <v>4224</v>
      </c>
      <c r="J2375" s="2" t="n">
        <v>10</v>
      </c>
    </row>
    <row r="2376">
      <c r="A2376" s="2" t="inlineStr">
        <is>
          <t>113801</t>
        </is>
      </c>
      <c r="B2376" s="2" t="inlineStr">
        <is>
          <t>43449119</t>
        </is>
      </c>
      <c r="C2376" s="2" t="inlineStr">
        <is>
          <t>GUAYA ACELERADOR F-SIENA 1.3</t>
        </is>
      </c>
      <c r="D2376" s="2" t="inlineStr">
        <is>
          <t>EUROBRAS</t>
        </is>
      </c>
      <c r="E2376" s="3" t="n">
        <v>6</v>
      </c>
      <c r="F2376" s="4" t="n">
        <v>0.3</v>
      </c>
      <c r="G2376" s="5">
        <f>ROUND(E2376*(1+F2376),2)</f>
        <v>7.80</v>
      </c>
      <c r="H2376" s="5">
        <f>ROUND(G2376*NOTAS!$B$2,2)</f>
        <v>5626.50</v>
      </c>
      <c r="I2376" s="6">
        <f>ROUND(G2376*NOTAS!$B$3,0)</f>
        <v>25341</v>
      </c>
      <c r="J2376" s="2" t="n">
        <v>4</v>
      </c>
    </row>
    <row r="2377">
      <c r="A2377" s="2" t="inlineStr">
        <is>
          <t>11.319A</t>
        </is>
      </c>
      <c r="B2377" s="2" t="inlineStr"/>
      <c r="C2377" s="2" t="inlineStr">
        <is>
          <t>GUAYA ACELERADOR F-TEMPRA 1.8</t>
        </is>
      </c>
      <c r="D2377" s="2" t="inlineStr">
        <is>
          <t>EFFE</t>
        </is>
      </c>
      <c r="E2377" s="3" t="n">
        <v>4</v>
      </c>
      <c r="F2377" s="4" t="n">
        <v>0.3</v>
      </c>
      <c r="G2377" s="5">
        <f>ROUND(E2377*(1+F2377),2)</f>
        <v>5.20</v>
      </c>
      <c r="H2377" s="5">
        <f>ROUND(G2377*NOTAS!$B$2,2)</f>
        <v>3751.00</v>
      </c>
      <c r="I2377" s="6">
        <f>ROUND(G2377*NOTAS!$B$3,0)</f>
        <v>16894</v>
      </c>
      <c r="J2377" s="2" t="n">
        <v>1</v>
      </c>
    </row>
    <row r="2378">
      <c r="A2378" s="2" t="inlineStr">
        <is>
          <t>443</t>
        </is>
      </c>
      <c r="B2378" s="2" t="inlineStr"/>
      <c r="C2378" s="2" t="inlineStr">
        <is>
          <t>GUAYA ACELERADOR F-UNO 1.6 RACING</t>
        </is>
      </c>
      <c r="D2378" s="2" t="inlineStr">
        <is>
          <t>FREMEC</t>
        </is>
      </c>
      <c r="E2378" s="3" t="n">
        <v>3</v>
      </c>
      <c r="F2378" s="4" t="n">
        <v>0.3</v>
      </c>
      <c r="G2378" s="5">
        <f>ROUND(E2378*(1+F2378),2)</f>
        <v>3.90</v>
      </c>
      <c r="H2378" s="5">
        <f>ROUND(G2378*NOTAS!$B$2,2)</f>
        <v>2813.25</v>
      </c>
      <c r="I2378" s="6">
        <f>ROUND(G2378*NOTAS!$B$3,0)</f>
        <v>12671</v>
      </c>
      <c r="J2378" s="2" t="n">
        <v>9</v>
      </c>
    </row>
    <row r="2379">
      <c r="A2379" s="2" t="inlineStr">
        <is>
          <t>7566908</t>
        </is>
      </c>
      <c r="B2379" s="2" t="inlineStr"/>
      <c r="C2379" s="2" t="inlineStr">
        <is>
          <t>GUAYA ACELERADOR F-UNO C/RESORTE</t>
        </is>
      </c>
      <c r="D2379" s="2" t="inlineStr">
        <is>
          <t>WOLF</t>
        </is>
      </c>
      <c r="E2379" s="3" t="n">
        <v>4</v>
      </c>
      <c r="F2379" s="4" t="n">
        <v>0.3</v>
      </c>
      <c r="G2379" s="5">
        <f>ROUND(E2379*(1+F2379),2)</f>
        <v>5.20</v>
      </c>
      <c r="H2379" s="5">
        <f>ROUND(G2379*NOTAS!$B$2,2)</f>
        <v>3751.00</v>
      </c>
      <c r="I2379" s="6">
        <f>ROUND(G2379*NOTAS!$B$3,0)</f>
        <v>16894</v>
      </c>
      <c r="J2379" s="2" t="n">
        <v>2</v>
      </c>
    </row>
    <row r="2380">
      <c r="A2380" s="2" t="inlineStr">
        <is>
          <t>380</t>
        </is>
      </c>
      <c r="B2380" s="2" t="inlineStr">
        <is>
          <t>7606511</t>
        </is>
      </c>
      <c r="C2380" s="2" t="inlineStr">
        <is>
          <t>GUAYA ACELERADOR F-UNO C/RESORTE</t>
        </is>
      </c>
      <c r="D2380" s="2" t="inlineStr">
        <is>
          <t>FREMEC</t>
        </is>
      </c>
      <c r="E2380" s="3" t="n">
        <v>5</v>
      </c>
      <c r="F2380" s="4" t="n">
        <v>0.3</v>
      </c>
      <c r="G2380" s="5">
        <f>ROUND(E2380*(1+F2380),2)</f>
        <v>6.50</v>
      </c>
      <c r="H2380" s="5">
        <f>ROUND(G2380*NOTAS!$B$2,2)</f>
        <v>4688.75</v>
      </c>
      <c r="I2380" s="6">
        <f>ROUND(G2380*NOTAS!$B$3,0)</f>
        <v>21118</v>
      </c>
      <c r="J2380" s="2" t="n">
        <v>4</v>
      </c>
    </row>
    <row r="2381">
      <c r="A2381" s="2" t="inlineStr">
        <is>
          <t>3698</t>
        </is>
      </c>
      <c r="B2381" s="2" t="inlineStr"/>
      <c r="C2381" s="2" t="inlineStr">
        <is>
          <t>GUAYA ACELERADOR F-UNO FIRE</t>
        </is>
      </c>
      <c r="D2381" s="2" t="inlineStr">
        <is>
          <t>FREMEC</t>
        </is>
      </c>
      <c r="E2381" s="3" t="n">
        <v>4</v>
      </c>
      <c r="F2381" s="4" t="n">
        <v>0.3</v>
      </c>
      <c r="G2381" s="5">
        <f>ROUND(E2381*(1+F2381),2)</f>
        <v>5.20</v>
      </c>
      <c r="H2381" s="5">
        <f>ROUND(G2381*NOTAS!$B$2,2)</f>
        <v>3751.00</v>
      </c>
      <c r="I2381" s="6">
        <f>ROUND(G2381*NOTAS!$B$3,0)</f>
        <v>16894</v>
      </c>
      <c r="J2381" s="2" t="n">
        <v>1</v>
      </c>
    </row>
    <row r="2382">
      <c r="A2382" s="2" t="inlineStr">
        <is>
          <t>3284</t>
        </is>
      </c>
      <c r="B2382" s="2" t="inlineStr"/>
      <c r="C2382" s="2" t="inlineStr">
        <is>
          <t>GUAYA ACELERADOR F-UNO INY</t>
        </is>
      </c>
      <c r="D2382" s="2" t="inlineStr">
        <is>
          <t>FREMEC</t>
        </is>
      </c>
      <c r="E2382" s="3" t="n">
        <v>5</v>
      </c>
      <c r="F2382" s="4" t="n">
        <v>0.3</v>
      </c>
      <c r="G2382" s="5">
        <f>ROUND(E2382*(1+F2382),2)</f>
        <v>6.50</v>
      </c>
      <c r="H2382" s="5">
        <f>ROUND(G2382*NOTAS!$B$2,2)</f>
        <v>4688.75</v>
      </c>
      <c r="I2382" s="6">
        <f>ROUND(G2382*NOTAS!$B$3,0)</f>
        <v>21118</v>
      </c>
      <c r="J2382" s="2" t="n">
        <v>1</v>
      </c>
    </row>
    <row r="2383">
      <c r="A2383" s="2" t="inlineStr">
        <is>
          <t>6015</t>
        </is>
      </c>
      <c r="B2383" s="2" t="inlineStr"/>
      <c r="C2383" s="2" t="inlineStr">
        <is>
          <t>GUAYA ACELERADOR F-UNO MILLE</t>
        </is>
      </c>
      <c r="D2383" s="2" t="inlineStr">
        <is>
          <t>TUBA</t>
        </is>
      </c>
      <c r="E2383" s="3" t="n">
        <v>4</v>
      </c>
      <c r="F2383" s="4" t="n">
        <v>0.3</v>
      </c>
      <c r="G2383" s="5">
        <f>ROUND(E2383*(1+F2383),2)</f>
        <v>5.20</v>
      </c>
      <c r="H2383" s="5">
        <f>ROUND(G2383*NOTAS!$B$2,2)</f>
        <v>3751.00</v>
      </c>
      <c r="I2383" s="6">
        <f>ROUND(G2383*NOTAS!$B$3,0)</f>
        <v>16894</v>
      </c>
      <c r="J2383" s="2" t="n">
        <v>2</v>
      </c>
    </row>
    <row r="2384">
      <c r="A2384" s="2" t="inlineStr">
        <is>
          <t>693</t>
        </is>
      </c>
      <c r="B2384" s="2" t="inlineStr">
        <is>
          <t>7521026</t>
        </is>
      </c>
      <c r="C2384" s="2" t="inlineStr">
        <is>
          <t>GUAYA ACELERADOR F-UNO S/RESORTE</t>
        </is>
      </c>
      <c r="D2384" s="2" t="inlineStr">
        <is>
          <t>FREMEC</t>
        </is>
      </c>
      <c r="E2384" s="3" t="n">
        <v>3</v>
      </c>
      <c r="F2384" s="4" t="n">
        <v>0.3</v>
      </c>
      <c r="G2384" s="5">
        <f>ROUND(E2384*(1+F2384),2)</f>
        <v>3.90</v>
      </c>
      <c r="H2384" s="5">
        <f>ROUND(G2384*NOTAS!$B$2,2)</f>
        <v>2813.25</v>
      </c>
      <c r="I2384" s="6">
        <f>ROUND(G2384*NOTAS!$B$3,0)</f>
        <v>12671</v>
      </c>
      <c r="J2384" s="2" t="n">
        <v>2</v>
      </c>
    </row>
    <row r="2385">
      <c r="A2385" s="2" t="inlineStr">
        <is>
          <t>32790-22000</t>
        </is>
      </c>
      <c r="B2385" s="2" t="inlineStr"/>
      <c r="C2385" s="2" t="inlineStr">
        <is>
          <t>GUAYA ACELERADOR HYUNDAI ACCENT</t>
        </is>
      </c>
      <c r="D2385" s="2" t="inlineStr">
        <is>
          <t>KOREA</t>
        </is>
      </c>
      <c r="E2385" s="3" t="n">
        <v>7</v>
      </c>
      <c r="F2385" s="4" t="n">
        <v>0.3</v>
      </c>
      <c r="G2385" s="5">
        <f>ROUND(E2385*(1+F2385),2)</f>
        <v>9.10</v>
      </c>
      <c r="H2385" s="5">
        <f>ROUND(G2385*NOTAS!$B$2,2)</f>
        <v>6564.24</v>
      </c>
      <c r="I2385" s="6">
        <f>ROUND(G2385*NOTAS!$B$3,0)</f>
        <v>29565</v>
      </c>
      <c r="J2385" s="2" t="n">
        <v>2</v>
      </c>
    </row>
    <row r="2386">
      <c r="A2386" s="2" t="inlineStr">
        <is>
          <t>96316840</t>
        </is>
      </c>
      <c r="B2386" s="2" t="inlineStr"/>
      <c r="C2386" s="2" t="inlineStr">
        <is>
          <t>GUAYA ACELERADOR MATIZ</t>
        </is>
      </c>
      <c r="D2386" s="2" t="inlineStr">
        <is>
          <t>GM</t>
        </is>
      </c>
      <c r="E2386" s="3" t="n">
        <v>5</v>
      </c>
      <c r="F2386" s="4" t="n">
        <v>0.3</v>
      </c>
      <c r="G2386" s="5">
        <f>ROUND(E2386*(1+F2386),2)</f>
        <v>6.50</v>
      </c>
      <c r="H2386" s="5">
        <f>ROUND(G2386*NOTAS!$B$2,2)</f>
        <v>4688.75</v>
      </c>
      <c r="I2386" s="6">
        <f>ROUND(G2386*NOTAS!$B$3,0)</f>
        <v>21118</v>
      </c>
      <c r="J2386" s="2" t="n">
        <v>2</v>
      </c>
    </row>
    <row r="2387">
      <c r="A2387" s="2" t="inlineStr">
        <is>
          <t>279</t>
        </is>
      </c>
      <c r="B2387" s="2" t="inlineStr"/>
      <c r="C2387" s="2" t="inlineStr">
        <is>
          <t>GUAYA ACELERADOR R-11 CORTA</t>
        </is>
      </c>
      <c r="D2387" s="2" t="inlineStr">
        <is>
          <t>FREMEC</t>
        </is>
      </c>
      <c r="E2387" s="3" t="n">
        <v>2</v>
      </c>
      <c r="F2387" s="4" t="n">
        <v>0.3</v>
      </c>
      <c r="G2387" s="5">
        <f>ROUND(E2387*(1+F2387),2)</f>
        <v>2.60</v>
      </c>
      <c r="H2387" s="5">
        <f>ROUND(G2387*NOTAS!$B$2,2)</f>
        <v>1875.50</v>
      </c>
      <c r="I2387" s="6">
        <f>ROUND(G2387*NOTAS!$B$3,0)</f>
        <v>8447</v>
      </c>
      <c r="J2387" s="2" t="n">
        <v>1</v>
      </c>
    </row>
    <row r="2388">
      <c r="A2388" s="2" t="inlineStr"/>
      <c r="B2388" s="2" t="inlineStr"/>
      <c r="C2388" s="2" t="inlineStr">
        <is>
          <t>GUAYA ACELERADOR R-19 1.4</t>
        </is>
      </c>
      <c r="D2388" s="2" t="inlineStr">
        <is>
          <t>FREMEC</t>
        </is>
      </c>
      <c r="E2388" s="3" t="n">
        <v>4</v>
      </c>
      <c r="F2388" s="4" t="n">
        <v>0.3</v>
      </c>
      <c r="G2388" s="5">
        <f>ROUND(E2388*(1+F2388),2)</f>
        <v>5.20</v>
      </c>
      <c r="H2388" s="5">
        <f>ROUND(G2388*NOTAS!$B$2,2)</f>
        <v>3751.00</v>
      </c>
      <c r="I2388" s="6">
        <f>ROUND(G2388*NOTAS!$B$3,0)</f>
        <v>16894</v>
      </c>
      <c r="J2388" s="2" t="n">
        <v>1</v>
      </c>
    </row>
    <row r="2389">
      <c r="A2389" s="2" t="inlineStr">
        <is>
          <t>41367</t>
        </is>
      </c>
      <c r="B2389" s="2" t="inlineStr"/>
      <c r="C2389" s="2" t="inlineStr">
        <is>
          <t>GUAYA ACELERADOR R-19 1.7/1.8</t>
        </is>
      </c>
      <c r="D2389" s="2" t="inlineStr">
        <is>
          <t>EUROBRAS</t>
        </is>
      </c>
      <c r="E2389" s="3" t="n">
        <v>4</v>
      </c>
      <c r="F2389" s="4" t="n">
        <v>0.3</v>
      </c>
      <c r="G2389" s="5">
        <f>ROUND(E2389*(1+F2389),2)</f>
        <v>5.20</v>
      </c>
      <c r="H2389" s="5">
        <f>ROUND(G2389*NOTAS!$B$2,2)</f>
        <v>3751.00</v>
      </c>
      <c r="I2389" s="6">
        <f>ROUND(G2389*NOTAS!$B$3,0)</f>
        <v>16894</v>
      </c>
      <c r="J2389" s="2" t="n">
        <v>1</v>
      </c>
    </row>
    <row r="2390">
      <c r="A2390" s="2" t="inlineStr">
        <is>
          <t>479</t>
        </is>
      </c>
      <c r="B2390" s="2" t="inlineStr"/>
      <c r="C2390" s="2" t="inlineStr">
        <is>
          <t>GUAYA ACELERADOR R-FUEGO</t>
        </is>
      </c>
      <c r="D2390" s="2" t="inlineStr">
        <is>
          <t>FREMEC</t>
        </is>
      </c>
      <c r="E2390" s="3" t="n">
        <v>3</v>
      </c>
      <c r="F2390" s="4" t="n">
        <v>0.3</v>
      </c>
      <c r="G2390" s="5">
        <f>ROUND(E2390*(1+F2390),2)</f>
        <v>3.90</v>
      </c>
      <c r="H2390" s="5">
        <f>ROUND(G2390*NOTAS!$B$2,2)</f>
        <v>2813.25</v>
      </c>
      <c r="I2390" s="6">
        <f>ROUND(G2390*NOTAS!$B$3,0)</f>
        <v>12671</v>
      </c>
      <c r="J2390" s="2" t="n">
        <v>2</v>
      </c>
    </row>
    <row r="2391">
      <c r="A2391" s="2" t="inlineStr">
        <is>
          <t>3928</t>
        </is>
      </c>
      <c r="B2391" s="2" t="inlineStr"/>
      <c r="C2391" s="2" t="inlineStr">
        <is>
          <t>GUAYA ACELERADOR R-LOGAN</t>
        </is>
      </c>
      <c r="D2391" s="2" t="inlineStr">
        <is>
          <t>FREMEC</t>
        </is>
      </c>
      <c r="E2391" s="3" t="n">
        <v>7</v>
      </c>
      <c r="F2391" s="4" t="n">
        <v>0.3</v>
      </c>
      <c r="G2391" s="5">
        <f>ROUND(E2391*(1+F2391),2)</f>
        <v>9.10</v>
      </c>
      <c r="H2391" s="5">
        <f>ROUND(G2391*NOTAS!$B$2,2)</f>
        <v>6564.24</v>
      </c>
      <c r="I2391" s="6">
        <f>ROUND(G2391*NOTAS!$B$3,0)</f>
        <v>29565</v>
      </c>
      <c r="J2391" s="2" t="n">
        <v>5</v>
      </c>
    </row>
    <row r="2392">
      <c r="A2392" s="2" t="inlineStr">
        <is>
          <t>3100</t>
        </is>
      </c>
      <c r="B2392" s="2" t="inlineStr"/>
      <c r="C2392" s="2" t="inlineStr">
        <is>
          <t>GUAYA ACELERADOR R-SYMBOL</t>
        </is>
      </c>
      <c r="D2392" s="2" t="inlineStr">
        <is>
          <t>FREMEC</t>
        </is>
      </c>
      <c r="E2392" s="3" t="n">
        <v>7</v>
      </c>
      <c r="F2392" s="4" t="n">
        <v>0.3</v>
      </c>
      <c r="G2392" s="5">
        <f>ROUND(E2392*(1+F2392),2)</f>
        <v>9.10</v>
      </c>
      <c r="H2392" s="5">
        <f>ROUND(G2392*NOTAS!$B$2,2)</f>
        <v>6564.24</v>
      </c>
      <c r="I2392" s="6">
        <f>ROUND(G2392*NOTAS!$B$3,0)</f>
        <v>29565</v>
      </c>
      <c r="J2392" s="2" t="n">
        <v>3</v>
      </c>
    </row>
    <row r="2393">
      <c r="A2393" s="2" t="inlineStr">
        <is>
          <t>906401</t>
        </is>
      </c>
      <c r="B2393" s="2" t="inlineStr">
        <is>
          <t>2S657E395BE</t>
        </is>
      </c>
      <c r="C2393" s="2" t="inlineStr">
        <is>
          <t>GUAYA CAJA SELECTORA VARILLAJE FIESTA ECOSPORT</t>
        </is>
      </c>
      <c r="D2393" s="2" t="inlineStr">
        <is>
          <t>FORD</t>
        </is>
      </c>
      <c r="E2393" s="3" t="n">
        <v>80</v>
      </c>
      <c r="F2393" s="4" t="n">
        <v>0.3</v>
      </c>
      <c r="G2393" s="5">
        <f>ROUND(E2393*(1+F2393),2)</f>
        <v>104.00</v>
      </c>
      <c r="H2393" s="5">
        <f>ROUND(G2393*NOTAS!$B$2,2)</f>
        <v>75019.94</v>
      </c>
      <c r="I2393" s="6">
        <f>ROUND(G2393*NOTAS!$B$3,0)</f>
        <v>337882</v>
      </c>
      <c r="J2393" s="2" t="n">
        <v>1</v>
      </c>
    </row>
    <row r="2394">
      <c r="A2394" s="2" t="inlineStr">
        <is>
          <t>96339736</t>
        </is>
      </c>
      <c r="B2394" s="2" t="inlineStr"/>
      <c r="C2394" s="2" t="inlineStr">
        <is>
          <t>GUAYA EMBRAGUE AVEO</t>
        </is>
      </c>
      <c r="D2394" s="2" t="inlineStr">
        <is>
          <t>GM</t>
        </is>
      </c>
      <c r="E2394" s="3" t="n">
        <v>10</v>
      </c>
      <c r="F2394" s="4" t="n">
        <v>0.3</v>
      </c>
      <c r="G2394" s="5">
        <f>ROUND(E2394*(1+F2394),2)</f>
        <v>13.00</v>
      </c>
      <c r="H2394" s="5">
        <f>ROUND(G2394*NOTAS!$B$2,2)</f>
        <v>9377.49</v>
      </c>
      <c r="I2394" s="6">
        <f>ROUND(G2394*NOTAS!$B$3,0)</f>
        <v>42235</v>
      </c>
      <c r="J2394" s="2" t="n">
        <v>4</v>
      </c>
    </row>
    <row r="2395">
      <c r="A2395" s="2" t="inlineStr">
        <is>
          <t>462</t>
        </is>
      </c>
      <c r="B2395" s="2" t="inlineStr">
        <is>
          <t>94600182</t>
        </is>
      </c>
      <c r="C2395" s="2" t="inlineStr">
        <is>
          <t>GUAYA EMBRAGUE CHEVETTE</t>
        </is>
      </c>
      <c r="D2395" s="2" t="inlineStr">
        <is>
          <t>FREMEC</t>
        </is>
      </c>
      <c r="E2395" s="3" t="n">
        <v>10</v>
      </c>
      <c r="F2395" s="4" t="n">
        <v>0.3</v>
      </c>
      <c r="G2395" s="5">
        <f>ROUND(E2395*(1+F2395),2)</f>
        <v>13.00</v>
      </c>
      <c r="H2395" s="5">
        <f>ROUND(G2395*NOTAS!$B$2,2)</f>
        <v>9377.49</v>
      </c>
      <c r="I2395" s="6">
        <f>ROUND(G2395*NOTAS!$B$3,0)</f>
        <v>42235</v>
      </c>
      <c r="J2395" s="2" t="n">
        <v>2</v>
      </c>
    </row>
    <row r="2396">
      <c r="A2396" s="2" t="inlineStr">
        <is>
          <t>679</t>
        </is>
      </c>
      <c r="B2396" s="2" t="inlineStr"/>
      <c r="C2396" s="2" t="inlineStr">
        <is>
          <t>GUAYA EMBRAGUE CHEVETTE CON TORNILLO</t>
        </is>
      </c>
      <c r="D2396" s="2" t="inlineStr">
        <is>
          <t>FREMEC</t>
        </is>
      </c>
      <c r="E2396" s="3" t="n">
        <v>13</v>
      </c>
      <c r="F2396" s="4" t="n">
        <v>0.3</v>
      </c>
      <c r="G2396" s="5">
        <f>ROUND(E2396*(1+F2396),2)</f>
        <v>16.90</v>
      </c>
      <c r="H2396" s="5">
        <f>ROUND(G2396*NOTAS!$B$2,2)</f>
        <v>12190.74</v>
      </c>
      <c r="I2396" s="6">
        <f>ROUND(G2396*NOTAS!$B$3,0)</f>
        <v>54906</v>
      </c>
      <c r="J2396" s="2" t="n">
        <v>3</v>
      </c>
    </row>
    <row r="2397">
      <c r="A2397" s="2" t="inlineStr">
        <is>
          <t>93302370</t>
        </is>
      </c>
      <c r="B2397" s="2" t="inlineStr"/>
      <c r="C2397" s="2" t="inlineStr">
        <is>
          <t>GUAYA EMBRAGUE CHEVY</t>
        </is>
      </c>
      <c r="D2397" s="2" t="inlineStr">
        <is>
          <t>GM</t>
        </is>
      </c>
      <c r="E2397" s="3" t="n">
        <v>10</v>
      </c>
      <c r="F2397" s="4" t="n">
        <v>0.3</v>
      </c>
      <c r="G2397" s="5">
        <f>ROUND(E2397*(1+F2397),2)</f>
        <v>13.00</v>
      </c>
      <c r="H2397" s="5">
        <f>ROUND(G2397*NOTAS!$B$2,2)</f>
        <v>9377.49</v>
      </c>
      <c r="I2397" s="6">
        <f>ROUND(G2397*NOTAS!$B$3,0)</f>
        <v>42235</v>
      </c>
      <c r="J2397" s="2" t="n">
        <v>13</v>
      </c>
    </row>
    <row r="2398">
      <c r="A2398" s="2" t="inlineStr">
        <is>
          <t>96184096</t>
        </is>
      </c>
      <c r="B2398" s="2" t="inlineStr"/>
      <c r="C2398" s="2" t="inlineStr">
        <is>
          <t>GUAYA EMBRAGUE CIELO</t>
        </is>
      </c>
      <c r="D2398" s="2" t="inlineStr">
        <is>
          <t>GM</t>
        </is>
      </c>
      <c r="E2398" s="3" t="n">
        <v>10</v>
      </c>
      <c r="F2398" s="4" t="n">
        <v>0.3</v>
      </c>
      <c r="G2398" s="5">
        <f>ROUND(E2398*(1+F2398),2)</f>
        <v>13.00</v>
      </c>
      <c r="H2398" s="5">
        <f>ROUND(G2398*NOTAS!$B$2,2)</f>
        <v>9377.49</v>
      </c>
      <c r="I2398" s="6">
        <f>ROUND(G2398*NOTAS!$B$3,0)</f>
        <v>42235</v>
      </c>
      <c r="J2398" s="2" t="n">
        <v>2</v>
      </c>
    </row>
    <row r="2399">
      <c r="A2399" s="2" t="inlineStr"/>
      <c r="B2399" s="2" t="inlineStr"/>
      <c r="C2399" s="2" t="inlineStr">
        <is>
          <t>GUAYA EMBRAGUE CORSA …/99</t>
        </is>
      </c>
      <c r="D2399" s="2" t="inlineStr">
        <is>
          <t>SIN MARCA</t>
        </is>
      </c>
      <c r="E2399" s="3" t="n">
        <v>8</v>
      </c>
      <c r="F2399" s="4" t="n">
        <v>0.3</v>
      </c>
      <c r="G2399" s="5">
        <f>ROUND(E2399*(1+F2399),2)</f>
        <v>10.40</v>
      </c>
      <c r="H2399" s="5">
        <f>ROUND(G2399*NOTAS!$B$2,2)</f>
        <v>7501.99</v>
      </c>
      <c r="I2399" s="6">
        <f>ROUND(G2399*NOTAS!$B$3,0)</f>
        <v>33788</v>
      </c>
      <c r="J2399" s="2" t="n">
        <v>1</v>
      </c>
    </row>
    <row r="2400">
      <c r="A2400" s="2" t="inlineStr">
        <is>
          <t>90446929</t>
        </is>
      </c>
      <c r="B2400" s="2" t="inlineStr"/>
      <c r="C2400" s="2" t="inlineStr">
        <is>
          <t>GUAYA EMBRAGUE CORSA …/99</t>
        </is>
      </c>
      <c r="D2400" s="2" t="inlineStr">
        <is>
          <t>GM</t>
        </is>
      </c>
      <c r="E2400" s="3" t="n">
        <v>10</v>
      </c>
      <c r="F2400" s="4" t="n">
        <v>0.3</v>
      </c>
      <c r="G2400" s="5">
        <f>ROUND(E2400*(1+F2400),2)</f>
        <v>13.00</v>
      </c>
      <c r="H2400" s="5">
        <f>ROUND(G2400*NOTAS!$B$2,2)</f>
        <v>9377.49</v>
      </c>
      <c r="I2400" s="6">
        <f>ROUND(G2400*NOTAS!$B$3,0)</f>
        <v>42235</v>
      </c>
      <c r="J2400" s="2" t="n">
        <v>3</v>
      </c>
    </row>
    <row r="2401">
      <c r="A2401" s="2" t="inlineStr">
        <is>
          <t>CAB029</t>
        </is>
      </c>
      <c r="B2401" s="2" t="inlineStr"/>
      <c r="C2401" s="2" t="inlineStr">
        <is>
          <t>GUAYA EMBRAGUE CORSA …/99</t>
        </is>
      </c>
      <c r="D2401" s="2" t="inlineStr">
        <is>
          <t>BWB</t>
        </is>
      </c>
      <c r="E2401" s="3" t="n">
        <v>8</v>
      </c>
      <c r="F2401" s="4" t="n">
        <v>0.3</v>
      </c>
      <c r="G2401" s="5">
        <f>ROUND(E2401*(1+F2401),2)</f>
        <v>10.40</v>
      </c>
      <c r="H2401" s="5">
        <f>ROUND(G2401*NOTAS!$B$2,2)</f>
        <v>7501.99</v>
      </c>
      <c r="I2401" s="6">
        <f>ROUND(G2401*NOTAS!$B$3,0)</f>
        <v>33788</v>
      </c>
      <c r="J2401" s="2" t="n">
        <v>1</v>
      </c>
    </row>
    <row r="2402">
      <c r="A2402" s="2" t="inlineStr">
        <is>
          <t>93247035</t>
        </is>
      </c>
      <c r="B2402" s="2" t="inlineStr"/>
      <c r="C2402" s="2" t="inlineStr">
        <is>
          <t>GUAYA EMBRAGUE CORSA 00/06</t>
        </is>
      </c>
      <c r="D2402" s="2" t="inlineStr">
        <is>
          <t>GM</t>
        </is>
      </c>
      <c r="E2402" s="3" t="n">
        <v>10</v>
      </c>
      <c r="F2402" s="4" t="n">
        <v>0.3</v>
      </c>
      <c r="G2402" s="5">
        <f>ROUND(E2402*(1+F2402),2)</f>
        <v>13.00</v>
      </c>
      <c r="H2402" s="5">
        <f>ROUND(G2402*NOTAS!$B$2,2)</f>
        <v>9377.49</v>
      </c>
      <c r="I2402" s="6">
        <f>ROUND(G2402*NOTAS!$B$3,0)</f>
        <v>42235</v>
      </c>
      <c r="J2402" s="2" t="n">
        <v>5</v>
      </c>
    </row>
    <row r="2403">
      <c r="A2403" s="2" t="inlineStr">
        <is>
          <t>CAB029</t>
        </is>
      </c>
      <c r="B2403" s="2" t="inlineStr"/>
      <c r="C2403" s="2" t="inlineStr">
        <is>
          <t>GUAYA EMBRAGUE CORSA 00/06</t>
        </is>
      </c>
      <c r="D2403" s="2" t="inlineStr">
        <is>
          <t>BWB</t>
        </is>
      </c>
      <c r="E2403" s="3" t="n">
        <v>8</v>
      </c>
      <c r="F2403" s="4" t="n">
        <v>0.3</v>
      </c>
      <c r="G2403" s="5">
        <f>ROUND(E2403*(1+F2403),2)</f>
        <v>10.40</v>
      </c>
      <c r="H2403" s="5">
        <f>ROUND(G2403*NOTAS!$B$2,2)</f>
        <v>7501.99</v>
      </c>
      <c r="I2403" s="6">
        <f>ROUND(G2403*NOTAS!$B$3,0)</f>
        <v>33788</v>
      </c>
      <c r="J2403" s="2" t="n">
        <v>4</v>
      </c>
    </row>
    <row r="2404">
      <c r="A2404" s="2" t="inlineStr">
        <is>
          <t>93247035</t>
        </is>
      </c>
      <c r="B2404" s="2" t="inlineStr"/>
      <c r="C2404" s="2" t="inlineStr">
        <is>
          <t>GUAYA EMBRAGUE CORSA 00/06</t>
        </is>
      </c>
      <c r="D2404" s="2" t="inlineStr">
        <is>
          <t>FANIA</t>
        </is>
      </c>
      <c r="E2404" s="3" t="n">
        <v>8</v>
      </c>
      <c r="F2404" s="4" t="n">
        <v>0.3</v>
      </c>
      <c r="G2404" s="5">
        <f>ROUND(E2404*(1+F2404),2)</f>
        <v>10.40</v>
      </c>
      <c r="H2404" s="5">
        <f>ROUND(G2404*NOTAS!$B$2,2)</f>
        <v>7501.99</v>
      </c>
      <c r="I2404" s="6">
        <f>ROUND(G2404*NOTAS!$B$3,0)</f>
        <v>33788</v>
      </c>
      <c r="J2404" s="2" t="n">
        <v>1</v>
      </c>
    </row>
    <row r="2405">
      <c r="A2405" s="2" t="inlineStr">
        <is>
          <t>13131</t>
        </is>
      </c>
      <c r="B2405" s="2" t="inlineStr"/>
      <c r="C2405" s="2" t="inlineStr">
        <is>
          <t>GUAYA EMBRAGUE ESCORT ORION</t>
        </is>
      </c>
      <c r="D2405" s="2" t="inlineStr">
        <is>
          <t>EUROBRAS</t>
        </is>
      </c>
      <c r="E2405" s="3" t="n">
        <v>10</v>
      </c>
      <c r="F2405" s="4" t="n">
        <v>0.3</v>
      </c>
      <c r="G2405" s="5">
        <f>ROUND(E2405*(1+F2405),2)</f>
        <v>13.00</v>
      </c>
      <c r="H2405" s="5">
        <f>ROUND(G2405*NOTAS!$B$2,2)</f>
        <v>9377.49</v>
      </c>
      <c r="I2405" s="6">
        <f>ROUND(G2405*NOTAS!$B$3,0)</f>
        <v>42235</v>
      </c>
      <c r="J2405" s="2" t="n">
        <v>2</v>
      </c>
    </row>
    <row r="2406">
      <c r="A2406" s="2" t="inlineStr">
        <is>
          <t>IKS3301</t>
        </is>
      </c>
      <c r="B2406" s="2" t="inlineStr"/>
      <c r="C2406" s="2" t="inlineStr">
        <is>
          <t>GUAYA EMBRAGUE F-147/SPAZIO</t>
        </is>
      </c>
      <c r="D2406" s="2" t="inlineStr">
        <is>
          <t>IKS</t>
        </is>
      </c>
      <c r="E2406" s="3" t="n">
        <v>5</v>
      </c>
      <c r="F2406" s="4" t="n">
        <v>0.3</v>
      </c>
      <c r="G2406" s="5">
        <f>ROUND(E2406*(1+F2406),2)</f>
        <v>6.50</v>
      </c>
      <c r="H2406" s="5">
        <f>ROUND(G2406*NOTAS!$B$2,2)</f>
        <v>4688.75</v>
      </c>
      <c r="I2406" s="6">
        <f>ROUND(G2406*NOTAS!$B$3,0)</f>
        <v>21118</v>
      </c>
      <c r="J2406" s="2" t="n">
        <v>3</v>
      </c>
    </row>
    <row r="2407">
      <c r="A2407" s="2" t="inlineStr">
        <is>
          <t>203</t>
        </is>
      </c>
      <c r="B2407" s="2" t="inlineStr">
        <is>
          <t>4358923</t>
        </is>
      </c>
      <c r="C2407" s="2" t="inlineStr">
        <is>
          <t>GUAYA EMBRAGUE F-147/SPAZIO</t>
        </is>
      </c>
      <c r="D2407" s="2" t="inlineStr">
        <is>
          <t>FREMEC</t>
        </is>
      </c>
      <c r="E2407" s="3" t="n">
        <v>5</v>
      </c>
      <c r="F2407" s="4" t="n">
        <v>0.3</v>
      </c>
      <c r="G2407" s="5">
        <f>ROUND(E2407*(1+F2407),2)</f>
        <v>6.50</v>
      </c>
      <c r="H2407" s="5">
        <f>ROUND(G2407*NOTAS!$B$2,2)</f>
        <v>4688.75</v>
      </c>
      <c r="I2407" s="6">
        <f>ROUND(G2407*NOTAS!$B$3,0)</f>
        <v>21118</v>
      </c>
      <c r="J2407" s="2" t="n">
        <v>6</v>
      </c>
    </row>
    <row r="2408">
      <c r="A2408" s="2" t="inlineStr">
        <is>
          <t>11118</t>
        </is>
      </c>
      <c r="B2408" s="2" t="inlineStr">
        <is>
          <t>4358923</t>
        </is>
      </c>
      <c r="C2408" s="2" t="inlineStr">
        <is>
          <t>GUAYA EMBRAGUE F-147/SPAZIO</t>
        </is>
      </c>
      <c r="D2408" s="2" t="inlineStr">
        <is>
          <t>EFFE</t>
        </is>
      </c>
      <c r="E2408" s="3" t="n">
        <v>5</v>
      </c>
      <c r="F2408" s="4" t="n">
        <v>0.3</v>
      </c>
      <c r="G2408" s="5">
        <f>ROUND(E2408*(1+F2408),2)</f>
        <v>6.50</v>
      </c>
      <c r="H2408" s="5">
        <f>ROUND(G2408*NOTAS!$B$2,2)</f>
        <v>4688.75</v>
      </c>
      <c r="I2408" s="6">
        <f>ROUND(G2408*NOTAS!$B$3,0)</f>
        <v>21118</v>
      </c>
      <c r="J2408" s="2" t="n">
        <v>1</v>
      </c>
    </row>
    <row r="2409">
      <c r="A2409" s="2" t="inlineStr">
        <is>
          <t>KDA01-41-150D</t>
        </is>
      </c>
      <c r="B2409" s="2" t="inlineStr"/>
      <c r="C2409" s="2" t="inlineStr">
        <is>
          <t>GUAYA EMBRAGUE FESTIVA TURPIAL</t>
        </is>
      </c>
      <c r="D2409" s="2" t="inlineStr">
        <is>
          <t>KOREA</t>
        </is>
      </c>
      <c r="E2409" s="3" t="n">
        <v>7</v>
      </c>
      <c r="F2409" s="4" t="n">
        <v>0.3</v>
      </c>
      <c r="G2409" s="5">
        <f>ROUND(E2409*(1+F2409),2)</f>
        <v>9.10</v>
      </c>
      <c r="H2409" s="5">
        <f>ROUND(G2409*NOTAS!$B$2,2)</f>
        <v>6564.24</v>
      </c>
      <c r="I2409" s="6">
        <f>ROUND(G2409*NOTAS!$B$3,0)</f>
        <v>29565</v>
      </c>
      <c r="J2409" s="2" t="n">
        <v>1</v>
      </c>
    </row>
    <row r="2410">
      <c r="A2410" s="2" t="inlineStr">
        <is>
          <t>KDA01-41-150D</t>
        </is>
      </c>
      <c r="B2410" s="2" t="inlineStr"/>
      <c r="C2410" s="2" t="inlineStr">
        <is>
          <t>GUAYA EMBRAGUE FESTIVA TURPIAL</t>
        </is>
      </c>
      <c r="D2410" s="2" t="inlineStr">
        <is>
          <t>PARTS-MALL</t>
        </is>
      </c>
      <c r="E2410" s="3" t="n">
        <v>7</v>
      </c>
      <c r="F2410" s="4" t="n">
        <v>0.3</v>
      </c>
      <c r="G2410" s="5">
        <f>ROUND(E2410*(1+F2410),2)</f>
        <v>9.10</v>
      </c>
      <c r="H2410" s="5">
        <f>ROUND(G2410*NOTAS!$B$2,2)</f>
        <v>6564.24</v>
      </c>
      <c r="I2410" s="6">
        <f>ROUND(G2410*NOTAS!$B$3,0)</f>
        <v>29565</v>
      </c>
      <c r="J2410" s="2" t="n">
        <v>2</v>
      </c>
    </row>
    <row r="2411">
      <c r="A2411" s="2" t="inlineStr">
        <is>
          <t>11.119.1</t>
        </is>
      </c>
      <c r="B2411" s="2" t="inlineStr">
        <is>
          <t>46781018</t>
        </is>
      </c>
      <c r="C2411" s="2" t="inlineStr">
        <is>
          <t>GUAYA EMBRAGUE F-PAL/SIE BASE GRANDE</t>
        </is>
      </c>
      <c r="D2411" s="2" t="inlineStr">
        <is>
          <t>EFFE</t>
        </is>
      </c>
      <c r="E2411" s="3" t="n">
        <v>12</v>
      </c>
      <c r="F2411" s="4" t="n">
        <v>0.3</v>
      </c>
      <c r="G2411" s="5">
        <f>ROUND(E2411*(1+F2411),2)</f>
        <v>15.60</v>
      </c>
      <c r="H2411" s="5">
        <f>ROUND(G2411*NOTAS!$B$2,2)</f>
        <v>11252.99</v>
      </c>
      <c r="I2411" s="6">
        <f>ROUND(G2411*NOTAS!$B$3,0)</f>
        <v>50682</v>
      </c>
      <c r="J2411" s="2" t="n">
        <v>1</v>
      </c>
    </row>
    <row r="2412">
      <c r="A2412" s="2" t="inlineStr">
        <is>
          <t>3230</t>
        </is>
      </c>
      <c r="B2412" s="2" t="inlineStr">
        <is>
          <t>46781018</t>
        </is>
      </c>
      <c r="C2412" s="2" t="inlineStr">
        <is>
          <t>GUAYA EMBRAGUE F-PAL/SIE BASE GRANDE</t>
        </is>
      </c>
      <c r="D2412" s="2" t="inlineStr">
        <is>
          <t>FREMEC</t>
        </is>
      </c>
      <c r="E2412" s="3" t="n">
        <v>11</v>
      </c>
      <c r="F2412" s="4" t="n">
        <v>0.3</v>
      </c>
      <c r="G2412" s="5">
        <f>ROUND(E2412*(1+F2412),2)</f>
        <v>14.30</v>
      </c>
      <c r="H2412" s="5">
        <f>ROUND(G2412*NOTAS!$B$2,2)</f>
        <v>10315.24</v>
      </c>
      <c r="I2412" s="6">
        <f>ROUND(G2412*NOTAS!$B$3,0)</f>
        <v>46459</v>
      </c>
      <c r="J2412" s="2" t="n">
        <v>13</v>
      </c>
    </row>
    <row r="2413">
      <c r="A2413" s="2" t="inlineStr">
        <is>
          <t>IKS3312</t>
        </is>
      </c>
      <c r="B2413" s="2" t="inlineStr">
        <is>
          <t>46552367</t>
        </is>
      </c>
      <c r="C2413" s="2" t="inlineStr">
        <is>
          <t>GUAYA EMBRAGUE F-PAL/SIE BASE PEQUENA</t>
        </is>
      </c>
      <c r="D2413" s="2" t="inlineStr">
        <is>
          <t>IKS</t>
        </is>
      </c>
      <c r="E2413" s="3" t="n">
        <v>11</v>
      </c>
      <c r="F2413" s="4" t="n">
        <v>0.3</v>
      </c>
      <c r="G2413" s="5">
        <f>ROUND(E2413*(1+F2413),2)</f>
        <v>14.30</v>
      </c>
      <c r="H2413" s="5">
        <f>ROUND(G2413*NOTAS!$B$2,2)</f>
        <v>10315.24</v>
      </c>
      <c r="I2413" s="6">
        <f>ROUND(G2413*NOTAS!$B$3,0)</f>
        <v>46459</v>
      </c>
      <c r="J2413" s="2" t="n">
        <v>9</v>
      </c>
    </row>
    <row r="2414">
      <c r="A2414" s="2" t="inlineStr">
        <is>
          <t>11.111.1</t>
        </is>
      </c>
      <c r="B2414" s="2" t="inlineStr">
        <is>
          <t>46522367</t>
        </is>
      </c>
      <c r="C2414" s="2" t="inlineStr">
        <is>
          <t>GUAYA EMBRAGUE F-PAL/SIE BASE PEQUENA</t>
        </is>
      </c>
      <c r="D2414" s="2" t="inlineStr">
        <is>
          <t>EFFE</t>
        </is>
      </c>
      <c r="E2414" s="3" t="n">
        <v>11</v>
      </c>
      <c r="F2414" s="4" t="n">
        <v>0.3</v>
      </c>
      <c r="G2414" s="5">
        <f>ROUND(E2414*(1+F2414),2)</f>
        <v>14.30</v>
      </c>
      <c r="H2414" s="5">
        <f>ROUND(G2414*NOTAS!$B$2,2)</f>
        <v>10315.24</v>
      </c>
      <c r="I2414" s="6">
        <f>ROUND(G2414*NOTAS!$B$3,0)</f>
        <v>46459</v>
      </c>
      <c r="J2414" s="2" t="n">
        <v>11</v>
      </c>
    </row>
    <row r="2415">
      <c r="A2415" s="2" t="inlineStr">
        <is>
          <t>851</t>
        </is>
      </c>
      <c r="B2415" s="2" t="inlineStr">
        <is>
          <t>46522367</t>
        </is>
      </c>
      <c r="C2415" s="2" t="inlineStr">
        <is>
          <t>GUAYA EMBRAGUE F-PAL/SIE BASE PEQUENA</t>
        </is>
      </c>
      <c r="D2415" s="2" t="inlineStr">
        <is>
          <t>FREMEC</t>
        </is>
      </c>
      <c r="E2415" s="3" t="n">
        <v>10</v>
      </c>
      <c r="F2415" s="4" t="n">
        <v>0.3</v>
      </c>
      <c r="G2415" s="5">
        <f>ROUND(E2415*(1+F2415),2)</f>
        <v>13.00</v>
      </c>
      <c r="H2415" s="5">
        <f>ROUND(G2415*NOTAS!$B$2,2)</f>
        <v>9377.49</v>
      </c>
      <c r="I2415" s="6">
        <f>ROUND(G2415*NOTAS!$B$3,0)</f>
        <v>42235</v>
      </c>
      <c r="J2415" s="2" t="n">
        <v>2</v>
      </c>
    </row>
    <row r="2416">
      <c r="A2416" s="2" t="inlineStr">
        <is>
          <t>300</t>
        </is>
      </c>
      <c r="B2416" s="2" t="inlineStr">
        <is>
          <t>5967096</t>
        </is>
      </c>
      <c r="C2416" s="2" t="inlineStr">
        <is>
          <t>GUAYA EMBRAGUE F-REGATA 1.6</t>
        </is>
      </c>
      <c r="D2416" s="2" t="inlineStr">
        <is>
          <t>FREMEC</t>
        </is>
      </c>
      <c r="E2416" s="3" t="n">
        <v>7</v>
      </c>
      <c r="F2416" s="4" t="n">
        <v>0.3</v>
      </c>
      <c r="G2416" s="5">
        <f>ROUND(E2416*(1+F2416),2)</f>
        <v>9.10</v>
      </c>
      <c r="H2416" s="5">
        <f>ROUND(G2416*NOTAS!$B$2,2)</f>
        <v>6564.24</v>
      </c>
      <c r="I2416" s="6">
        <f>ROUND(G2416*NOTAS!$B$3,0)</f>
        <v>29565</v>
      </c>
      <c r="J2416" s="2" t="n">
        <v>6</v>
      </c>
    </row>
    <row r="2417">
      <c r="A2417" s="2" t="inlineStr">
        <is>
          <t>543</t>
        </is>
      </c>
      <c r="B2417" s="2" t="inlineStr">
        <is>
          <t>7616775</t>
        </is>
      </c>
      <c r="C2417" s="2" t="inlineStr">
        <is>
          <t>GUAYA EMBRAGUE F-REGATA 2.0</t>
        </is>
      </c>
      <c r="D2417" s="2" t="inlineStr">
        <is>
          <t>FREMEC</t>
        </is>
      </c>
      <c r="E2417" s="3" t="n">
        <v>7</v>
      </c>
      <c r="F2417" s="4" t="n">
        <v>0.3</v>
      </c>
      <c r="G2417" s="5">
        <f>ROUND(E2417*(1+F2417),2)</f>
        <v>9.10</v>
      </c>
      <c r="H2417" s="5">
        <f>ROUND(G2417*NOTAS!$B$2,2)</f>
        <v>6564.24</v>
      </c>
      <c r="I2417" s="6">
        <f>ROUND(G2417*NOTAS!$B$3,0)</f>
        <v>29565</v>
      </c>
      <c r="J2417" s="2" t="n">
        <v>4</v>
      </c>
    </row>
    <row r="2418">
      <c r="A2418" s="2" t="inlineStr">
        <is>
          <t>19115</t>
        </is>
      </c>
      <c r="B2418" s="2" t="inlineStr">
        <is>
          <t>7670993</t>
        </is>
      </c>
      <c r="C2418" s="2" t="inlineStr">
        <is>
          <t>GUAYA EMBRAGUE F-TEMPRA 1.6</t>
        </is>
      </c>
      <c r="D2418" s="2" t="inlineStr">
        <is>
          <t>EUROBRAS</t>
        </is>
      </c>
      <c r="E2418" s="3" t="n">
        <v>7</v>
      </c>
      <c r="F2418" s="4" t="n">
        <v>0.3</v>
      </c>
      <c r="G2418" s="5">
        <f>ROUND(E2418*(1+F2418),2)</f>
        <v>9.10</v>
      </c>
      <c r="H2418" s="5">
        <f>ROUND(G2418*NOTAS!$B$2,2)</f>
        <v>6564.24</v>
      </c>
      <c r="I2418" s="6">
        <f>ROUND(G2418*NOTAS!$B$3,0)</f>
        <v>29565</v>
      </c>
      <c r="J2418" s="2" t="n">
        <v>1</v>
      </c>
    </row>
    <row r="2419">
      <c r="A2419" s="2" t="inlineStr">
        <is>
          <t>11186</t>
        </is>
      </c>
      <c r="B2419" s="2" t="inlineStr"/>
      <c r="C2419" s="2" t="inlineStr">
        <is>
          <t>GUAYA EMBRAGUE F-TEMPRA 1.6</t>
        </is>
      </c>
      <c r="D2419" s="2" t="inlineStr">
        <is>
          <t>ADRIAUTO</t>
        </is>
      </c>
      <c r="E2419" s="3" t="n">
        <v>7</v>
      </c>
      <c r="F2419" s="4" t="n">
        <v>0.3</v>
      </c>
      <c r="G2419" s="5">
        <f>ROUND(E2419*(1+F2419),2)</f>
        <v>9.10</v>
      </c>
      <c r="H2419" s="5">
        <f>ROUND(G2419*NOTAS!$B$2,2)</f>
        <v>6564.24</v>
      </c>
      <c r="I2419" s="6">
        <f>ROUND(G2419*NOTAS!$B$3,0)</f>
        <v>29565</v>
      </c>
      <c r="J2419" s="2" t="n">
        <v>7</v>
      </c>
    </row>
    <row r="2420">
      <c r="A2420" s="2" t="inlineStr">
        <is>
          <t>638</t>
        </is>
      </c>
      <c r="B2420" s="2" t="inlineStr"/>
      <c r="C2420" s="2" t="inlineStr">
        <is>
          <t>GUAYA EMBRAGUE F-TEMPRA 1.6</t>
        </is>
      </c>
      <c r="D2420" s="2" t="inlineStr">
        <is>
          <t>FREMEC</t>
        </is>
      </c>
      <c r="E2420" s="3" t="n">
        <v>7</v>
      </c>
      <c r="F2420" s="4" t="n">
        <v>0.3</v>
      </c>
      <c r="G2420" s="5">
        <f>ROUND(E2420*(1+F2420),2)</f>
        <v>9.10</v>
      </c>
      <c r="H2420" s="5">
        <f>ROUND(G2420*NOTAS!$B$2,2)</f>
        <v>6564.24</v>
      </c>
      <c r="I2420" s="6">
        <f>ROUND(G2420*NOTAS!$B$3,0)</f>
        <v>29565</v>
      </c>
      <c r="J2420" s="2" t="n">
        <v>5</v>
      </c>
    </row>
    <row r="2421">
      <c r="A2421" s="2" t="inlineStr">
        <is>
          <t>3696</t>
        </is>
      </c>
      <c r="B2421" s="2" t="inlineStr">
        <is>
          <t>50017346</t>
        </is>
      </c>
      <c r="C2421" s="2" t="inlineStr">
        <is>
          <t>GUAYA EMBRAGUE F-UNO FIRE</t>
        </is>
      </c>
      <c r="D2421" s="2" t="inlineStr">
        <is>
          <t>FREMEC</t>
        </is>
      </c>
      <c r="E2421" s="3" t="n">
        <v>10</v>
      </c>
      <c r="F2421" s="4" t="n">
        <v>0.3</v>
      </c>
      <c r="G2421" s="5">
        <f>ROUND(E2421*(1+F2421),2)</f>
        <v>13.00</v>
      </c>
      <c r="H2421" s="5">
        <f>ROUND(G2421*NOTAS!$B$2,2)</f>
        <v>9377.49</v>
      </c>
      <c r="I2421" s="6">
        <f>ROUND(G2421*NOTAS!$B$3,0)</f>
        <v>42235</v>
      </c>
      <c r="J2421" s="2" t="n">
        <v>1</v>
      </c>
    </row>
    <row r="2422">
      <c r="A2422" s="2" t="inlineStr">
        <is>
          <t>11.120.1</t>
        </is>
      </c>
      <c r="B2422" s="2" t="inlineStr">
        <is>
          <t>50007727</t>
        </is>
      </c>
      <c r="C2422" s="2" t="inlineStr">
        <is>
          <t>GUAYA EMBRAGUE F-UNO INY</t>
        </is>
      </c>
      <c r="D2422" s="2" t="inlineStr">
        <is>
          <t>EFFE</t>
        </is>
      </c>
      <c r="E2422" s="3" t="n">
        <v>5</v>
      </c>
      <c r="F2422" s="4" t="n">
        <v>0.3</v>
      </c>
      <c r="G2422" s="5">
        <f>ROUND(E2422*(1+F2422),2)</f>
        <v>6.50</v>
      </c>
      <c r="H2422" s="5">
        <f>ROUND(G2422*NOTAS!$B$2,2)</f>
        <v>4688.75</v>
      </c>
      <c r="I2422" s="6">
        <f>ROUND(G2422*NOTAS!$B$3,0)</f>
        <v>21118</v>
      </c>
      <c r="J2422" s="2" t="n">
        <v>1</v>
      </c>
    </row>
    <row r="2423">
      <c r="A2423" s="2" t="inlineStr">
        <is>
          <t>307</t>
        </is>
      </c>
      <c r="B2423" s="2" t="inlineStr">
        <is>
          <t>5963181</t>
        </is>
      </c>
      <c r="C2423" s="2" t="inlineStr">
        <is>
          <t>GUAYA EMBRAGUE F-UNO/PREMIO …/89</t>
        </is>
      </c>
      <c r="D2423" s="2" t="inlineStr">
        <is>
          <t>FREMEC</t>
        </is>
      </c>
      <c r="E2423" s="3" t="n">
        <v>5</v>
      </c>
      <c r="F2423" s="4" t="n">
        <v>0.3</v>
      </c>
      <c r="G2423" s="5">
        <f>ROUND(E2423*(1+F2423),2)</f>
        <v>6.50</v>
      </c>
      <c r="H2423" s="5">
        <f>ROUND(G2423*NOTAS!$B$2,2)</f>
        <v>4688.75</v>
      </c>
      <c r="I2423" s="6">
        <f>ROUND(G2423*NOTAS!$B$3,0)</f>
        <v>21118</v>
      </c>
      <c r="J2423" s="2" t="n">
        <v>16</v>
      </c>
    </row>
    <row r="2424">
      <c r="A2424" s="2" t="inlineStr">
        <is>
          <t>11159</t>
        </is>
      </c>
      <c r="B2424" s="2" t="inlineStr">
        <is>
          <t>5963181</t>
        </is>
      </c>
      <c r="C2424" s="2" t="inlineStr">
        <is>
          <t>GUAYA EMBRAGUE F-UNO/PREMIO …/89</t>
        </is>
      </c>
      <c r="D2424" s="2" t="inlineStr">
        <is>
          <t>EFFE</t>
        </is>
      </c>
      <c r="E2424" s="3" t="n">
        <v>7</v>
      </c>
      <c r="F2424" s="4" t="n">
        <v>0.3</v>
      </c>
      <c r="G2424" s="5">
        <f>ROUND(E2424*(1+F2424),2)</f>
        <v>9.10</v>
      </c>
      <c r="H2424" s="5">
        <f>ROUND(G2424*NOTAS!$B$2,2)</f>
        <v>6564.24</v>
      </c>
      <c r="I2424" s="6">
        <f>ROUND(G2424*NOTAS!$B$3,0)</f>
        <v>29565</v>
      </c>
      <c r="J2424" s="2" t="n">
        <v>3</v>
      </c>
    </row>
    <row r="2425">
      <c r="A2425" s="2" t="inlineStr">
        <is>
          <t>445</t>
        </is>
      </c>
      <c r="B2425" s="2" t="inlineStr">
        <is>
          <t>46585470</t>
        </is>
      </c>
      <c r="C2425" s="2" t="inlineStr">
        <is>
          <t>GUAYA EMBRAGUE F-UNO/PREMIO 89/92</t>
        </is>
      </c>
      <c r="D2425" s="2" t="inlineStr">
        <is>
          <t>FREMEC</t>
        </is>
      </c>
      <c r="E2425" s="3" t="n">
        <v>6.5</v>
      </c>
      <c r="F2425" s="4" t="n">
        <v>0.3</v>
      </c>
      <c r="G2425" s="5">
        <f>ROUND(E2425*(1+F2425),2)</f>
        <v>8.45</v>
      </c>
      <c r="H2425" s="5">
        <f>ROUND(G2425*NOTAS!$B$2,2)</f>
        <v>6095.37</v>
      </c>
      <c r="I2425" s="6">
        <f>ROUND(G2425*NOTAS!$B$3,0)</f>
        <v>27453</v>
      </c>
      <c r="J2425" s="2" t="n">
        <v>7</v>
      </c>
    </row>
    <row r="2426">
      <c r="A2426" s="2" t="inlineStr">
        <is>
          <t>11171</t>
        </is>
      </c>
      <c r="B2426" s="2" t="inlineStr">
        <is>
          <t>7515915</t>
        </is>
      </c>
      <c r="C2426" s="2" t="inlineStr">
        <is>
          <t>GUAYA EMBRAGUE F-UNO/PREMIO 89/92</t>
        </is>
      </c>
      <c r="D2426" s="2" t="inlineStr">
        <is>
          <t>EFFE</t>
        </is>
      </c>
      <c r="E2426" s="3" t="n">
        <v>6.5</v>
      </c>
      <c r="F2426" s="4" t="n">
        <v>0.3</v>
      </c>
      <c r="G2426" s="5">
        <f>ROUND(E2426*(1+F2426),2)</f>
        <v>8.45</v>
      </c>
      <c r="H2426" s="5">
        <f>ROUND(G2426*NOTAS!$B$2,2)</f>
        <v>6095.37</v>
      </c>
      <c r="I2426" s="6">
        <f>ROUND(G2426*NOTAS!$B$3,0)</f>
        <v>27453</v>
      </c>
      <c r="J2426" s="2" t="n">
        <v>4</v>
      </c>
    </row>
    <row r="2427">
      <c r="A2427" s="2" t="inlineStr">
        <is>
          <t>454</t>
        </is>
      </c>
      <c r="B2427" s="2" t="inlineStr">
        <is>
          <t>50007677</t>
        </is>
      </c>
      <c r="C2427" s="2" t="inlineStr">
        <is>
          <t>GUAYA EMBRAGUE F-UNO/PREMIO 92/95</t>
        </is>
      </c>
      <c r="D2427" s="2" t="inlineStr">
        <is>
          <t>FREMEC</t>
        </is>
      </c>
      <c r="E2427" s="3" t="n">
        <v>8</v>
      </c>
      <c r="F2427" s="4" t="n">
        <v>0.3</v>
      </c>
      <c r="G2427" s="5">
        <f>ROUND(E2427*(1+F2427),2)</f>
        <v>10.40</v>
      </c>
      <c r="H2427" s="5">
        <f>ROUND(G2427*NOTAS!$B$2,2)</f>
        <v>7501.99</v>
      </c>
      <c r="I2427" s="6">
        <f>ROUND(G2427*NOTAS!$B$3,0)</f>
        <v>33788</v>
      </c>
      <c r="J2427" s="2" t="n">
        <v>2</v>
      </c>
    </row>
    <row r="2428">
      <c r="A2428" s="2" t="inlineStr">
        <is>
          <t>5915</t>
        </is>
      </c>
      <c r="B2428" s="2" t="inlineStr">
        <is>
          <t>50007727</t>
        </is>
      </c>
      <c r="C2428" s="2" t="inlineStr">
        <is>
          <t>GUAYA EMBRAGUE F-UNO/PREMIO 96/99</t>
        </is>
      </c>
      <c r="D2428" s="2" t="inlineStr">
        <is>
          <t>FREMEC</t>
        </is>
      </c>
      <c r="E2428" s="3" t="n">
        <v>8</v>
      </c>
      <c r="F2428" s="4" t="n">
        <v>0.3</v>
      </c>
      <c r="G2428" s="5">
        <f>ROUND(E2428*(1+F2428),2)</f>
        <v>10.40</v>
      </c>
      <c r="H2428" s="5">
        <f>ROUND(G2428*NOTAS!$B$2,2)</f>
        <v>7501.99</v>
      </c>
      <c r="I2428" s="6">
        <f>ROUND(G2428*NOTAS!$B$3,0)</f>
        <v>33788</v>
      </c>
      <c r="J2428" s="2" t="n">
        <v>5</v>
      </c>
    </row>
    <row r="2429">
      <c r="A2429" s="2" t="inlineStr">
        <is>
          <t>41510-24003</t>
        </is>
      </c>
      <c r="B2429" s="2" t="inlineStr"/>
      <c r="C2429" s="2" t="inlineStr">
        <is>
          <t>GUAYA EMBRAGUE HYUNDAI EXCEL ACCENT</t>
        </is>
      </c>
      <c r="D2429" s="2" t="inlineStr">
        <is>
          <t>KOREA</t>
        </is>
      </c>
      <c r="E2429" s="3" t="n">
        <v>11</v>
      </c>
      <c r="F2429" s="4" t="n">
        <v>0.3</v>
      </c>
      <c r="G2429" s="5">
        <f>ROUND(E2429*(1+F2429),2)</f>
        <v>14.30</v>
      </c>
      <c r="H2429" s="5">
        <f>ROUND(G2429*NOTAS!$B$2,2)</f>
        <v>10315.24</v>
      </c>
      <c r="I2429" s="6">
        <f>ROUND(G2429*NOTAS!$B$3,0)</f>
        <v>46459</v>
      </c>
      <c r="J2429" s="2" t="n">
        <v>2</v>
      </c>
    </row>
    <row r="2430">
      <c r="A2430" s="2" t="inlineStr">
        <is>
          <t>21100</t>
        </is>
      </c>
      <c r="B2430" s="2" t="inlineStr"/>
      <c r="C2430" s="2" t="inlineStr">
        <is>
          <t>GUAYA EMBRAGUE LADA SAMARA</t>
        </is>
      </c>
      <c r="D2430" s="2" t="inlineStr">
        <is>
          <t>EUROBRAS</t>
        </is>
      </c>
      <c r="E2430" s="3" t="n">
        <v>7</v>
      </c>
      <c r="F2430" s="4" t="n">
        <v>0.3</v>
      </c>
      <c r="G2430" s="5">
        <f>ROUND(E2430*(1+F2430),2)</f>
        <v>9.10</v>
      </c>
      <c r="H2430" s="5">
        <f>ROUND(G2430*NOTAS!$B$2,2)</f>
        <v>6564.24</v>
      </c>
      <c r="I2430" s="6">
        <f>ROUND(G2430*NOTAS!$B$3,0)</f>
        <v>29565</v>
      </c>
      <c r="J2430" s="2" t="n">
        <v>1</v>
      </c>
    </row>
    <row r="2431">
      <c r="A2431" s="2" t="inlineStr">
        <is>
          <t>944</t>
        </is>
      </c>
      <c r="B2431" s="2" t="inlineStr"/>
      <c r="C2431" s="2" t="inlineStr">
        <is>
          <t>GUAYA EMBRAGUE R-11/GALA</t>
        </is>
      </c>
      <c r="D2431" s="2" t="inlineStr">
        <is>
          <t>FREMEC</t>
        </is>
      </c>
      <c r="E2431" s="3" t="n">
        <v>6</v>
      </c>
      <c r="F2431" s="4" t="n">
        <v>0.3</v>
      </c>
      <c r="G2431" s="5">
        <f>ROUND(E2431*(1+F2431),2)</f>
        <v>7.80</v>
      </c>
      <c r="H2431" s="5">
        <f>ROUND(G2431*NOTAS!$B$2,2)</f>
        <v>5626.50</v>
      </c>
      <c r="I2431" s="6">
        <f>ROUND(G2431*NOTAS!$B$3,0)</f>
        <v>25341</v>
      </c>
      <c r="J2431" s="2" t="n">
        <v>1</v>
      </c>
    </row>
    <row r="2432">
      <c r="A2432" s="2" t="inlineStr">
        <is>
          <t>148</t>
        </is>
      </c>
      <c r="B2432" s="2" t="inlineStr"/>
      <c r="C2432" s="2" t="inlineStr">
        <is>
          <t>GUAYA EMBRAGUE R-11/GALA</t>
        </is>
      </c>
      <c r="D2432" s="2" t="inlineStr">
        <is>
          <t>FREMEC</t>
        </is>
      </c>
      <c r="E2432" s="3" t="n">
        <v>6</v>
      </c>
      <c r="F2432" s="4" t="n">
        <v>0.3</v>
      </c>
      <c r="G2432" s="5">
        <f>ROUND(E2432*(1+F2432),2)</f>
        <v>7.80</v>
      </c>
      <c r="H2432" s="5">
        <f>ROUND(G2432*NOTAS!$B$2,2)</f>
        <v>5626.50</v>
      </c>
      <c r="I2432" s="6">
        <f>ROUND(G2432*NOTAS!$B$3,0)</f>
        <v>25341</v>
      </c>
      <c r="J2432" s="2" t="n">
        <v>13</v>
      </c>
    </row>
    <row r="2433">
      <c r="A2433" s="2" t="inlineStr">
        <is>
          <t>CAB044A</t>
        </is>
      </c>
      <c r="B2433" s="2" t="inlineStr"/>
      <c r="C2433" s="2" t="inlineStr">
        <is>
          <t>GUAYA EMBRAGUE R-19 1.4</t>
        </is>
      </c>
      <c r="D2433" s="2" t="inlineStr">
        <is>
          <t>BWB</t>
        </is>
      </c>
      <c r="E2433" s="3" t="n">
        <v>8</v>
      </c>
      <c r="F2433" s="4" t="n">
        <v>0.3</v>
      </c>
      <c r="G2433" s="5">
        <f>ROUND(E2433*(1+F2433),2)</f>
        <v>10.40</v>
      </c>
      <c r="H2433" s="5">
        <f>ROUND(G2433*NOTAS!$B$2,2)</f>
        <v>7501.99</v>
      </c>
      <c r="I2433" s="6">
        <f>ROUND(G2433*NOTAS!$B$3,0)</f>
        <v>33788</v>
      </c>
      <c r="J2433" s="2" t="n">
        <v>4</v>
      </c>
    </row>
    <row r="2434">
      <c r="A2434" s="2" t="inlineStr">
        <is>
          <t>41136</t>
        </is>
      </c>
      <c r="B2434" s="2" t="inlineStr">
        <is>
          <t>7700787470</t>
        </is>
      </c>
      <c r="C2434" s="2" t="inlineStr">
        <is>
          <t>GUAYA EMBRAGUE R-19 1.4</t>
        </is>
      </c>
      <c r="D2434" s="2" t="inlineStr">
        <is>
          <t>EFFE</t>
        </is>
      </c>
      <c r="E2434" s="3" t="n">
        <v>7</v>
      </c>
      <c r="F2434" s="4" t="n">
        <v>0.3</v>
      </c>
      <c r="G2434" s="5">
        <f>ROUND(E2434*(1+F2434),2)</f>
        <v>9.10</v>
      </c>
      <c r="H2434" s="5">
        <f>ROUND(G2434*NOTAS!$B$2,2)</f>
        <v>6564.24</v>
      </c>
      <c r="I2434" s="6">
        <f>ROUND(G2434*NOTAS!$B$3,0)</f>
        <v>29565</v>
      </c>
      <c r="J2434" s="2" t="n">
        <v>6</v>
      </c>
    </row>
    <row r="2435">
      <c r="A2435" s="2" t="inlineStr">
        <is>
          <t>564</t>
        </is>
      </c>
      <c r="B2435" s="2" t="inlineStr">
        <is>
          <t>7700787470</t>
        </is>
      </c>
      <c r="C2435" s="2" t="inlineStr">
        <is>
          <t>GUAYA EMBRAGUE R-19 1.4</t>
        </is>
      </c>
      <c r="D2435" s="2" t="inlineStr">
        <is>
          <t>FREMEC</t>
        </is>
      </c>
      <c r="E2435" s="3" t="n">
        <v>7</v>
      </c>
      <c r="F2435" s="4" t="n">
        <v>0.3</v>
      </c>
      <c r="G2435" s="5">
        <f>ROUND(E2435*(1+F2435),2)</f>
        <v>9.10</v>
      </c>
      <c r="H2435" s="5">
        <f>ROUND(G2435*NOTAS!$B$2,2)</f>
        <v>6564.24</v>
      </c>
      <c r="I2435" s="6">
        <f>ROUND(G2435*NOTAS!$B$3,0)</f>
        <v>29565</v>
      </c>
      <c r="J2435" s="2" t="n">
        <v>8</v>
      </c>
    </row>
    <row r="2436">
      <c r="A2436" s="2" t="inlineStr">
        <is>
          <t>41107</t>
        </is>
      </c>
      <c r="B2436" s="2" t="inlineStr"/>
      <c r="C2436" s="2" t="inlineStr">
        <is>
          <t>GUAYA EMBRAGUE R-5</t>
        </is>
      </c>
      <c r="D2436" s="2" t="inlineStr">
        <is>
          <t>EFFE</t>
        </is>
      </c>
      <c r="E2436" s="3" t="n">
        <v>6</v>
      </c>
      <c r="F2436" s="4" t="n">
        <v>0.3</v>
      </c>
      <c r="G2436" s="5">
        <f>ROUND(E2436*(1+F2436),2)</f>
        <v>7.80</v>
      </c>
      <c r="H2436" s="5">
        <f>ROUND(G2436*NOTAS!$B$2,2)</f>
        <v>5626.50</v>
      </c>
      <c r="I2436" s="6">
        <f>ROUND(G2436*NOTAS!$B$3,0)</f>
        <v>25341</v>
      </c>
      <c r="J2436" s="2" t="n">
        <v>1</v>
      </c>
    </row>
    <row r="2437">
      <c r="A2437" s="2" t="inlineStr">
        <is>
          <t>41139</t>
        </is>
      </c>
      <c r="B2437" s="2" t="inlineStr">
        <is>
          <t>7700802682</t>
        </is>
      </c>
      <c r="C2437" s="2" t="inlineStr">
        <is>
          <t>GUAYA EMBRAGUE R-CLIO …/99</t>
        </is>
      </c>
      <c r="D2437" s="2" t="inlineStr">
        <is>
          <t>EFFE</t>
        </is>
      </c>
      <c r="E2437" s="3" t="n">
        <v>7</v>
      </c>
      <c r="F2437" s="4" t="n">
        <v>0.3</v>
      </c>
      <c r="G2437" s="5">
        <f>ROUND(E2437*(1+F2437),2)</f>
        <v>9.10</v>
      </c>
      <c r="H2437" s="5">
        <f>ROUND(G2437*NOTAS!$B$2,2)</f>
        <v>6564.24</v>
      </c>
      <c r="I2437" s="6">
        <f>ROUND(G2437*NOTAS!$B$3,0)</f>
        <v>29565</v>
      </c>
      <c r="J2437" s="2" t="n">
        <v>2</v>
      </c>
    </row>
    <row r="2438">
      <c r="A2438" s="2" t="inlineStr">
        <is>
          <t>3929</t>
        </is>
      </c>
      <c r="B2438" s="2" t="inlineStr"/>
      <c r="C2438" s="2" t="inlineStr">
        <is>
          <t>GUAYA EMBRAGUE R-LOGAN</t>
        </is>
      </c>
      <c r="D2438" s="2" t="inlineStr">
        <is>
          <t>FREMEC</t>
        </is>
      </c>
      <c r="E2438" s="3" t="n">
        <v>10</v>
      </c>
      <c r="F2438" s="4" t="n">
        <v>0.3</v>
      </c>
      <c r="G2438" s="5">
        <f>ROUND(E2438*(1+F2438),2)</f>
        <v>13.00</v>
      </c>
      <c r="H2438" s="5">
        <f>ROUND(G2438*NOTAS!$B$2,2)</f>
        <v>9377.49</v>
      </c>
      <c r="I2438" s="6">
        <f>ROUND(G2438*NOTAS!$B$3,0)</f>
        <v>42235</v>
      </c>
      <c r="J2438" s="2" t="n">
        <v>1</v>
      </c>
    </row>
    <row r="2439">
      <c r="A2439" s="2" t="inlineStr">
        <is>
          <t>999</t>
        </is>
      </c>
      <c r="B2439" s="2" t="inlineStr">
        <is>
          <t>7700430111</t>
        </is>
      </c>
      <c r="C2439" s="2" t="inlineStr">
        <is>
          <t>GUAYA EMBRAGUE R-TWINGO</t>
        </is>
      </c>
      <c r="D2439" s="2" t="inlineStr">
        <is>
          <t>FREMEC</t>
        </is>
      </c>
      <c r="E2439" s="3" t="n">
        <v>7</v>
      </c>
      <c r="F2439" s="4" t="n">
        <v>0.3</v>
      </c>
      <c r="G2439" s="5">
        <f>ROUND(E2439*(1+F2439),2)</f>
        <v>9.10</v>
      </c>
      <c r="H2439" s="5">
        <f>ROUND(G2439*NOTAS!$B$2,2)</f>
        <v>6564.24</v>
      </c>
      <c r="I2439" s="6">
        <f>ROUND(G2439*NOTAS!$B$3,0)</f>
        <v>29565</v>
      </c>
      <c r="J2439" s="2" t="n">
        <v>4</v>
      </c>
    </row>
    <row r="2440">
      <c r="A2440" s="2" t="inlineStr">
        <is>
          <t>13029242</t>
        </is>
      </c>
      <c r="B2440" s="2" t="inlineStr"/>
      <c r="C2440" s="2" t="inlineStr">
        <is>
          <t>GUAYA EMBRAGUE SPARK</t>
        </is>
      </c>
      <c r="D2440" s="2" t="inlineStr"/>
      <c r="E2440" s="3" t="n">
        <v>10</v>
      </c>
      <c r="F2440" s="4" t="n">
        <v>0.3</v>
      </c>
      <c r="G2440" s="5">
        <f>ROUND(E2440*(1+F2440),2)</f>
        <v>13.00</v>
      </c>
      <c r="H2440" s="5">
        <f>ROUND(G2440*NOTAS!$B$2,2)</f>
        <v>9377.49</v>
      </c>
      <c r="I2440" s="6">
        <f>ROUND(G2440*NOTAS!$B$3,0)</f>
        <v>42235</v>
      </c>
      <c r="J2440" s="2" t="n">
        <v>2</v>
      </c>
    </row>
    <row r="2441">
      <c r="A2441" s="2" t="inlineStr">
        <is>
          <t>P25187023</t>
        </is>
      </c>
      <c r="B2441" s="2" t="inlineStr"/>
      <c r="C2441" s="2" t="inlineStr">
        <is>
          <t>GUAYA EMBRAGUE SPARK</t>
        </is>
      </c>
      <c r="D2441" s="2" t="inlineStr">
        <is>
          <t>PARTS-MALL</t>
        </is>
      </c>
      <c r="E2441" s="3" t="n">
        <v>9</v>
      </c>
      <c r="F2441" s="4" t="n">
        <v>0.3</v>
      </c>
      <c r="G2441" s="5">
        <f>ROUND(E2441*(1+F2441),2)</f>
        <v>11.70</v>
      </c>
      <c r="H2441" s="5">
        <f>ROUND(G2441*NOTAS!$B$2,2)</f>
        <v>8439.74</v>
      </c>
      <c r="I2441" s="6">
        <f>ROUND(G2441*NOTAS!$B$3,0)</f>
        <v>38012</v>
      </c>
      <c r="J2441" s="2" t="n">
        <v>2</v>
      </c>
    </row>
    <row r="2442">
      <c r="A2442" s="2" t="inlineStr">
        <is>
          <t>96590793</t>
        </is>
      </c>
      <c r="B2442" s="2" t="inlineStr"/>
      <c r="C2442" s="2" t="inlineStr">
        <is>
          <t>GUAYA EMBRAGUE SPARK</t>
        </is>
      </c>
      <c r="D2442" s="2" t="inlineStr">
        <is>
          <t>GM</t>
        </is>
      </c>
      <c r="E2442" s="3" t="n">
        <v>11</v>
      </c>
      <c r="F2442" s="4" t="n">
        <v>0.3</v>
      </c>
      <c r="G2442" s="5">
        <f>ROUND(E2442*(1+F2442),2)</f>
        <v>14.30</v>
      </c>
      <c r="H2442" s="5">
        <f>ROUND(G2442*NOTAS!$B$2,2)</f>
        <v>10315.24</v>
      </c>
      <c r="I2442" s="6">
        <f>ROUND(G2442*NOTAS!$B$3,0)</f>
        <v>46459</v>
      </c>
      <c r="J2442" s="2" t="n">
        <v>11</v>
      </c>
    </row>
    <row r="2443">
      <c r="A2443" s="2" t="inlineStr">
        <is>
          <t>90235948</t>
        </is>
      </c>
      <c r="B2443" s="2" t="inlineStr"/>
      <c r="C2443" s="2" t="inlineStr">
        <is>
          <t>GUAYA FRENO MANO CIELO</t>
        </is>
      </c>
      <c r="D2443" s="2" t="inlineStr">
        <is>
          <t>GM</t>
        </is>
      </c>
      <c r="E2443" s="3" t="n">
        <v>10</v>
      </c>
      <c r="F2443" s="4" t="n">
        <v>0.3</v>
      </c>
      <c r="G2443" s="5">
        <f>ROUND(E2443*(1+F2443),2)</f>
        <v>13.00</v>
      </c>
      <c r="H2443" s="5">
        <f>ROUND(G2443*NOTAS!$B$2,2)</f>
        <v>9377.49</v>
      </c>
      <c r="I2443" s="6">
        <f>ROUND(G2443*NOTAS!$B$3,0)</f>
        <v>42235</v>
      </c>
      <c r="J2443" s="2" t="n">
        <v>4</v>
      </c>
    </row>
    <row r="2444">
      <c r="A2444" s="2" t="inlineStr">
        <is>
          <t>IKS4228</t>
        </is>
      </c>
      <c r="B2444" s="2" t="inlineStr"/>
      <c r="C2444" s="2" t="inlineStr">
        <is>
          <t>GUAYA FRENO MANO DERECHA CORSA</t>
        </is>
      </c>
      <c r="D2444" s="2" t="inlineStr">
        <is>
          <t>IKS</t>
        </is>
      </c>
      <c r="E2444" s="3" t="n">
        <v>10</v>
      </c>
      <c r="F2444" s="4" t="n">
        <v>0.3</v>
      </c>
      <c r="G2444" s="5">
        <f>ROUND(E2444*(1+F2444),2)</f>
        <v>13.00</v>
      </c>
      <c r="H2444" s="5">
        <f>ROUND(G2444*NOTAS!$B$2,2)</f>
        <v>9377.49</v>
      </c>
      <c r="I2444" s="6">
        <f>ROUND(G2444*NOTAS!$B$3,0)</f>
        <v>42235</v>
      </c>
      <c r="J2444" s="2" t="n">
        <v>1</v>
      </c>
    </row>
    <row r="2445">
      <c r="A2445" s="2" t="inlineStr">
        <is>
          <t>7798268</t>
        </is>
      </c>
      <c r="B2445" s="2" t="inlineStr"/>
      <c r="C2445" s="2" t="inlineStr">
        <is>
          <t>GUAYA FRENO MANO DERECHA F-PALIO/SIENA</t>
        </is>
      </c>
      <c r="D2445" s="2" t="inlineStr">
        <is>
          <t>TORKY</t>
        </is>
      </c>
      <c r="E2445" s="3" t="n">
        <v>10</v>
      </c>
      <c r="F2445" s="4" t="n">
        <v>0.3</v>
      </c>
      <c r="G2445" s="5">
        <f>ROUND(E2445*(1+F2445),2)</f>
        <v>13.00</v>
      </c>
      <c r="H2445" s="5">
        <f>ROUND(G2445*NOTAS!$B$2,2)</f>
        <v>9377.49</v>
      </c>
      <c r="I2445" s="6">
        <f>ROUND(G2445*NOTAS!$B$3,0)</f>
        <v>42235</v>
      </c>
      <c r="J2445" s="2" t="n">
        <v>3</v>
      </c>
    </row>
    <row r="2446">
      <c r="A2446" s="2" t="inlineStr">
        <is>
          <t>FA2.125</t>
        </is>
      </c>
      <c r="B2446" s="2" t="inlineStr"/>
      <c r="C2446" s="2" t="inlineStr">
        <is>
          <t>GUAYA FRENO MANO F-132</t>
        </is>
      </c>
      <c r="D2446" s="2" t="inlineStr">
        <is>
          <t>ITALY</t>
        </is>
      </c>
      <c r="E2446" s="3" t="n">
        <v>10</v>
      </c>
      <c r="F2446" s="4" t="n">
        <v>0.3</v>
      </c>
      <c r="G2446" s="5">
        <f>ROUND(E2446*(1+F2446),2)</f>
        <v>13.00</v>
      </c>
      <c r="H2446" s="5">
        <f>ROUND(G2446*NOTAS!$B$2,2)</f>
        <v>9377.49</v>
      </c>
      <c r="I2446" s="6">
        <f>ROUND(G2446*NOTAS!$B$3,0)</f>
        <v>42235</v>
      </c>
      <c r="J2446" s="2" t="n">
        <v>2</v>
      </c>
    </row>
    <row r="2447">
      <c r="A2447" s="2" t="inlineStr">
        <is>
          <t>11209</t>
        </is>
      </c>
      <c r="B2447" s="2" t="inlineStr"/>
      <c r="C2447" s="2" t="inlineStr">
        <is>
          <t>GUAYA FRENO MANO F-147/SPAZIO</t>
        </is>
      </c>
      <c r="D2447" s="2" t="inlineStr">
        <is>
          <t>EFFE</t>
        </is>
      </c>
      <c r="E2447" s="3" t="n">
        <v>12</v>
      </c>
      <c r="F2447" s="4" t="n">
        <v>0.3</v>
      </c>
      <c r="G2447" s="5">
        <f>ROUND(E2447*(1+F2447),2)</f>
        <v>15.60</v>
      </c>
      <c r="H2447" s="5">
        <f>ROUND(G2447*NOTAS!$B$2,2)</f>
        <v>11252.99</v>
      </c>
      <c r="I2447" s="6">
        <f>ROUND(G2447*NOTAS!$B$3,0)</f>
        <v>50682</v>
      </c>
      <c r="J2447" s="2" t="n">
        <v>3</v>
      </c>
    </row>
    <row r="2448">
      <c r="A2448" s="2" t="inlineStr">
        <is>
          <t>11209</t>
        </is>
      </c>
      <c r="B2448" s="2" t="inlineStr"/>
      <c r="C2448" s="2" t="inlineStr">
        <is>
          <t>GUAYA FRENO MANO F-147/SPAZIO</t>
        </is>
      </c>
      <c r="D2448" s="2" t="inlineStr">
        <is>
          <t>EUROBRAS</t>
        </is>
      </c>
      <c r="E2448" s="3" t="n">
        <v>10</v>
      </c>
      <c r="F2448" s="4" t="n">
        <v>0.3</v>
      </c>
      <c r="G2448" s="5">
        <f>ROUND(E2448*(1+F2448),2)</f>
        <v>13.00</v>
      </c>
      <c r="H2448" s="5">
        <f>ROUND(G2448*NOTAS!$B$2,2)</f>
        <v>9377.49</v>
      </c>
      <c r="I2448" s="6">
        <f>ROUND(G2448*NOTAS!$B$3,0)</f>
        <v>42235</v>
      </c>
      <c r="J2448" s="2" t="n">
        <v>2</v>
      </c>
    </row>
    <row r="2449">
      <c r="A2449" s="2" t="inlineStr">
        <is>
          <t>IKS3201</t>
        </is>
      </c>
      <c r="B2449" s="2" t="inlineStr">
        <is>
          <t>4362077</t>
        </is>
      </c>
      <c r="C2449" s="2" t="inlineStr">
        <is>
          <t>GUAYA FRENO MANO F-147/SPAZIO</t>
        </is>
      </c>
      <c r="D2449" s="2" t="inlineStr">
        <is>
          <t>IKS</t>
        </is>
      </c>
      <c r="E2449" s="3" t="n">
        <v>12</v>
      </c>
      <c r="F2449" s="4" t="n">
        <v>0.3</v>
      </c>
      <c r="G2449" s="5">
        <f>ROUND(E2449*(1+F2449),2)</f>
        <v>15.60</v>
      </c>
      <c r="H2449" s="5">
        <f>ROUND(G2449*NOTAS!$B$2,2)</f>
        <v>11252.99</v>
      </c>
      <c r="I2449" s="6">
        <f>ROUND(G2449*NOTAS!$B$3,0)</f>
        <v>50682</v>
      </c>
      <c r="J2449" s="2" t="n">
        <v>3</v>
      </c>
    </row>
    <row r="2450">
      <c r="A2450" s="2" t="inlineStr">
        <is>
          <t>204</t>
        </is>
      </c>
      <c r="B2450" s="2" t="inlineStr">
        <is>
          <t>4362077</t>
        </is>
      </c>
      <c r="C2450" s="2" t="inlineStr">
        <is>
          <t>GUAYA FRENO MANO F-147/SPAZIO</t>
        </is>
      </c>
      <c r="D2450" s="2" t="inlineStr">
        <is>
          <t>FREMEC</t>
        </is>
      </c>
      <c r="E2450" s="3" t="n">
        <v>12</v>
      </c>
      <c r="F2450" s="4" t="n">
        <v>0.3</v>
      </c>
      <c r="G2450" s="5">
        <f>ROUND(E2450*(1+F2450),2)</f>
        <v>15.60</v>
      </c>
      <c r="H2450" s="5">
        <f>ROUND(G2450*NOTAS!$B$2,2)</f>
        <v>11252.99</v>
      </c>
      <c r="I2450" s="6">
        <f>ROUND(G2450*NOTAS!$B$3,0)</f>
        <v>50682</v>
      </c>
      <c r="J2450" s="2" t="n">
        <v>4</v>
      </c>
    </row>
    <row r="2451">
      <c r="A2451" s="2" t="inlineStr">
        <is>
          <t>304</t>
        </is>
      </c>
      <c r="B2451" s="2" t="inlineStr"/>
      <c r="C2451" s="2" t="inlineStr">
        <is>
          <t>GUAYA FRENO MANO F-REGATA/RITMO</t>
        </is>
      </c>
      <c r="D2451" s="2" t="inlineStr">
        <is>
          <t>FREMEC</t>
        </is>
      </c>
      <c r="E2451" s="3" t="n">
        <v>10</v>
      </c>
      <c r="F2451" s="4" t="n">
        <v>0.3</v>
      </c>
      <c r="G2451" s="5">
        <f>ROUND(E2451*(1+F2451),2)</f>
        <v>13.00</v>
      </c>
      <c r="H2451" s="5">
        <f>ROUND(G2451*NOTAS!$B$2,2)</f>
        <v>9377.49</v>
      </c>
      <c r="I2451" s="6">
        <f>ROUND(G2451*NOTAS!$B$3,0)</f>
        <v>42235</v>
      </c>
      <c r="J2451" s="2" t="n">
        <v>1</v>
      </c>
    </row>
    <row r="2452">
      <c r="A2452" s="2" t="inlineStr">
        <is>
          <t>SIN CODIGO</t>
        </is>
      </c>
      <c r="B2452" s="2" t="inlineStr"/>
      <c r="C2452" s="2" t="inlineStr">
        <is>
          <t>GUAYA FRENO MANO F-REGATA/RITMO CORTA</t>
        </is>
      </c>
      <c r="D2452" s="2" t="inlineStr"/>
      <c r="E2452" s="3" t="n">
        <v>2</v>
      </c>
      <c r="F2452" s="4" t="n">
        <v>0.3</v>
      </c>
      <c r="G2452" s="5">
        <f>ROUND(E2452*(1+F2452),2)</f>
        <v>2.60</v>
      </c>
      <c r="H2452" s="5">
        <f>ROUND(G2452*NOTAS!$B$2,2)</f>
        <v>1875.50</v>
      </c>
      <c r="I2452" s="6">
        <f>ROUND(G2452*NOTAS!$B$3,0)</f>
        <v>8447</v>
      </c>
      <c r="J2452" s="2" t="n">
        <v>2</v>
      </c>
    </row>
    <row r="2453">
      <c r="A2453" s="2" t="inlineStr">
        <is>
          <t>46407961</t>
        </is>
      </c>
      <c r="B2453" s="2" t="inlineStr"/>
      <c r="C2453" s="2" t="inlineStr">
        <is>
          <t>GUAYA FRENO MANO IZQUIERDA F-PALIO/SIENA</t>
        </is>
      </c>
      <c r="D2453" s="2" t="inlineStr">
        <is>
          <t>TORKY</t>
        </is>
      </c>
      <c r="E2453" s="3" t="n">
        <v>10</v>
      </c>
      <c r="F2453" s="4" t="n">
        <v>0.3</v>
      </c>
      <c r="G2453" s="5">
        <f>ROUND(E2453*(1+F2453),2)</f>
        <v>13.00</v>
      </c>
      <c r="H2453" s="5">
        <f>ROUND(G2453*NOTAS!$B$2,2)</f>
        <v>9377.49</v>
      </c>
      <c r="I2453" s="6">
        <f>ROUND(G2453*NOTAS!$B$3,0)</f>
        <v>42235</v>
      </c>
      <c r="J2453" s="2" t="n">
        <v>2</v>
      </c>
    </row>
    <row r="2454">
      <c r="A2454" s="2" t="inlineStr">
        <is>
          <t>FI0695</t>
        </is>
      </c>
      <c r="B2454" s="2" t="inlineStr"/>
      <c r="C2454" s="2" t="inlineStr">
        <is>
          <t>GUAYA FRENO MANO IZQUIERDA F-PALIO/SIENA</t>
        </is>
      </c>
      <c r="D2454" s="2" t="inlineStr">
        <is>
          <t>EUROBRAS</t>
        </is>
      </c>
      <c r="E2454" s="3" t="n">
        <v>10</v>
      </c>
      <c r="F2454" s="4" t="n">
        <v>0.3</v>
      </c>
      <c r="G2454" s="5">
        <f>ROUND(E2454*(1+F2454),2)</f>
        <v>13.00</v>
      </c>
      <c r="H2454" s="5">
        <f>ROUND(G2454*NOTAS!$B$2,2)</f>
        <v>9377.49</v>
      </c>
      <c r="I2454" s="6">
        <f>ROUND(G2454*NOTAS!$B$3,0)</f>
        <v>42235</v>
      </c>
      <c r="J2454" s="2" t="n">
        <v>1</v>
      </c>
    </row>
    <row r="2455">
      <c r="A2455" s="2" t="inlineStr">
        <is>
          <t>41293</t>
        </is>
      </c>
      <c r="B2455" s="2" t="inlineStr">
        <is>
          <t>7700816858</t>
        </is>
      </c>
      <c r="C2455" s="2" t="inlineStr">
        <is>
          <t>GUAYA FRENO MANO R-19</t>
        </is>
      </c>
      <c r="D2455" s="2" t="inlineStr">
        <is>
          <t>EUROBRAS</t>
        </is>
      </c>
      <c r="E2455" s="3" t="n">
        <v>10</v>
      </c>
      <c r="F2455" s="4" t="n">
        <v>0.3</v>
      </c>
      <c r="G2455" s="5">
        <f>ROUND(E2455*(1+F2455),2)</f>
        <v>13.00</v>
      </c>
      <c r="H2455" s="5">
        <f>ROUND(G2455*NOTAS!$B$2,2)</f>
        <v>9377.49</v>
      </c>
      <c r="I2455" s="6">
        <f>ROUND(G2455*NOTAS!$B$3,0)</f>
        <v>42235</v>
      </c>
      <c r="J2455" s="2" t="n">
        <v>1</v>
      </c>
    </row>
    <row r="2456">
      <c r="A2456" s="2" t="inlineStr">
        <is>
          <t>IKS4403</t>
        </is>
      </c>
      <c r="B2456" s="2" t="inlineStr">
        <is>
          <t>94654204</t>
        </is>
      </c>
      <c r="C2456" s="2" t="inlineStr">
        <is>
          <t>GUAYA KM CHEVETTE 87/…</t>
        </is>
      </c>
      <c r="D2456" s="2" t="inlineStr">
        <is>
          <t>IKS</t>
        </is>
      </c>
      <c r="E2456" s="3" t="n">
        <v>4</v>
      </c>
      <c r="F2456" s="4" t="n">
        <v>0.3</v>
      </c>
      <c r="G2456" s="5">
        <f>ROUND(E2456*(1+F2456),2)</f>
        <v>5.20</v>
      </c>
      <c r="H2456" s="5">
        <f>ROUND(G2456*NOTAS!$B$2,2)</f>
        <v>3751.00</v>
      </c>
      <c r="I2456" s="6">
        <f>ROUND(G2456*NOTAS!$B$3,0)</f>
        <v>16894</v>
      </c>
      <c r="J2456" s="2" t="n">
        <v>2</v>
      </c>
    </row>
    <row r="2457">
      <c r="A2457" s="2" t="inlineStr">
        <is>
          <t>P96182117</t>
        </is>
      </c>
      <c r="B2457" s="2" t="inlineStr"/>
      <c r="C2457" s="2" t="inlineStr">
        <is>
          <t>GUAYA KM CIELO</t>
        </is>
      </c>
      <c r="D2457" s="2" t="inlineStr">
        <is>
          <t>PARTS-MALL</t>
        </is>
      </c>
      <c r="E2457" s="3" t="n">
        <v>7</v>
      </c>
      <c r="F2457" s="4" t="n">
        <v>0.3</v>
      </c>
      <c r="G2457" s="5">
        <f>ROUND(E2457*(1+F2457),2)</f>
        <v>9.10</v>
      </c>
      <c r="H2457" s="5">
        <f>ROUND(G2457*NOTAS!$B$2,2)</f>
        <v>6564.24</v>
      </c>
      <c r="I2457" s="6">
        <f>ROUND(G2457*NOTAS!$B$3,0)</f>
        <v>29565</v>
      </c>
      <c r="J2457" s="2" t="n">
        <v>8</v>
      </c>
    </row>
    <row r="2458">
      <c r="A2458" s="2" t="inlineStr">
        <is>
          <t>111533</t>
        </is>
      </c>
      <c r="B2458" s="2" t="inlineStr"/>
      <c r="C2458" s="2" t="inlineStr">
        <is>
          <t>GUAYA KM F-131 1600 AUTOMATICO</t>
        </is>
      </c>
      <c r="D2458" s="2" t="inlineStr">
        <is>
          <t>EFFE</t>
        </is>
      </c>
      <c r="E2458" s="3" t="n">
        <v>5</v>
      </c>
      <c r="F2458" s="4" t="n">
        <v>0.3</v>
      </c>
      <c r="G2458" s="5">
        <f>ROUND(E2458*(1+F2458),2)</f>
        <v>6.50</v>
      </c>
      <c r="H2458" s="5">
        <f>ROUND(G2458*NOTAS!$B$2,2)</f>
        <v>4688.75</v>
      </c>
      <c r="I2458" s="6">
        <f>ROUND(G2458*NOTAS!$B$3,0)</f>
        <v>21118</v>
      </c>
      <c r="J2458" s="2" t="n">
        <v>2</v>
      </c>
    </row>
    <row r="2459">
      <c r="A2459" s="2" t="inlineStr">
        <is>
          <t>131517</t>
        </is>
      </c>
      <c r="B2459" s="2" t="inlineStr"/>
      <c r="C2459" s="2" t="inlineStr">
        <is>
          <t>GUAYA KM FIESTA 1.25/1.3</t>
        </is>
      </c>
      <c r="D2459" s="2" t="inlineStr">
        <is>
          <t>EUROBRAS</t>
        </is>
      </c>
      <c r="E2459" s="3" t="n">
        <v>5</v>
      </c>
      <c r="F2459" s="4" t="n">
        <v>0.3</v>
      </c>
      <c r="G2459" s="5">
        <f>ROUND(E2459*(1+F2459),2)</f>
        <v>6.50</v>
      </c>
      <c r="H2459" s="5">
        <f>ROUND(G2459*NOTAS!$B$2,2)</f>
        <v>4688.75</v>
      </c>
      <c r="I2459" s="6">
        <f>ROUND(G2459*NOTAS!$B$3,0)</f>
        <v>21118</v>
      </c>
      <c r="J2459" s="2" t="n">
        <v>1</v>
      </c>
    </row>
    <row r="2460">
      <c r="A2460" s="2" t="inlineStr">
        <is>
          <t>131517</t>
        </is>
      </c>
      <c r="B2460" s="2" t="inlineStr"/>
      <c r="C2460" s="2" t="inlineStr">
        <is>
          <t>GUAYA KM FIESTA 1.3</t>
        </is>
      </c>
      <c r="D2460" s="2" t="inlineStr">
        <is>
          <t>EUROBRAS</t>
        </is>
      </c>
      <c r="E2460" s="3" t="n">
        <v>5</v>
      </c>
      <c r="F2460" s="4" t="n">
        <v>0.3</v>
      </c>
      <c r="G2460" s="5">
        <f>ROUND(E2460*(1+F2460),2)</f>
        <v>6.50</v>
      </c>
      <c r="H2460" s="5">
        <f>ROUND(G2460*NOTAS!$B$2,2)</f>
        <v>4688.75</v>
      </c>
      <c r="I2460" s="6">
        <f>ROUND(G2460*NOTAS!$B$3,0)</f>
        <v>21118</v>
      </c>
      <c r="J2460" s="2" t="n">
        <v>1</v>
      </c>
    </row>
    <row r="2461">
      <c r="A2461" s="2" t="inlineStr">
        <is>
          <t>KV509B</t>
        </is>
      </c>
      <c r="B2461" s="2" t="inlineStr">
        <is>
          <t>46401201</t>
        </is>
      </c>
      <c r="C2461" s="2" t="inlineStr">
        <is>
          <t>GUAYA KM F-PALIO/SIENA</t>
        </is>
      </c>
      <c r="D2461" s="2" t="inlineStr">
        <is>
          <t>MCM</t>
        </is>
      </c>
      <c r="E2461" s="3" t="n">
        <v>5</v>
      </c>
      <c r="F2461" s="4" t="n">
        <v>0.3</v>
      </c>
      <c r="G2461" s="5">
        <f>ROUND(E2461*(1+F2461),2)</f>
        <v>6.50</v>
      </c>
      <c r="H2461" s="5">
        <f>ROUND(G2461*NOTAS!$B$2,2)</f>
        <v>4688.75</v>
      </c>
      <c r="I2461" s="6">
        <f>ROUND(G2461*NOTAS!$B$3,0)</f>
        <v>21118</v>
      </c>
      <c r="J2461" s="2" t="n">
        <v>1</v>
      </c>
    </row>
    <row r="2462">
      <c r="A2462" s="2" t="inlineStr">
        <is>
          <t>20115</t>
        </is>
      </c>
      <c r="B2462" s="2" t="inlineStr"/>
      <c r="C2462" s="2" t="inlineStr">
        <is>
          <t>GUAYA KM F-REGATA/RITMO</t>
        </is>
      </c>
      <c r="D2462" s="2" t="inlineStr">
        <is>
          <t>ITALY</t>
        </is>
      </c>
      <c r="E2462" s="3" t="n">
        <v>5</v>
      </c>
      <c r="F2462" s="4" t="n">
        <v>0.3</v>
      </c>
      <c r="G2462" s="5">
        <f>ROUND(E2462*(1+F2462),2)</f>
        <v>6.50</v>
      </c>
      <c r="H2462" s="5">
        <f>ROUND(G2462*NOTAS!$B$2,2)</f>
        <v>4688.75</v>
      </c>
      <c r="I2462" s="6">
        <f>ROUND(G2462*NOTAS!$B$3,0)</f>
        <v>21118</v>
      </c>
      <c r="J2462" s="2" t="n">
        <v>1</v>
      </c>
    </row>
    <row r="2463">
      <c r="A2463" s="2" t="inlineStr">
        <is>
          <t>1030</t>
        </is>
      </c>
      <c r="B2463" s="2" t="inlineStr"/>
      <c r="C2463" s="2" t="inlineStr">
        <is>
          <t>GUAYA KM F-UNO/PREMIO  87/91</t>
        </is>
      </c>
      <c r="D2463" s="2" t="inlineStr">
        <is>
          <t>FREMEC</t>
        </is>
      </c>
      <c r="E2463" s="3" t="n">
        <v>5</v>
      </c>
      <c r="F2463" s="4" t="n">
        <v>0.3</v>
      </c>
      <c r="G2463" s="5">
        <f>ROUND(E2463*(1+F2463),2)</f>
        <v>6.50</v>
      </c>
      <c r="H2463" s="5">
        <f>ROUND(G2463*NOTAS!$B$2,2)</f>
        <v>4688.75</v>
      </c>
      <c r="I2463" s="6">
        <f>ROUND(G2463*NOTAS!$B$3,0)</f>
        <v>21118</v>
      </c>
      <c r="J2463" s="2" t="n">
        <v>1</v>
      </c>
    </row>
    <row r="2464">
      <c r="A2464" s="2" t="inlineStr">
        <is>
          <t>1029</t>
        </is>
      </c>
      <c r="B2464" s="2" t="inlineStr">
        <is>
          <t>7656640</t>
        </is>
      </c>
      <c r="C2464" s="2" t="inlineStr">
        <is>
          <t>GUAYA KM F-UNO/PREMIO  92/… LARGA</t>
        </is>
      </c>
      <c r="D2464" s="2" t="inlineStr">
        <is>
          <t>FREMEC</t>
        </is>
      </c>
      <c r="E2464" s="3" t="n">
        <v>5</v>
      </c>
      <c r="F2464" s="4" t="n">
        <v>0.3</v>
      </c>
      <c r="G2464" s="5">
        <f>ROUND(E2464*(1+F2464),2)</f>
        <v>6.50</v>
      </c>
      <c r="H2464" s="5">
        <f>ROUND(G2464*NOTAS!$B$2,2)</f>
        <v>4688.75</v>
      </c>
      <c r="I2464" s="6">
        <f>ROUND(G2464*NOTAS!$B$3,0)</f>
        <v>21118</v>
      </c>
      <c r="J2464" s="2" t="n">
        <v>5</v>
      </c>
    </row>
    <row r="2465">
      <c r="A2465" s="2" t="inlineStr">
        <is>
          <t>1133</t>
        </is>
      </c>
      <c r="B2465" s="2" t="inlineStr"/>
      <c r="C2465" s="2" t="inlineStr">
        <is>
          <t>GUAYA KM R-11</t>
        </is>
      </c>
      <c r="D2465" s="2" t="inlineStr">
        <is>
          <t>FREMEC</t>
        </is>
      </c>
      <c r="E2465" s="3" t="n">
        <v>5</v>
      </c>
      <c r="F2465" s="4" t="n">
        <v>0.3</v>
      </c>
      <c r="G2465" s="5">
        <f>ROUND(E2465*(1+F2465),2)</f>
        <v>6.50</v>
      </c>
      <c r="H2465" s="5">
        <f>ROUND(G2465*NOTAS!$B$2,2)</f>
        <v>4688.75</v>
      </c>
      <c r="I2465" s="6">
        <f>ROUND(G2465*NOTAS!$B$3,0)</f>
        <v>21118</v>
      </c>
      <c r="J2465" s="2" t="n">
        <v>1</v>
      </c>
    </row>
    <row r="2466">
      <c r="A2466" s="2" t="inlineStr">
        <is>
          <t>411530</t>
        </is>
      </c>
      <c r="B2466" s="2" t="inlineStr"/>
      <c r="C2466" s="2" t="inlineStr">
        <is>
          <t>GUAYA KM R-18/FUEGO</t>
        </is>
      </c>
      <c r="D2466" s="2" t="inlineStr">
        <is>
          <t>EFFE</t>
        </is>
      </c>
      <c r="E2466" s="3" t="n">
        <v>5</v>
      </c>
      <c r="F2466" s="4" t="n">
        <v>0.3</v>
      </c>
      <c r="G2466" s="5">
        <f>ROUND(E2466*(1+F2466),2)</f>
        <v>6.50</v>
      </c>
      <c r="H2466" s="5">
        <f>ROUND(G2466*NOTAS!$B$2,2)</f>
        <v>4688.75</v>
      </c>
      <c r="I2466" s="6">
        <f>ROUND(G2466*NOTAS!$B$3,0)</f>
        <v>21118</v>
      </c>
      <c r="J2466" s="2" t="n">
        <v>1</v>
      </c>
    </row>
    <row r="2467">
      <c r="A2467" s="2" t="inlineStr">
        <is>
          <t>411521</t>
        </is>
      </c>
      <c r="B2467" s="2" t="inlineStr"/>
      <c r="C2467" s="2" t="inlineStr">
        <is>
          <t>GUAYA KM R-21</t>
        </is>
      </c>
      <c r="D2467" s="2" t="inlineStr">
        <is>
          <t>EFFE</t>
        </is>
      </c>
      <c r="E2467" s="3" t="n">
        <v>5</v>
      </c>
      <c r="F2467" s="4" t="n">
        <v>0.3</v>
      </c>
      <c r="G2467" s="5">
        <f>ROUND(E2467*(1+F2467),2)</f>
        <v>6.50</v>
      </c>
      <c r="H2467" s="5">
        <f>ROUND(G2467*NOTAS!$B$2,2)</f>
        <v>4688.75</v>
      </c>
      <c r="I2467" s="6">
        <f>ROUND(G2467*NOTAS!$B$3,0)</f>
        <v>21118</v>
      </c>
      <c r="J2467" s="2" t="n">
        <v>3</v>
      </c>
    </row>
    <row r="2468">
      <c r="A2468" s="2" t="inlineStr">
        <is>
          <t>7316469</t>
        </is>
      </c>
      <c r="B2468" s="2" t="inlineStr"/>
      <c r="C2468" s="2" t="inlineStr">
        <is>
          <t>GUIA COLLARIN CHEVETTE</t>
        </is>
      </c>
      <c r="D2468" s="2" t="inlineStr">
        <is>
          <t>ILRUCA</t>
        </is>
      </c>
      <c r="E2468" s="3" t="n">
        <v>7.6923</v>
      </c>
      <c r="F2468" s="4" t="n">
        <v>0.3</v>
      </c>
      <c r="G2468" s="5">
        <f>ROUND(E2468*(1+F2468),2)</f>
        <v>10.00</v>
      </c>
      <c r="H2468" s="5">
        <f>ROUND(G2468*NOTAS!$B$2,2)</f>
        <v>7213.46</v>
      </c>
      <c r="I2468" s="6">
        <f>ROUND(G2468*NOTAS!$B$3,0)</f>
        <v>32489</v>
      </c>
      <c r="J2468" s="2" t="n">
        <v>2</v>
      </c>
    </row>
    <row r="2469">
      <c r="A2469" s="2" t="inlineStr">
        <is>
          <t>90112325</t>
        </is>
      </c>
      <c r="B2469" s="2" t="inlineStr">
        <is>
          <t>94580547</t>
        </is>
      </c>
      <c r="C2469" s="2" t="inlineStr">
        <is>
          <t>GUIA COLLARIN CIELO/LANOS</t>
        </is>
      </c>
      <c r="D2469" s="2" t="inlineStr">
        <is>
          <t>GM</t>
        </is>
      </c>
      <c r="E2469" s="3" t="n">
        <v>12</v>
      </c>
      <c r="F2469" s="4" t="n">
        <v>0.3</v>
      </c>
      <c r="G2469" s="5">
        <f>ROUND(E2469*(1+F2469),2)</f>
        <v>15.60</v>
      </c>
      <c r="H2469" s="5">
        <f>ROUND(G2469*NOTAS!$B$2,2)</f>
        <v>11252.99</v>
      </c>
      <c r="I2469" s="6">
        <f>ROUND(G2469*NOTAS!$B$3,0)</f>
        <v>50682</v>
      </c>
      <c r="J2469" s="2" t="n">
        <v>6</v>
      </c>
    </row>
    <row r="2470">
      <c r="A2470" s="2" t="inlineStr">
        <is>
          <t>R,19-706</t>
        </is>
      </c>
      <c r="B2470" s="2" t="inlineStr"/>
      <c r="C2470" s="2" t="inlineStr">
        <is>
          <t>GUIA COLLARIN R-11/19</t>
        </is>
      </c>
      <c r="D2470" s="2" t="inlineStr">
        <is>
          <t>TAKSIM GROUP</t>
        </is>
      </c>
      <c r="E2470" s="3" t="n">
        <v>7.6923</v>
      </c>
      <c r="F2470" s="4" t="n">
        <v>0.3</v>
      </c>
      <c r="G2470" s="5">
        <f>ROUND(E2470*(1+F2470),2)</f>
        <v>10.00</v>
      </c>
      <c r="H2470" s="5">
        <f>ROUND(G2470*NOTAS!$B$2,2)</f>
        <v>7213.46</v>
      </c>
      <c r="I2470" s="6">
        <f>ROUND(G2470*NOTAS!$B$3,0)</f>
        <v>32489</v>
      </c>
      <c r="J2470" s="2" t="n">
        <v>0</v>
      </c>
    </row>
    <row r="2471">
      <c r="A2471" s="2" t="inlineStr">
        <is>
          <t>R.CLI-2023</t>
        </is>
      </c>
      <c r="B2471" s="2" t="inlineStr"/>
      <c r="C2471" s="2" t="inlineStr">
        <is>
          <t>GUIA COLLARIN R-SYMBOL/LOGAN/CLIO</t>
        </is>
      </c>
      <c r="D2471" s="2" t="inlineStr">
        <is>
          <t>TAKSIM GROUP</t>
        </is>
      </c>
      <c r="E2471" s="3" t="n">
        <v>7.6923</v>
      </c>
      <c r="F2471" s="4" t="n">
        <v>0.3</v>
      </c>
      <c r="G2471" s="5">
        <f>ROUND(E2471*(1+F2471),2)</f>
        <v>10.00</v>
      </c>
      <c r="H2471" s="5">
        <f>ROUND(G2471*NOTAS!$B$2,2)</f>
        <v>7213.46</v>
      </c>
      <c r="I2471" s="6">
        <f>ROUND(G2471*NOTAS!$B$3,0)</f>
        <v>32489</v>
      </c>
      <c r="J2471" s="2" t="n">
        <v>1</v>
      </c>
    </row>
    <row r="2472">
      <c r="A2472" s="2" t="inlineStr">
        <is>
          <t>21654</t>
        </is>
      </c>
      <c r="B2472" s="2" t="inlineStr"/>
      <c r="C2472" s="2" t="inlineStr">
        <is>
          <t>HOQUILLA 5TA R-11/19</t>
        </is>
      </c>
      <c r="D2472" s="2" t="inlineStr">
        <is>
          <t>OXION</t>
        </is>
      </c>
      <c r="E2472" s="3" t="n">
        <v>13.8462</v>
      </c>
      <c r="F2472" s="4" t="n">
        <v>0.3</v>
      </c>
      <c r="G2472" s="5">
        <f>ROUND(E2472*(1+F2472),2)</f>
        <v>18.00</v>
      </c>
      <c r="H2472" s="5">
        <f>ROUND(G2472*NOTAS!$B$2,2)</f>
        <v>12984.22</v>
      </c>
      <c r="I2472" s="6">
        <f>ROUND(G2472*NOTAS!$B$3,0)</f>
        <v>58480</v>
      </c>
      <c r="J2472" s="2" t="n">
        <v>1</v>
      </c>
    </row>
    <row r="2473">
      <c r="A2473" s="2" t="inlineStr">
        <is>
          <t>7333629</t>
        </is>
      </c>
      <c r="B2473" s="2" t="inlineStr"/>
      <c r="C2473" s="2" t="inlineStr">
        <is>
          <t>HOQUILLA EMBRAGUE CHEVETTE</t>
        </is>
      </c>
      <c r="D2473" s="2" t="inlineStr">
        <is>
          <t>IMA</t>
        </is>
      </c>
      <c r="E2473" s="3" t="n">
        <v>13.8462</v>
      </c>
      <c r="F2473" s="4" t="n">
        <v>0.3</v>
      </c>
      <c r="G2473" s="5">
        <f>ROUND(E2473*(1+F2473),2)</f>
        <v>18.00</v>
      </c>
      <c r="H2473" s="5">
        <f>ROUND(G2473*NOTAS!$B$2,2)</f>
        <v>12984.22</v>
      </c>
      <c r="I2473" s="6">
        <f>ROUND(G2473*NOTAS!$B$3,0)</f>
        <v>58480</v>
      </c>
      <c r="J2473" s="2" t="n">
        <v>1</v>
      </c>
    </row>
    <row r="2474">
      <c r="A2474" s="2" t="inlineStr">
        <is>
          <t>94580796</t>
        </is>
      </c>
      <c r="B2474" s="2" t="inlineStr"/>
      <c r="C2474" s="2" t="inlineStr">
        <is>
          <t>HOQUILLA EMBRAGUE CIELO</t>
        </is>
      </c>
      <c r="D2474" s="2" t="inlineStr">
        <is>
          <t>GM</t>
        </is>
      </c>
      <c r="E2474" s="3" t="n">
        <v>13.8462</v>
      </c>
      <c r="F2474" s="4" t="n">
        <v>0.3</v>
      </c>
      <c r="G2474" s="5">
        <f>ROUND(E2474*(1+F2474),2)</f>
        <v>18.00</v>
      </c>
      <c r="H2474" s="5">
        <f>ROUND(G2474*NOTAS!$B$2,2)</f>
        <v>12984.22</v>
      </c>
      <c r="I2474" s="6">
        <f>ROUND(G2474*NOTAS!$B$3,0)</f>
        <v>58480</v>
      </c>
      <c r="J2474" s="2" t="n">
        <v>1</v>
      </c>
    </row>
    <row r="2475">
      <c r="A2475" s="2" t="inlineStr">
        <is>
          <t>9204</t>
        </is>
      </c>
      <c r="B2475" s="2" t="inlineStr"/>
      <c r="C2475" s="2" t="inlineStr">
        <is>
          <t>HORQUILA EMBRAGUE CORSA</t>
        </is>
      </c>
      <c r="D2475" s="2" t="inlineStr">
        <is>
          <t>BRAZIL</t>
        </is>
      </c>
      <c r="E2475" s="3" t="n">
        <v>13.8462</v>
      </c>
      <c r="F2475" s="4" t="n">
        <v>0.3</v>
      </c>
      <c r="G2475" s="5">
        <f>ROUND(E2475*(1+F2475),2)</f>
        <v>18.00</v>
      </c>
      <c r="H2475" s="5">
        <f>ROUND(G2475*NOTAS!$B$2,2)</f>
        <v>12984.22</v>
      </c>
      <c r="I2475" s="6">
        <f>ROUND(G2475*NOTAS!$B$3,0)</f>
        <v>58480</v>
      </c>
      <c r="J2475" s="2" t="n">
        <v>2</v>
      </c>
    </row>
    <row r="2476">
      <c r="A2476" s="2" t="inlineStr">
        <is>
          <t>PL-004.02</t>
        </is>
      </c>
      <c r="B2476" s="2" t="inlineStr"/>
      <c r="C2476" s="2" t="inlineStr">
        <is>
          <t>HORQUILLA 3RA 4TA F-UNO/PREMIO/REGATA</t>
        </is>
      </c>
      <c r="D2476" s="2" t="inlineStr">
        <is>
          <t>PLATINUM</t>
        </is>
      </c>
      <c r="E2476" s="3" t="n">
        <v>15.3846</v>
      </c>
      <c r="F2476" s="4" t="n">
        <v>0.3</v>
      </c>
      <c r="G2476" s="5">
        <f>ROUND(E2476*(1+F2476),2)</f>
        <v>20.00</v>
      </c>
      <c r="H2476" s="5">
        <f>ROUND(G2476*NOTAS!$B$2,2)</f>
        <v>14426.91</v>
      </c>
      <c r="I2476" s="6">
        <f>ROUND(G2476*NOTAS!$B$3,0)</f>
        <v>64977</v>
      </c>
      <c r="J2476" s="2" t="n">
        <v>3</v>
      </c>
    </row>
    <row r="2477">
      <c r="A2477" s="2" t="inlineStr">
        <is>
          <t>PL-068.02</t>
        </is>
      </c>
      <c r="B2477" s="2" t="inlineStr"/>
      <c r="C2477" s="2" t="inlineStr">
        <is>
          <t>HORQUILLA 5TA F-PALIO/TEMPRA</t>
        </is>
      </c>
      <c r="D2477" s="2" t="inlineStr">
        <is>
          <t>PLATINUM</t>
        </is>
      </c>
      <c r="E2477" s="3" t="n">
        <v>15.3846</v>
      </c>
      <c r="F2477" s="4" t="n">
        <v>0.3</v>
      </c>
      <c r="G2477" s="5">
        <f>ROUND(E2477*(1+F2477),2)</f>
        <v>20.00</v>
      </c>
      <c r="H2477" s="5">
        <f>ROUND(G2477*NOTAS!$B$2,2)</f>
        <v>14426.91</v>
      </c>
      <c r="I2477" s="6">
        <f>ROUND(G2477*NOTAS!$B$3,0)</f>
        <v>64977</v>
      </c>
      <c r="J2477" s="2" t="n">
        <v>2</v>
      </c>
    </row>
    <row r="2478">
      <c r="A2478" s="2" t="inlineStr">
        <is>
          <t>WB80478</t>
        </is>
      </c>
      <c r="B2478" s="2" t="inlineStr"/>
      <c r="C2478" s="2" t="inlineStr">
        <is>
          <t>HORQUILLA EMBRAGUE R-11/19</t>
        </is>
      </c>
      <c r="D2478" s="2" t="inlineStr">
        <is>
          <t>TASKIN GROUP</t>
        </is>
      </c>
      <c r="E2478" s="3" t="n">
        <v>13.8462</v>
      </c>
      <c r="F2478" s="4" t="n">
        <v>0.3</v>
      </c>
      <c r="G2478" s="5">
        <f>ROUND(E2478*(1+F2478),2)</f>
        <v>18.00</v>
      </c>
      <c r="H2478" s="5">
        <f>ROUND(G2478*NOTAS!$B$2,2)</f>
        <v>12984.22</v>
      </c>
      <c r="I2478" s="6">
        <f>ROUND(G2478*NOTAS!$B$3,0)</f>
        <v>58480</v>
      </c>
      <c r="J2478" s="2" t="n">
        <v>4</v>
      </c>
    </row>
    <row r="2479">
      <c r="A2479" s="2" t="inlineStr"/>
      <c r="B2479" s="2" t="inlineStr"/>
      <c r="C2479" s="2" t="inlineStr">
        <is>
          <t>HORQUILLA EMBRAGUE R-SYMBOL/MEGANE/LOGAN</t>
        </is>
      </c>
      <c r="D2479" s="2" t="inlineStr"/>
      <c r="E2479" s="3" t="n">
        <v>15.3846</v>
      </c>
      <c r="F2479" s="4" t="n">
        <v>0.3</v>
      </c>
      <c r="G2479" s="5">
        <f>ROUND(E2479*(1+F2479),2)</f>
        <v>20.00</v>
      </c>
      <c r="H2479" s="5">
        <f>ROUND(G2479*NOTAS!$B$2,2)</f>
        <v>14426.91</v>
      </c>
      <c r="I2479" s="6">
        <f>ROUND(G2479*NOTAS!$B$3,0)</f>
        <v>64977</v>
      </c>
      <c r="J2479" s="2" t="n">
        <v>2</v>
      </c>
    </row>
    <row r="2480">
      <c r="A2480" s="2" t="inlineStr">
        <is>
          <t>7700861585</t>
        </is>
      </c>
      <c r="B2480" s="2" t="inlineStr"/>
      <c r="C2480" s="2" t="inlineStr">
        <is>
          <t>HORQUILLA EMBRAGUE R-SYMBOL/MEGANE/LOGAN</t>
        </is>
      </c>
      <c r="D2480" s="2" t="inlineStr">
        <is>
          <t>RENAULT</t>
        </is>
      </c>
      <c r="E2480" s="3" t="n">
        <v>15.3846</v>
      </c>
      <c r="F2480" s="4" t="n">
        <v>0.3</v>
      </c>
      <c r="G2480" s="5">
        <f>ROUND(E2480*(1+F2480),2)</f>
        <v>20.00</v>
      </c>
      <c r="H2480" s="5">
        <f>ROUND(G2480*NOTAS!$B$2,2)</f>
        <v>14426.91</v>
      </c>
      <c r="I2480" s="6">
        <f>ROUND(G2480*NOTAS!$B$3,0)</f>
        <v>64977</v>
      </c>
      <c r="J2480" s="2" t="n">
        <v>1</v>
      </c>
    </row>
    <row r="2481">
      <c r="A2481" s="2" t="inlineStr">
        <is>
          <t>R.CLI-326</t>
        </is>
      </c>
      <c r="B2481" s="2" t="inlineStr"/>
      <c r="C2481" s="2" t="inlineStr">
        <is>
          <t>HORQUILLA EMBRAGUE R-SYMBOL/MEGANE/LOGAN</t>
        </is>
      </c>
      <c r="D2481" s="2" t="inlineStr">
        <is>
          <t>TAKSIM GROUP</t>
        </is>
      </c>
      <c r="E2481" s="3" t="n">
        <v>15.3846</v>
      </c>
      <c r="F2481" s="4" t="n">
        <v>0.3</v>
      </c>
      <c r="G2481" s="5">
        <f>ROUND(E2481*(1+F2481),2)</f>
        <v>20.00</v>
      </c>
      <c r="H2481" s="5">
        <f>ROUND(G2481*NOTAS!$B$2,2)</f>
        <v>14426.91</v>
      </c>
      <c r="I2481" s="6">
        <f>ROUND(G2481*NOTAS!$B$3,0)</f>
        <v>64977</v>
      </c>
      <c r="J2481" s="2" t="n">
        <v>3</v>
      </c>
    </row>
    <row r="2482">
      <c r="A2482" s="2" t="inlineStr">
        <is>
          <t>P96386780</t>
        </is>
      </c>
      <c r="B2482" s="2" t="inlineStr"/>
      <c r="C2482" s="2" t="inlineStr">
        <is>
          <t>INYECTOR AVEO</t>
        </is>
      </c>
      <c r="D2482" s="2" t="inlineStr">
        <is>
          <t>PARTS-MALL</t>
        </is>
      </c>
      <c r="E2482" s="3" t="n">
        <v>34.6154</v>
      </c>
      <c r="F2482" s="4" t="n">
        <v>0.3</v>
      </c>
      <c r="G2482" s="5">
        <f>ROUND(E2482*(1+F2482),2)</f>
        <v>45.00</v>
      </c>
      <c r="H2482" s="5">
        <f>ROUND(G2482*NOTAS!$B$2,2)</f>
        <v>32460.55</v>
      </c>
      <c r="I2482" s="6">
        <f>ROUND(G2482*NOTAS!$B$3,0)</f>
        <v>146199</v>
      </c>
      <c r="J2482" s="2" t="n">
        <v>6</v>
      </c>
    </row>
    <row r="2483">
      <c r="A2483" s="2" t="inlineStr">
        <is>
          <t>17121646</t>
        </is>
      </c>
      <c r="B2483" s="2" t="inlineStr"/>
      <c r="C2483" s="2" t="inlineStr">
        <is>
          <t>INYECTOR CORSA</t>
        </is>
      </c>
      <c r="D2483" s="2" t="inlineStr">
        <is>
          <t>PARTS-MALL</t>
        </is>
      </c>
      <c r="E2483" s="3" t="n">
        <v>30.7692</v>
      </c>
      <c r="F2483" s="4" t="n">
        <v>0.3</v>
      </c>
      <c r="G2483" s="5">
        <f>ROUND(E2483*(1+F2483),2)</f>
        <v>40.00</v>
      </c>
      <c r="H2483" s="5">
        <f>ROUND(G2483*NOTAS!$B$2,2)</f>
        <v>28853.82</v>
      </c>
      <c r="I2483" s="6">
        <f>ROUND(G2483*NOTAS!$B$3,0)</f>
        <v>129955</v>
      </c>
      <c r="J2483" s="2" t="n">
        <v>2</v>
      </c>
    </row>
    <row r="2484">
      <c r="A2484" s="2" t="inlineStr">
        <is>
          <t>902951</t>
        </is>
      </c>
      <c r="B2484" s="2" t="inlineStr">
        <is>
          <t>9S4G9F593BA</t>
        </is>
      </c>
      <c r="C2484" s="2" t="inlineStr">
        <is>
          <t>INYECTOR FIESTA MOVE 1.6</t>
        </is>
      </c>
      <c r="D2484" s="2" t="inlineStr">
        <is>
          <t>FORD</t>
        </is>
      </c>
      <c r="E2484" s="3" t="n">
        <v>30.7692</v>
      </c>
      <c r="F2484" s="4" t="n">
        <v>0.3</v>
      </c>
      <c r="G2484" s="5">
        <f>ROUND(E2484*(1+F2484),2)</f>
        <v>40.00</v>
      </c>
      <c r="H2484" s="5">
        <f>ROUND(G2484*NOTAS!$B$2,2)</f>
        <v>28853.82</v>
      </c>
      <c r="I2484" s="6">
        <f>ROUND(G2484*NOTAS!$B$3,0)</f>
        <v>129955</v>
      </c>
      <c r="J2484" s="2" t="n">
        <v>2</v>
      </c>
    </row>
    <row r="2485">
      <c r="A2485" s="2" t="inlineStr">
        <is>
          <t>930086</t>
        </is>
      </c>
      <c r="B2485" s="2" t="inlineStr">
        <is>
          <t>2N1U9F593JA</t>
        </is>
      </c>
      <c r="C2485" s="2" t="inlineStr">
        <is>
          <t>INYECTOR FIESTA/ECOSPORT 1.6</t>
        </is>
      </c>
      <c r="D2485" s="2" t="inlineStr">
        <is>
          <t>FORD</t>
        </is>
      </c>
      <c r="E2485" s="3" t="n">
        <v>30.7692</v>
      </c>
      <c r="F2485" s="4" t="n">
        <v>0.3</v>
      </c>
      <c r="G2485" s="5">
        <f>ROUND(E2485*(1+F2485),2)</f>
        <v>40.00</v>
      </c>
      <c r="H2485" s="5">
        <f>ROUND(G2485*NOTAS!$B$2,2)</f>
        <v>28853.82</v>
      </c>
      <c r="I2485" s="6">
        <f>ROUND(G2485*NOTAS!$B$3,0)</f>
        <v>129955</v>
      </c>
      <c r="J2485" s="2" t="n">
        <v>5</v>
      </c>
    </row>
    <row r="2486">
      <c r="A2486" s="2" t="inlineStr">
        <is>
          <t>50101102</t>
        </is>
      </c>
      <c r="B2486" s="2" t="inlineStr"/>
      <c r="C2486" s="2" t="inlineStr">
        <is>
          <t>INYECTOR F-PALIO/SIENA 1.6/FIESTA 1.6</t>
        </is>
      </c>
      <c r="D2486" s="2" t="inlineStr">
        <is>
          <t>MAGNETI MARELLI</t>
        </is>
      </c>
      <c r="E2486" s="3" t="n">
        <v>30.7692</v>
      </c>
      <c r="F2486" s="4" t="n">
        <v>0.3</v>
      </c>
      <c r="G2486" s="5">
        <f>ROUND(E2486*(1+F2486),2)</f>
        <v>40.00</v>
      </c>
      <c r="H2486" s="5">
        <f>ROUND(G2486*NOTAS!$B$2,2)</f>
        <v>28853.82</v>
      </c>
      <c r="I2486" s="6">
        <f>ROUND(G2486*NOTAS!$B$3,0)</f>
        <v>129955</v>
      </c>
      <c r="J2486" s="2" t="n">
        <v>2</v>
      </c>
    </row>
    <row r="2487">
      <c r="A2487" s="2" t="inlineStr">
        <is>
          <t>P96620255</t>
        </is>
      </c>
      <c r="B2487" s="2" t="inlineStr"/>
      <c r="C2487" s="2" t="inlineStr">
        <is>
          <t>INYECTOR SPARK</t>
        </is>
      </c>
      <c r="D2487" s="2" t="inlineStr">
        <is>
          <t>PARTS-MALL</t>
        </is>
      </c>
      <c r="E2487" s="3" t="n">
        <v>26.9231</v>
      </c>
      <c r="F2487" s="4" t="n">
        <v>0.3</v>
      </c>
      <c r="G2487" s="5">
        <f>ROUND(E2487*(1+F2487),2)</f>
        <v>35.00</v>
      </c>
      <c r="H2487" s="5">
        <f>ROUND(G2487*NOTAS!$B$2,2)</f>
        <v>25247.10</v>
      </c>
      <c r="I2487" s="6">
        <f>ROUND(G2487*NOTAS!$B$3,0)</f>
        <v>113710</v>
      </c>
      <c r="J2487" s="2" t="n">
        <v>1</v>
      </c>
    </row>
    <row r="2488">
      <c r="A2488" s="2" t="inlineStr"/>
      <c r="B2488" s="2" t="inlineStr"/>
      <c r="C2488" s="2" t="inlineStr">
        <is>
          <t>JUEGO CILINDROS CERRADURA PUERTAS F-UNO/PREMIO</t>
        </is>
      </c>
      <c r="D2488" s="2" t="inlineStr">
        <is>
          <t>BRAZIL</t>
        </is>
      </c>
      <c r="E2488" s="3" t="n">
        <v>15.3846</v>
      </c>
      <c r="F2488" s="4" t="n">
        <v>0.3</v>
      </c>
      <c r="G2488" s="5">
        <f>ROUND(E2488*(1+F2488),2)</f>
        <v>20.00</v>
      </c>
      <c r="H2488" s="5">
        <f>ROUND(G2488*NOTAS!$B$2,2)</f>
        <v>14426.91</v>
      </c>
      <c r="I2488" s="6">
        <f>ROUND(G2488*NOTAS!$B$3,0)</f>
        <v>64977</v>
      </c>
      <c r="J2488" s="2" t="n">
        <v>4</v>
      </c>
    </row>
    <row r="2489">
      <c r="A2489" s="2" t="inlineStr">
        <is>
          <t>E25600 STD</t>
        </is>
      </c>
      <c r="B2489" s="2" t="inlineStr"/>
      <c r="C2489" s="2" t="inlineStr">
        <is>
          <t>JUEGO DE PISTONES  F-PALIO/SIENA 1.6 16V STD</t>
        </is>
      </c>
      <c r="D2489" s="2" t="inlineStr">
        <is>
          <t>MAHLE</t>
        </is>
      </c>
      <c r="E2489" s="3" t="n">
        <v>50</v>
      </c>
      <c r="F2489" s="4" t="n">
        <v>0.3</v>
      </c>
      <c r="G2489" s="5">
        <f>ROUND(E2489*(1+F2489),2)</f>
        <v>65.00</v>
      </c>
      <c r="H2489" s="5">
        <f>ROUND(G2489*NOTAS!$B$2,2)</f>
        <v>46887.46</v>
      </c>
      <c r="I2489" s="6">
        <f>ROUND(G2489*NOTAS!$B$3,0)</f>
        <v>211177</v>
      </c>
      <c r="J2489" s="2" t="n">
        <v>1</v>
      </c>
    </row>
    <row r="2490">
      <c r="A2490" s="2" t="inlineStr"/>
      <c r="B2490" s="2" t="inlineStr"/>
      <c r="C2490" s="2" t="inlineStr">
        <is>
          <t>JUEGO DE PISTONES  F-UNO/PREMIO 1.3 MEJORADO 080</t>
        </is>
      </c>
      <c r="D2490" s="2" t="inlineStr">
        <is>
          <t>KHC</t>
        </is>
      </c>
      <c r="E2490" s="3" t="n">
        <v>46.1538</v>
      </c>
      <c r="F2490" s="4" t="n">
        <v>0.3</v>
      </c>
      <c r="G2490" s="5">
        <f>ROUND(E2490*(1+F2490),2)</f>
        <v>60.00</v>
      </c>
      <c r="H2490" s="5">
        <f>ROUND(G2490*NOTAS!$B$2,2)</f>
        <v>43280.74</v>
      </c>
      <c r="I2490" s="6">
        <f>ROUND(G2490*NOTAS!$B$3,0)</f>
        <v>194932</v>
      </c>
      <c r="J2490" s="2" t="n">
        <v>1</v>
      </c>
    </row>
    <row r="2491">
      <c r="A2491" s="2" t="inlineStr"/>
      <c r="B2491" s="2" t="inlineStr"/>
      <c r="C2491" s="2" t="inlineStr">
        <is>
          <t>JUEGO DE PISTONES CHEVETTE 050 G/G</t>
        </is>
      </c>
      <c r="D2491" s="2" t="inlineStr">
        <is>
          <t>MAHLE</t>
        </is>
      </c>
      <c r="E2491" s="3" t="n">
        <v>42.3077</v>
      </c>
      <c r="F2491" s="4" t="n">
        <v>0.3</v>
      </c>
      <c r="G2491" s="5">
        <f>ROUND(E2491*(1+F2491),2)</f>
        <v>55.00</v>
      </c>
      <c r="H2491" s="5">
        <f>ROUND(G2491*NOTAS!$B$2,2)</f>
        <v>39674.01</v>
      </c>
      <c r="I2491" s="6">
        <f>ROUND(G2491*NOTAS!$B$3,0)</f>
        <v>178688</v>
      </c>
      <c r="J2491" s="2" t="n">
        <v>2</v>
      </c>
    </row>
    <row r="2492">
      <c r="A2492" s="2" t="inlineStr">
        <is>
          <t>PS424 075</t>
        </is>
      </c>
      <c r="B2492" s="2" t="inlineStr"/>
      <c r="C2492" s="2" t="inlineStr">
        <is>
          <t>JUEGO DE PISTONES CHEVETTE 075 G/G</t>
        </is>
      </c>
      <c r="D2492" s="2" t="inlineStr">
        <is>
          <t>SULOY</t>
        </is>
      </c>
      <c r="E2492" s="3" t="n">
        <v>46.1538</v>
      </c>
      <c r="F2492" s="4" t="n">
        <v>0.3</v>
      </c>
      <c r="G2492" s="5">
        <f>ROUND(E2492*(1+F2492),2)</f>
        <v>60.00</v>
      </c>
      <c r="H2492" s="5">
        <f>ROUND(G2492*NOTAS!$B$2,2)</f>
        <v>43280.74</v>
      </c>
      <c r="I2492" s="6">
        <f>ROUND(G2492*NOTAS!$B$3,0)</f>
        <v>194932</v>
      </c>
      <c r="J2492" s="2" t="n">
        <v>2</v>
      </c>
    </row>
    <row r="2493">
      <c r="A2493" s="2" t="inlineStr"/>
      <c r="B2493" s="2" t="inlineStr"/>
      <c r="C2493" s="2" t="inlineStr">
        <is>
          <t>JUEGO DE PISTONES CHEVETTE 075 G/G</t>
        </is>
      </c>
      <c r="D2493" s="2" t="inlineStr">
        <is>
          <t>MAHLE</t>
        </is>
      </c>
      <c r="E2493" s="3" t="n">
        <v>46.1538</v>
      </c>
      <c r="F2493" s="4" t="n">
        <v>0.3</v>
      </c>
      <c r="G2493" s="5">
        <f>ROUND(E2493*(1+F2493),2)</f>
        <v>60.00</v>
      </c>
      <c r="H2493" s="5">
        <f>ROUND(G2493*NOTAS!$B$2,2)</f>
        <v>43280.74</v>
      </c>
      <c r="I2493" s="6">
        <f>ROUND(G2493*NOTAS!$B$3,0)</f>
        <v>194932</v>
      </c>
      <c r="J2493" s="2" t="n">
        <v>1</v>
      </c>
    </row>
    <row r="2494">
      <c r="A2494" s="2" t="inlineStr">
        <is>
          <t>PNP1013</t>
        </is>
      </c>
      <c r="B2494" s="2" t="inlineStr"/>
      <c r="C2494" s="2" t="inlineStr">
        <is>
          <t>JUEGO DE PISTONES CIELO/LANOS 025</t>
        </is>
      </c>
      <c r="D2494" s="2" t="inlineStr">
        <is>
          <t>KOREA</t>
        </is>
      </c>
      <c r="E2494" s="3" t="n">
        <v>42.3077</v>
      </c>
      <c r="F2494" s="4" t="n">
        <v>0.3</v>
      </c>
      <c r="G2494" s="5">
        <f>ROUND(E2494*(1+F2494),2)</f>
        <v>55.00</v>
      </c>
      <c r="H2494" s="5">
        <f>ROUND(G2494*NOTAS!$B$2,2)</f>
        <v>39674.01</v>
      </c>
      <c r="I2494" s="6">
        <f>ROUND(G2494*NOTAS!$B$3,0)</f>
        <v>178688</v>
      </c>
      <c r="J2494" s="2" t="n">
        <v>1</v>
      </c>
    </row>
    <row r="2495">
      <c r="A2495" s="2" t="inlineStr">
        <is>
          <t>96081975 075</t>
        </is>
      </c>
      <c r="B2495" s="2" t="inlineStr"/>
      <c r="C2495" s="2" t="inlineStr">
        <is>
          <t>JUEGO DE PISTONES CIELO/LANOS 075</t>
        </is>
      </c>
      <c r="D2495" s="2" t="inlineStr">
        <is>
          <t>KMC</t>
        </is>
      </c>
      <c r="E2495" s="3" t="n">
        <v>46.1538</v>
      </c>
      <c r="F2495" s="4" t="n">
        <v>0.3</v>
      </c>
      <c r="G2495" s="5">
        <f>ROUND(E2495*(1+F2495),2)</f>
        <v>60.00</v>
      </c>
      <c r="H2495" s="5">
        <f>ROUND(G2495*NOTAS!$B$2,2)</f>
        <v>43280.74</v>
      </c>
      <c r="I2495" s="6">
        <f>ROUND(G2495*NOTAS!$B$3,0)</f>
        <v>194932</v>
      </c>
      <c r="J2495" s="2" t="n">
        <v>1</v>
      </c>
    </row>
    <row r="2496">
      <c r="A2496" s="2" t="inlineStr"/>
      <c r="B2496" s="2" t="inlineStr"/>
      <c r="C2496" s="2" t="inlineStr">
        <is>
          <t>JUEGO DE PISTONES CIELO/LANOS 075</t>
        </is>
      </c>
      <c r="D2496" s="2" t="inlineStr">
        <is>
          <t>KOREA</t>
        </is>
      </c>
      <c r="E2496" s="3" t="n">
        <v>46.1538</v>
      </c>
      <c r="F2496" s="4" t="n">
        <v>0.3</v>
      </c>
      <c r="G2496" s="5">
        <f>ROUND(E2496*(1+F2496),2)</f>
        <v>60.00</v>
      </c>
      <c r="H2496" s="5">
        <f>ROUND(G2496*NOTAS!$B$2,2)</f>
        <v>43280.74</v>
      </c>
      <c r="I2496" s="6">
        <f>ROUND(G2496*NOTAS!$B$3,0)</f>
        <v>194932</v>
      </c>
      <c r="J2496" s="2" t="n">
        <v>2</v>
      </c>
    </row>
    <row r="2497">
      <c r="A2497" s="2" t="inlineStr">
        <is>
          <t>96081975 STD</t>
        </is>
      </c>
      <c r="B2497" s="2" t="inlineStr"/>
      <c r="C2497" s="2" t="inlineStr">
        <is>
          <t>JUEGO DE PISTONES CIELO/LANOS STD</t>
        </is>
      </c>
      <c r="D2497" s="2" t="inlineStr">
        <is>
          <t>KMC</t>
        </is>
      </c>
      <c r="E2497" s="3" t="n">
        <v>38.4615</v>
      </c>
      <c r="F2497" s="4" t="n">
        <v>0.3</v>
      </c>
      <c r="G2497" s="5">
        <f>ROUND(E2497*(1+F2497),2)</f>
        <v>50.00</v>
      </c>
      <c r="H2497" s="5">
        <f>ROUND(G2497*NOTAS!$B$2,2)</f>
        <v>36067.28</v>
      </c>
      <c r="I2497" s="6">
        <f>ROUND(G2497*NOTAS!$B$3,0)</f>
        <v>162444</v>
      </c>
      <c r="J2497" s="2" t="n">
        <v>1</v>
      </c>
    </row>
    <row r="2498">
      <c r="A2498" s="2" t="inlineStr">
        <is>
          <t>S25460 060</t>
        </is>
      </c>
      <c r="B2498" s="2" t="inlineStr"/>
      <c r="C2498" s="2" t="inlineStr">
        <is>
          <t>JUEGO DE PISTONES CON ANILLOS  F-PALIO/SIENA 1.3 16V FIRE 060</t>
        </is>
      </c>
      <c r="D2498" s="2" t="inlineStr">
        <is>
          <t>MAHLE</t>
        </is>
      </c>
      <c r="E2498" s="3" t="n">
        <v>140</v>
      </c>
      <c r="F2498" s="4" t="n">
        <v>0.3</v>
      </c>
      <c r="G2498" s="5">
        <f>ROUND(E2498*(1+F2498),2)</f>
        <v>182.00</v>
      </c>
      <c r="H2498" s="5">
        <f>ROUND(G2498*NOTAS!$B$2,2)</f>
        <v>131284.90</v>
      </c>
      <c r="I2498" s="6">
        <f>ROUND(G2498*NOTAS!$B$3,0)</f>
        <v>591294</v>
      </c>
      <c r="J2498" s="2" t="n">
        <v>1</v>
      </c>
    </row>
    <row r="2499">
      <c r="A2499" s="2" t="inlineStr">
        <is>
          <t>S25460 STD</t>
        </is>
      </c>
      <c r="B2499" s="2" t="inlineStr"/>
      <c r="C2499" s="2" t="inlineStr">
        <is>
          <t>JUEGO DE PISTONES CON ANILLOS  F-PALIO/SIENA 1.3 16V FIRE STD</t>
        </is>
      </c>
      <c r="D2499" s="2" t="inlineStr">
        <is>
          <t>MAHLE</t>
        </is>
      </c>
      <c r="E2499" s="3" t="n">
        <v>140</v>
      </c>
      <c r="F2499" s="4" t="n">
        <v>0.3</v>
      </c>
      <c r="G2499" s="5">
        <f>ROUND(E2499*(1+F2499),2)</f>
        <v>182.00</v>
      </c>
      <c r="H2499" s="5">
        <f>ROUND(G2499*NOTAS!$B$2,2)</f>
        <v>131284.90</v>
      </c>
      <c r="I2499" s="6">
        <f>ROUND(G2499*NOTAS!$B$3,0)</f>
        <v>591294</v>
      </c>
      <c r="J2499" s="2" t="n">
        <v>1</v>
      </c>
    </row>
    <row r="2500">
      <c r="A2500" s="2" t="inlineStr">
        <is>
          <t>S25600 040</t>
        </is>
      </c>
      <c r="B2500" s="2" t="inlineStr"/>
      <c r="C2500" s="2" t="inlineStr">
        <is>
          <t>JUEGO DE PISTONES CON ANILLOS  F-PALIO/SIENA 1.6 16V 040</t>
        </is>
      </c>
      <c r="D2500" s="2" t="inlineStr">
        <is>
          <t>MAHLE</t>
        </is>
      </c>
      <c r="E2500" s="3" t="n">
        <v>140</v>
      </c>
      <c r="F2500" s="4" t="n">
        <v>0.3</v>
      </c>
      <c r="G2500" s="5">
        <f>ROUND(E2500*(1+F2500),2)</f>
        <v>182.00</v>
      </c>
      <c r="H2500" s="5">
        <f>ROUND(G2500*NOTAS!$B$2,2)</f>
        <v>131284.90</v>
      </c>
      <c r="I2500" s="6">
        <f>ROUND(G2500*NOTAS!$B$3,0)</f>
        <v>591294</v>
      </c>
      <c r="J2500" s="2" t="n">
        <v>1</v>
      </c>
    </row>
    <row r="2501">
      <c r="A2501" s="2" t="inlineStr">
        <is>
          <t>S18100 050</t>
        </is>
      </c>
      <c r="B2501" s="2" t="inlineStr"/>
      <c r="C2501" s="2" t="inlineStr">
        <is>
          <t>JUEGO DE PISTONES CON ANILLOS  R-SYMBOL/MEGANE/CLIO</t>
        </is>
      </c>
      <c r="D2501" s="2" t="inlineStr">
        <is>
          <t>MAHLE</t>
        </is>
      </c>
      <c r="E2501" s="3" t="n">
        <v>140</v>
      </c>
      <c r="F2501" s="4" t="n">
        <v>0.3</v>
      </c>
      <c r="G2501" s="5">
        <f>ROUND(E2501*(1+F2501),2)</f>
        <v>182.00</v>
      </c>
      <c r="H2501" s="5">
        <f>ROUND(G2501*NOTAS!$B$2,2)</f>
        <v>131284.90</v>
      </c>
      <c r="I2501" s="6">
        <f>ROUND(G2501*NOTAS!$B$3,0)</f>
        <v>591294</v>
      </c>
      <c r="J2501" s="2" t="n">
        <v>1</v>
      </c>
    </row>
    <row r="2502">
      <c r="A2502" s="2" t="inlineStr">
        <is>
          <t>S14050 050</t>
        </is>
      </c>
      <c r="B2502" s="2" t="inlineStr"/>
      <c r="C2502" s="2" t="inlineStr">
        <is>
          <t>JUEGO DE PISTONES CON ANILLOS CHEVETTE 050 G/G</t>
        </is>
      </c>
      <c r="D2502" s="2" t="inlineStr">
        <is>
          <t>MAHLE</t>
        </is>
      </c>
      <c r="E2502" s="3" t="n">
        <v>100</v>
      </c>
      <c r="F2502" s="4" t="n">
        <v>0.3</v>
      </c>
      <c r="G2502" s="5">
        <f>ROUND(E2502*(1+F2502),2)</f>
        <v>130.00</v>
      </c>
      <c r="H2502" s="5">
        <f>ROUND(G2502*NOTAS!$B$2,2)</f>
        <v>93774.93</v>
      </c>
      <c r="I2502" s="6">
        <f>ROUND(G2502*NOTAS!$B$3,0)</f>
        <v>422353</v>
      </c>
      <c r="J2502" s="2" t="n">
        <v>1</v>
      </c>
    </row>
    <row r="2503">
      <c r="A2503" s="2" t="inlineStr">
        <is>
          <t>S14050 075</t>
        </is>
      </c>
      <c r="B2503" s="2" t="inlineStr"/>
      <c r="C2503" s="2" t="inlineStr">
        <is>
          <t>JUEGO DE PISTONES CON ANILLOS CHEVETTE 075 G/G</t>
        </is>
      </c>
      <c r="D2503" s="2" t="inlineStr">
        <is>
          <t>MAHLE</t>
        </is>
      </c>
      <c r="E2503" s="3" t="n">
        <v>100</v>
      </c>
      <c r="F2503" s="4" t="n">
        <v>0.3</v>
      </c>
      <c r="G2503" s="5">
        <f>ROUND(E2503*(1+F2503),2)</f>
        <v>130.00</v>
      </c>
      <c r="H2503" s="5">
        <f>ROUND(G2503*NOTAS!$B$2,2)</f>
        <v>93774.93</v>
      </c>
      <c r="I2503" s="6">
        <f>ROUND(G2503*NOTAS!$B$3,0)</f>
        <v>422353</v>
      </c>
      <c r="J2503" s="2" t="n">
        <v>1</v>
      </c>
    </row>
    <row r="2504">
      <c r="A2504" s="2" t="inlineStr">
        <is>
          <t>S14050 100</t>
        </is>
      </c>
      <c r="B2504" s="2" t="inlineStr"/>
      <c r="C2504" s="2" t="inlineStr">
        <is>
          <t>JUEGO DE PISTONES CON ANILLOS CHEVETTE 100 G/G</t>
        </is>
      </c>
      <c r="D2504" s="2" t="inlineStr">
        <is>
          <t>MAHLE</t>
        </is>
      </c>
      <c r="E2504" s="3" t="n">
        <v>100</v>
      </c>
      <c r="F2504" s="4" t="n">
        <v>0.3</v>
      </c>
      <c r="G2504" s="5">
        <f>ROUND(E2504*(1+F2504),2)</f>
        <v>130.00</v>
      </c>
      <c r="H2504" s="5">
        <f>ROUND(G2504*NOTAS!$B$2,2)</f>
        <v>93774.93</v>
      </c>
      <c r="I2504" s="6">
        <f>ROUND(G2504*NOTAS!$B$3,0)</f>
        <v>422353</v>
      </c>
      <c r="J2504" s="2" t="n">
        <v>3</v>
      </c>
    </row>
    <row r="2505">
      <c r="A2505" s="2" t="inlineStr">
        <is>
          <t>S14200 050</t>
        </is>
      </c>
      <c r="B2505" s="2" t="inlineStr"/>
      <c r="C2505" s="2" t="inlineStr">
        <is>
          <t>JUEGO DE PISTONES CON ANILLOS CORSA 1.3 050</t>
        </is>
      </c>
      <c r="D2505" s="2" t="inlineStr">
        <is>
          <t>MAHLE</t>
        </is>
      </c>
      <c r="E2505" s="3" t="n">
        <v>100</v>
      </c>
      <c r="F2505" s="4" t="n">
        <v>0.3</v>
      </c>
      <c r="G2505" s="5">
        <f>ROUND(E2505*(1+F2505),2)</f>
        <v>130.00</v>
      </c>
      <c r="H2505" s="5">
        <f>ROUND(G2505*NOTAS!$B$2,2)</f>
        <v>93774.93</v>
      </c>
      <c r="I2505" s="6">
        <f>ROUND(G2505*NOTAS!$B$3,0)</f>
        <v>422353</v>
      </c>
      <c r="J2505" s="2" t="n">
        <v>1</v>
      </c>
    </row>
    <row r="2506">
      <c r="A2506" s="2" t="inlineStr">
        <is>
          <t>S14200 STD</t>
        </is>
      </c>
      <c r="B2506" s="2" t="inlineStr"/>
      <c r="C2506" s="2" t="inlineStr">
        <is>
          <t xml:space="preserve">JUEGO DE PISTONES CON ANILLOS CORSA 1.3 STD </t>
        </is>
      </c>
      <c r="D2506" s="2" t="inlineStr">
        <is>
          <t>MAHLE</t>
        </is>
      </c>
      <c r="E2506" s="3" t="n">
        <v>100</v>
      </c>
      <c r="F2506" s="4" t="n">
        <v>0.3</v>
      </c>
      <c r="G2506" s="5">
        <f>ROUND(E2506*(1+F2506),2)</f>
        <v>130.00</v>
      </c>
      <c r="H2506" s="5">
        <f>ROUND(G2506*NOTAS!$B$2,2)</f>
        <v>93774.93</v>
      </c>
      <c r="I2506" s="6">
        <f>ROUND(G2506*NOTAS!$B$3,0)</f>
        <v>422353</v>
      </c>
      <c r="J2506" s="2" t="n">
        <v>2</v>
      </c>
    </row>
    <row r="2507">
      <c r="A2507" s="2" t="inlineStr">
        <is>
          <t>S14185 STD</t>
        </is>
      </c>
      <c r="B2507" s="2" t="inlineStr"/>
      <c r="C2507" s="2" t="inlineStr">
        <is>
          <t>JUEGO DE PISTONES CON ANILLOS CORSA 1.6 STD</t>
        </is>
      </c>
      <c r="D2507" s="2" t="inlineStr">
        <is>
          <t>MAHLE</t>
        </is>
      </c>
      <c r="E2507" s="3" t="n">
        <v>120</v>
      </c>
      <c r="F2507" s="4" t="n">
        <v>0.3</v>
      </c>
      <c r="G2507" s="5">
        <f>ROUND(E2507*(1+F2507),2)</f>
        <v>156.00</v>
      </c>
      <c r="H2507" s="5">
        <f>ROUND(G2507*NOTAS!$B$2,2)</f>
        <v>112529.91</v>
      </c>
      <c r="I2507" s="6">
        <f>ROUND(G2507*NOTAS!$B$3,0)</f>
        <v>506824</v>
      </c>
      <c r="J2507" s="2" t="n">
        <v>1</v>
      </c>
    </row>
    <row r="2508">
      <c r="A2508" s="2" t="inlineStr">
        <is>
          <t>S25110 040</t>
        </is>
      </c>
      <c r="B2508" s="2" t="inlineStr"/>
      <c r="C2508" s="2" t="inlineStr">
        <is>
          <t>JUEGO DE PISTONES CON ANILLOS F-147/UNO 1.3 040</t>
        </is>
      </c>
      <c r="D2508" s="2" t="inlineStr">
        <is>
          <t>MAHLE</t>
        </is>
      </c>
      <c r="E2508" s="3" t="n">
        <v>100</v>
      </c>
      <c r="F2508" s="4" t="n">
        <v>0.3</v>
      </c>
      <c r="G2508" s="5">
        <f>ROUND(E2508*(1+F2508),2)</f>
        <v>130.00</v>
      </c>
      <c r="H2508" s="5">
        <f>ROUND(G2508*NOTAS!$B$2,2)</f>
        <v>93774.93</v>
      </c>
      <c r="I2508" s="6">
        <f>ROUND(G2508*NOTAS!$B$3,0)</f>
        <v>422353</v>
      </c>
      <c r="J2508" s="2" t="n">
        <v>1</v>
      </c>
    </row>
    <row r="2509">
      <c r="A2509" s="2" t="inlineStr">
        <is>
          <t>S25110 080</t>
        </is>
      </c>
      <c r="B2509" s="2" t="inlineStr"/>
      <c r="C2509" s="2" t="inlineStr">
        <is>
          <t>JUEGO DE PISTONES CON ANILLOS F-147/UNO 1.3 080</t>
        </is>
      </c>
      <c r="D2509" s="2" t="inlineStr">
        <is>
          <t>MAHLE</t>
        </is>
      </c>
      <c r="E2509" s="3" t="n">
        <v>100</v>
      </c>
      <c r="F2509" s="4" t="n">
        <v>0.3</v>
      </c>
      <c r="G2509" s="5">
        <f>ROUND(E2509*(1+F2509),2)</f>
        <v>130.00</v>
      </c>
      <c r="H2509" s="5">
        <f>ROUND(G2509*NOTAS!$B$2,2)</f>
        <v>93774.93</v>
      </c>
      <c r="I2509" s="6">
        <f>ROUND(G2509*NOTAS!$B$3,0)</f>
        <v>422353</v>
      </c>
      <c r="J2509" s="2" t="n">
        <v>1</v>
      </c>
    </row>
    <row r="2510">
      <c r="A2510" s="2" t="inlineStr">
        <is>
          <t>S25980 040</t>
        </is>
      </c>
      <c r="B2510" s="2" t="inlineStr"/>
      <c r="C2510" s="2" t="inlineStr">
        <is>
          <t>JUEGO DE PISTONES CON ANILLOS F-PALIO/SIENA 1.3 8V MPI 040</t>
        </is>
      </c>
      <c r="D2510" s="2" t="inlineStr">
        <is>
          <t>MAHLE</t>
        </is>
      </c>
      <c r="E2510" s="3" t="n">
        <v>120</v>
      </c>
      <c r="F2510" s="4" t="n">
        <v>0.3</v>
      </c>
      <c r="G2510" s="5">
        <f>ROUND(E2510*(1+F2510),2)</f>
        <v>156.00</v>
      </c>
      <c r="H2510" s="5">
        <f>ROUND(G2510*NOTAS!$B$2,2)</f>
        <v>112529.91</v>
      </c>
      <c r="I2510" s="6">
        <f>ROUND(G2510*NOTAS!$B$3,0)</f>
        <v>506824</v>
      </c>
      <c r="J2510" s="2" t="n">
        <v>1</v>
      </c>
    </row>
    <row r="2511">
      <c r="A2511" s="2" t="inlineStr">
        <is>
          <t>S25980 060</t>
        </is>
      </c>
      <c r="B2511" s="2" t="inlineStr"/>
      <c r="C2511" s="2" t="inlineStr">
        <is>
          <t>JUEGO DE PISTONES CON ANILLOS F-PALIO/SIENA 1.3 8V MPI 060</t>
        </is>
      </c>
      <c r="D2511" s="2" t="inlineStr">
        <is>
          <t>MAHLE</t>
        </is>
      </c>
      <c r="E2511" s="3" t="n">
        <v>120</v>
      </c>
      <c r="F2511" s="4" t="n">
        <v>0.3</v>
      </c>
      <c r="G2511" s="5">
        <f>ROUND(E2511*(1+F2511),2)</f>
        <v>156.00</v>
      </c>
      <c r="H2511" s="5">
        <f>ROUND(G2511*NOTAS!$B$2,2)</f>
        <v>112529.91</v>
      </c>
      <c r="I2511" s="6">
        <f>ROUND(G2511*NOTAS!$B$3,0)</f>
        <v>506824</v>
      </c>
      <c r="J2511" s="2" t="n">
        <v>1</v>
      </c>
    </row>
    <row r="2512">
      <c r="A2512" s="2" t="inlineStr">
        <is>
          <t>S25980 STD</t>
        </is>
      </c>
      <c r="B2512" s="2" t="inlineStr"/>
      <c r="C2512" s="2" t="inlineStr">
        <is>
          <t>JUEGO DE PISTONES CON ANILLOS F-PALIO/SIENA 1.3 8V MPI STD</t>
        </is>
      </c>
      <c r="D2512" s="2" t="inlineStr">
        <is>
          <t>MAHLE</t>
        </is>
      </c>
      <c r="E2512" s="3" t="n">
        <v>120</v>
      </c>
      <c r="F2512" s="4" t="n">
        <v>0.3</v>
      </c>
      <c r="G2512" s="5">
        <f>ROUND(E2512*(1+F2512),2)</f>
        <v>156.00</v>
      </c>
      <c r="H2512" s="5">
        <f>ROUND(G2512*NOTAS!$B$2,2)</f>
        <v>112529.91</v>
      </c>
      <c r="I2512" s="6">
        <f>ROUND(G2512*NOTAS!$B$3,0)</f>
        <v>506824</v>
      </c>
      <c r="J2512" s="2" t="n">
        <v>2</v>
      </c>
    </row>
    <row r="2513">
      <c r="A2513" s="2" t="inlineStr">
        <is>
          <t>S25120 040</t>
        </is>
      </c>
      <c r="B2513" s="2" t="inlineStr"/>
      <c r="C2513" s="2" t="inlineStr">
        <is>
          <t>JUEGO DE PISTONES CON ANILLOS F-UNO 1.3 PASADOR FINO 040</t>
        </is>
      </c>
      <c r="D2513" s="2" t="inlineStr">
        <is>
          <t>MAHLE</t>
        </is>
      </c>
      <c r="E2513" s="3" t="n">
        <v>100</v>
      </c>
      <c r="F2513" s="4" t="n">
        <v>0.3</v>
      </c>
      <c r="G2513" s="5">
        <f>ROUND(E2513*(1+F2513),2)</f>
        <v>130.00</v>
      </c>
      <c r="H2513" s="5">
        <f>ROUND(G2513*NOTAS!$B$2,2)</f>
        <v>93774.93</v>
      </c>
      <c r="I2513" s="6">
        <f>ROUND(G2513*NOTAS!$B$3,0)</f>
        <v>422353</v>
      </c>
      <c r="J2513" s="2" t="n">
        <v>2</v>
      </c>
    </row>
    <row r="2514">
      <c r="A2514" s="2" t="inlineStr">
        <is>
          <t>S25120 060</t>
        </is>
      </c>
      <c r="B2514" s="2" t="inlineStr"/>
      <c r="C2514" s="2" t="inlineStr">
        <is>
          <t>JUEGO DE PISTONES CON ANILLOS F-UNO 1.3 PASADOR FINO 060</t>
        </is>
      </c>
      <c r="D2514" s="2" t="inlineStr">
        <is>
          <t>MAHLE</t>
        </is>
      </c>
      <c r="E2514" s="3" t="n">
        <v>100</v>
      </c>
      <c r="F2514" s="4" t="n">
        <v>0.3</v>
      </c>
      <c r="G2514" s="5">
        <f>ROUND(E2514*(1+F2514),2)</f>
        <v>130.00</v>
      </c>
      <c r="H2514" s="5">
        <f>ROUND(G2514*NOTAS!$B$2,2)</f>
        <v>93774.93</v>
      </c>
      <c r="I2514" s="6">
        <f>ROUND(G2514*NOTAS!$B$3,0)</f>
        <v>422353</v>
      </c>
      <c r="J2514" s="2" t="n">
        <v>1</v>
      </c>
    </row>
    <row r="2515">
      <c r="A2515" s="2" t="inlineStr">
        <is>
          <t>S25120 STD</t>
        </is>
      </c>
      <c r="B2515" s="2" t="inlineStr"/>
      <c r="C2515" s="2" t="inlineStr">
        <is>
          <t>JUEGO DE PISTONES CON ANILLOS F-UNO 1.3 PASADOR FINO STD</t>
        </is>
      </c>
      <c r="D2515" s="2" t="inlineStr">
        <is>
          <t>MAHLE</t>
        </is>
      </c>
      <c r="E2515" s="3" t="n">
        <v>100</v>
      </c>
      <c r="F2515" s="4" t="n">
        <v>0.3</v>
      </c>
      <c r="G2515" s="5">
        <f>ROUND(E2515*(1+F2515),2)</f>
        <v>130.00</v>
      </c>
      <c r="H2515" s="5">
        <f>ROUND(G2515*NOTAS!$B$2,2)</f>
        <v>93774.93</v>
      </c>
      <c r="I2515" s="6">
        <f>ROUND(G2515*NOTAS!$B$3,0)</f>
        <v>422353</v>
      </c>
      <c r="J2515" s="2" t="n">
        <v>1</v>
      </c>
    </row>
    <row r="2516">
      <c r="A2516" s="2" t="inlineStr">
        <is>
          <t>S25020 040</t>
        </is>
      </c>
      <c r="B2516" s="2" t="inlineStr"/>
      <c r="C2516" s="2" t="inlineStr">
        <is>
          <t>JUEGO DE PISTONES CON ANILLOS F-UNO/PREMIO 1.3 MEJORADO 040</t>
        </is>
      </c>
      <c r="D2516" s="2" t="inlineStr">
        <is>
          <t>MAHLE</t>
        </is>
      </c>
      <c r="E2516" s="3" t="n">
        <v>100</v>
      </c>
      <c r="F2516" s="4" t="n">
        <v>0.3</v>
      </c>
      <c r="G2516" s="5">
        <f>ROUND(E2516*(1+F2516),2)</f>
        <v>130.00</v>
      </c>
      <c r="H2516" s="5">
        <f>ROUND(G2516*NOTAS!$B$2,2)</f>
        <v>93774.93</v>
      </c>
      <c r="I2516" s="6">
        <f>ROUND(G2516*NOTAS!$B$3,0)</f>
        <v>422353</v>
      </c>
      <c r="J2516" s="2" t="n">
        <v>1</v>
      </c>
    </row>
    <row r="2517">
      <c r="A2517" s="2" t="inlineStr">
        <is>
          <t>S25020 060</t>
        </is>
      </c>
      <c r="B2517" s="2" t="inlineStr"/>
      <c r="C2517" s="2" t="inlineStr">
        <is>
          <t>JUEGO DE PISTONES CON ANILLOS F-UNO/PREMIO 1.3 MEJORADO 060</t>
        </is>
      </c>
      <c r="D2517" s="2" t="inlineStr">
        <is>
          <t>MAHLE</t>
        </is>
      </c>
      <c r="E2517" s="3" t="n">
        <v>100</v>
      </c>
      <c r="F2517" s="4" t="n">
        <v>0.3</v>
      </c>
      <c r="G2517" s="5">
        <f>ROUND(E2517*(1+F2517),2)</f>
        <v>130.00</v>
      </c>
      <c r="H2517" s="5">
        <f>ROUND(G2517*NOTAS!$B$2,2)</f>
        <v>93774.93</v>
      </c>
      <c r="I2517" s="6">
        <f>ROUND(G2517*NOTAS!$B$3,0)</f>
        <v>422353</v>
      </c>
      <c r="J2517" s="2" t="n">
        <v>2</v>
      </c>
    </row>
    <row r="2518">
      <c r="A2518" s="2" t="inlineStr">
        <is>
          <t>S25020 STD</t>
        </is>
      </c>
      <c r="B2518" s="2" t="inlineStr"/>
      <c r="C2518" s="2" t="inlineStr">
        <is>
          <t>JUEGO DE PISTONES CON ANILLOS F-UNO/PREMIO 1.3 MEJORADO STD</t>
        </is>
      </c>
      <c r="D2518" s="2" t="inlineStr">
        <is>
          <t>MAHLE</t>
        </is>
      </c>
      <c r="E2518" s="3" t="n">
        <v>100</v>
      </c>
      <c r="F2518" s="4" t="n">
        <v>0.3</v>
      </c>
      <c r="G2518" s="5">
        <f>ROUND(E2518*(1+F2518),2)</f>
        <v>130.00</v>
      </c>
      <c r="H2518" s="5">
        <f>ROUND(G2518*NOTAS!$B$2,2)</f>
        <v>93774.93</v>
      </c>
      <c r="I2518" s="6">
        <f>ROUND(G2518*NOTAS!$B$3,0)</f>
        <v>422353</v>
      </c>
      <c r="J2518" s="2" t="n">
        <v>1</v>
      </c>
    </row>
    <row r="2519">
      <c r="A2519" s="2" t="inlineStr"/>
      <c r="B2519" s="2" t="inlineStr"/>
      <c r="C2519" s="2" t="inlineStr">
        <is>
          <t>JUEGO DE PISTONES CORSA 1.6 075</t>
        </is>
      </c>
      <c r="D2519" s="2" t="inlineStr">
        <is>
          <t>KMC</t>
        </is>
      </c>
      <c r="E2519" s="3" t="n">
        <v>46.1538</v>
      </c>
      <c r="F2519" s="4" t="n">
        <v>0.3</v>
      </c>
      <c r="G2519" s="5">
        <f>ROUND(E2519*(1+F2519),2)</f>
        <v>60.00</v>
      </c>
      <c r="H2519" s="5">
        <f>ROUND(G2519*NOTAS!$B$2,2)</f>
        <v>43280.74</v>
      </c>
      <c r="I2519" s="6">
        <f>ROUND(G2519*NOTAS!$B$3,0)</f>
        <v>194932</v>
      </c>
      <c r="J2519" s="2" t="n">
        <v>1</v>
      </c>
    </row>
    <row r="2520">
      <c r="A2520" s="2" t="inlineStr"/>
      <c r="B2520" s="2" t="inlineStr"/>
      <c r="C2520" s="2" t="inlineStr">
        <is>
          <t>JUEGO DE PISTONES CORSA 1.6 STD</t>
        </is>
      </c>
      <c r="D2520" s="2" t="inlineStr">
        <is>
          <t>KMC</t>
        </is>
      </c>
      <c r="E2520" s="3" t="n">
        <v>42.3077</v>
      </c>
      <c r="F2520" s="4" t="n">
        <v>0.3</v>
      </c>
      <c r="G2520" s="5">
        <f>ROUND(E2520*(1+F2520),2)</f>
        <v>55.00</v>
      </c>
      <c r="H2520" s="5">
        <f>ROUND(G2520*NOTAS!$B$2,2)</f>
        <v>39674.01</v>
      </c>
      <c r="I2520" s="6">
        <f>ROUND(G2520*NOTAS!$B$3,0)</f>
        <v>178688</v>
      </c>
      <c r="J2520" s="2" t="n">
        <v>1</v>
      </c>
    </row>
    <row r="2521">
      <c r="A2521" s="2" t="inlineStr">
        <is>
          <t>S59570 STD</t>
        </is>
      </c>
      <c r="B2521" s="2" t="inlineStr"/>
      <c r="C2521" s="2" t="inlineStr">
        <is>
          <t>JUEGO DE PISTONES FIESTA/KA 1.6 STD</t>
        </is>
      </c>
      <c r="D2521" s="2" t="inlineStr">
        <is>
          <t>MAHLE</t>
        </is>
      </c>
      <c r="E2521" s="3" t="n">
        <v>42.3077</v>
      </c>
      <c r="F2521" s="4" t="n">
        <v>0.3</v>
      </c>
      <c r="G2521" s="5">
        <f>ROUND(E2521*(1+F2521),2)</f>
        <v>55.00</v>
      </c>
      <c r="H2521" s="5">
        <f>ROUND(G2521*NOTAS!$B$2,2)</f>
        <v>39674.01</v>
      </c>
      <c r="I2521" s="6">
        <f>ROUND(G2521*NOTAS!$B$3,0)</f>
        <v>178688</v>
      </c>
      <c r="J2521" s="2" t="n">
        <v>1</v>
      </c>
    </row>
    <row r="2522">
      <c r="A2522" s="2" t="inlineStr">
        <is>
          <t>P93740513</t>
        </is>
      </c>
      <c r="B2522" s="2" t="inlineStr"/>
      <c r="C2522" s="2" t="inlineStr">
        <is>
          <t>JUEGO EMPAQUE MOTOR AVEO 1.6 1ovalo</t>
        </is>
      </c>
      <c r="D2522" s="2" t="inlineStr">
        <is>
          <t>PARTS-MALL</t>
        </is>
      </c>
      <c r="E2522" s="3" t="n">
        <v>36</v>
      </c>
      <c r="F2522" s="4" t="n">
        <v>0.3</v>
      </c>
      <c r="G2522" s="5">
        <f>ROUND(E2522*(1+F2522),2)</f>
        <v>46.80</v>
      </c>
      <c r="H2522" s="5">
        <f>ROUND(G2522*NOTAS!$B$2,2)</f>
        <v>33758.97</v>
      </c>
      <c r="I2522" s="6">
        <f>ROUND(G2522*NOTAS!$B$3,0)</f>
        <v>152047</v>
      </c>
      <c r="J2522" s="2" t="n">
        <v>2</v>
      </c>
    </row>
    <row r="2523">
      <c r="A2523" s="2" t="inlineStr">
        <is>
          <t>PFC-A10</t>
        </is>
      </c>
      <c r="B2523" s="2" t="inlineStr"/>
      <c r="C2523" s="2" t="inlineStr">
        <is>
          <t>JUEGO EMPAQUE MOTOR CIELO</t>
        </is>
      </c>
      <c r="D2523" s="2" t="inlineStr">
        <is>
          <t>PARTS-MALL</t>
        </is>
      </c>
      <c r="E2523" s="3" t="n">
        <v>30</v>
      </c>
      <c r="F2523" s="4" t="n">
        <v>0.3</v>
      </c>
      <c r="G2523" s="5">
        <f>ROUND(E2523*(1+F2523),2)</f>
        <v>39.00</v>
      </c>
      <c r="H2523" s="5">
        <f>ROUND(G2523*NOTAS!$B$2,2)</f>
        <v>28132.48</v>
      </c>
      <c r="I2523" s="6">
        <f>ROUND(G2523*NOTAS!$B$3,0)</f>
        <v>126706</v>
      </c>
      <c r="J2523" s="2" t="n">
        <v>1</v>
      </c>
    </row>
    <row r="2524">
      <c r="A2524" s="2" t="inlineStr">
        <is>
          <t>FS-23004-SB-SS</t>
        </is>
      </c>
      <c r="B2524" s="2" t="inlineStr"/>
      <c r="C2524" s="2" t="inlineStr">
        <is>
          <t>JUEGO EMPAQUE MOTOR CORCEL INCOMPLETO</t>
        </is>
      </c>
      <c r="D2524" s="2" t="inlineStr">
        <is>
          <t>FRACO</t>
        </is>
      </c>
      <c r="E2524" s="3" t="n">
        <v>27</v>
      </c>
      <c r="F2524" s="4" t="n">
        <v>0.3</v>
      </c>
      <c r="G2524" s="5">
        <f>ROUND(E2524*(1+F2524),2)</f>
        <v>35.10</v>
      </c>
      <c r="H2524" s="5">
        <f>ROUND(G2524*NOTAS!$B$2,2)</f>
        <v>25319.23</v>
      </c>
      <c r="I2524" s="6">
        <f>ROUND(G2524*NOTAS!$B$3,0)</f>
        <v>114035</v>
      </c>
      <c r="J2524" s="2" t="n">
        <v>1</v>
      </c>
    </row>
    <row r="2525">
      <c r="A2525" s="2" t="inlineStr">
        <is>
          <t>80266</t>
        </is>
      </c>
      <c r="B2525" s="2" t="inlineStr"/>
      <c r="C2525" s="2" t="inlineStr">
        <is>
          <t>JUEGO EMPAQUE MOTOR CORSA 1.3/1.4</t>
        </is>
      </c>
      <c r="D2525" s="2" t="inlineStr">
        <is>
          <t>SABO</t>
        </is>
      </c>
      <c r="E2525" s="3" t="n">
        <v>38</v>
      </c>
      <c r="F2525" s="4" t="n">
        <v>0.3</v>
      </c>
      <c r="G2525" s="5">
        <f>ROUND(E2525*(1+F2525),2)</f>
        <v>49.40</v>
      </c>
      <c r="H2525" s="5">
        <f>ROUND(G2525*NOTAS!$B$2,2)</f>
        <v>35634.47</v>
      </c>
      <c r="I2525" s="6">
        <f>ROUND(G2525*NOTAS!$B$3,0)</f>
        <v>160494</v>
      </c>
      <c r="J2525" s="2" t="n">
        <v>6</v>
      </c>
    </row>
    <row r="2526">
      <c r="A2526" s="2" t="inlineStr">
        <is>
          <t>80268</t>
        </is>
      </c>
      <c r="B2526" s="2" t="inlineStr"/>
      <c r="C2526" s="2" t="inlineStr">
        <is>
          <t>JUEGO EMPAQUE MOTOR CORSA 1.6</t>
        </is>
      </c>
      <c r="D2526" s="2" t="inlineStr">
        <is>
          <t>SABO</t>
        </is>
      </c>
      <c r="E2526" s="3" t="n">
        <v>36</v>
      </c>
      <c r="F2526" s="4" t="n">
        <v>0.3</v>
      </c>
      <c r="G2526" s="5">
        <f>ROUND(E2526*(1+F2526),2)</f>
        <v>46.80</v>
      </c>
      <c r="H2526" s="5">
        <f>ROUND(G2526*NOTAS!$B$2,2)</f>
        <v>33758.97</v>
      </c>
      <c r="I2526" s="6">
        <f>ROUND(G2526*NOTAS!$B$3,0)</f>
        <v>152047</v>
      </c>
      <c r="J2526" s="2" t="n">
        <v>8</v>
      </c>
    </row>
    <row r="2527">
      <c r="A2527" s="2" t="inlineStr">
        <is>
          <t>51006EFPSG4</t>
        </is>
      </c>
      <c r="B2527" s="2" t="inlineStr">
        <is>
          <t>80192</t>
        </is>
      </c>
      <c r="C2527" s="2" t="inlineStr">
        <is>
          <t>JUEGO EMPAQUE MOTOR F-147/UNO 1.3</t>
        </is>
      </c>
      <c r="D2527" s="2" t="inlineStr">
        <is>
          <t>SABO</t>
        </is>
      </c>
      <c r="E2527" s="3" t="n">
        <v>37</v>
      </c>
      <c r="F2527" s="4" t="n">
        <v>0.3</v>
      </c>
      <c r="G2527" s="5">
        <f>ROUND(E2527*(1+F2527),2)</f>
        <v>48.10</v>
      </c>
      <c r="H2527" s="5">
        <f>ROUND(G2527*NOTAS!$B$2,2)</f>
        <v>34696.72</v>
      </c>
      <c r="I2527" s="6">
        <f>ROUND(G2527*NOTAS!$B$3,0)</f>
        <v>156271</v>
      </c>
      <c r="J2527" s="2" t="n">
        <v>1</v>
      </c>
    </row>
    <row r="2528">
      <c r="A2528" s="2" t="inlineStr">
        <is>
          <t>80378</t>
        </is>
      </c>
      <c r="B2528" s="2" t="inlineStr"/>
      <c r="C2528" s="2" t="inlineStr">
        <is>
          <t>JUEGO EMPAQUE MOTOR FIESTA/KA 1.6</t>
        </is>
      </c>
      <c r="D2528" s="2" t="inlineStr">
        <is>
          <t>SABO</t>
        </is>
      </c>
      <c r="E2528" s="3" t="n">
        <v>39</v>
      </c>
      <c r="F2528" s="4" t="n">
        <v>0.3</v>
      </c>
      <c r="G2528" s="5">
        <f>ROUND(E2528*(1+F2528),2)</f>
        <v>50.70</v>
      </c>
      <c r="H2528" s="5">
        <f>ROUND(G2528*NOTAS!$B$2,2)</f>
        <v>36572.22</v>
      </c>
      <c r="I2528" s="6">
        <f>ROUND(G2528*NOTAS!$B$3,0)</f>
        <v>164718</v>
      </c>
      <c r="J2528" s="2" t="n">
        <v>1</v>
      </c>
    </row>
    <row r="2529">
      <c r="A2529" s="2" t="inlineStr">
        <is>
          <t>JR-493-MGR</t>
        </is>
      </c>
      <c r="B2529" s="2" t="inlineStr"/>
      <c r="C2529" s="2" t="inlineStr">
        <is>
          <t>JUEGO EMPAQUE MOTOR F-PAL/SIE 1.3 16V FIRE</t>
        </is>
      </c>
      <c r="D2529" s="2" t="inlineStr">
        <is>
          <t>ILLINOIS</t>
        </is>
      </c>
      <c r="E2529" s="3" t="n">
        <v>35</v>
      </c>
      <c r="F2529" s="4" t="n">
        <v>0.3</v>
      </c>
      <c r="G2529" s="5">
        <f>ROUND(E2529*(1+F2529),2)</f>
        <v>45.50</v>
      </c>
      <c r="H2529" s="5">
        <f>ROUND(G2529*NOTAS!$B$2,2)</f>
        <v>32821.22</v>
      </c>
      <c r="I2529" s="6">
        <f>ROUND(G2529*NOTAS!$B$3,0)</f>
        <v>147824</v>
      </c>
      <c r="J2529" s="2" t="n">
        <v>1</v>
      </c>
    </row>
    <row r="2530">
      <c r="A2530" s="2" t="inlineStr">
        <is>
          <t>270200-R</t>
        </is>
      </c>
      <c r="B2530" s="2" t="inlineStr"/>
      <c r="C2530" s="2" t="inlineStr">
        <is>
          <t>JUEGO EMPAQUE MOTOR F-PAL/SIE 1.3 MPI UNO INY</t>
        </is>
      </c>
      <c r="D2530" s="2" t="inlineStr">
        <is>
          <t>TARANTO</t>
        </is>
      </c>
      <c r="E2530" s="3" t="n">
        <v>28</v>
      </c>
      <c r="F2530" s="4" t="n">
        <v>0.3</v>
      </c>
      <c r="G2530" s="5">
        <f>ROUND(E2530*(1+F2530),2)</f>
        <v>36.40</v>
      </c>
      <c r="H2530" s="5">
        <f>ROUND(G2530*NOTAS!$B$2,2)</f>
        <v>26256.98</v>
      </c>
      <c r="I2530" s="6">
        <f>ROUND(G2530*NOTAS!$B$3,0)</f>
        <v>118259</v>
      </c>
      <c r="J2530" s="2" t="n">
        <v>1</v>
      </c>
    </row>
    <row r="2531">
      <c r="A2531" s="2" t="inlineStr">
        <is>
          <t>80271</t>
        </is>
      </c>
      <c r="B2531" s="2" t="inlineStr"/>
      <c r="C2531" s="2" t="inlineStr">
        <is>
          <t>JUEGO EMPAQUE MOTOR F-PAL/SIE 1.3 MPI UNO INY</t>
        </is>
      </c>
      <c r="D2531" s="2" t="inlineStr">
        <is>
          <t>SABO</t>
        </is>
      </c>
      <c r="E2531" s="3" t="n">
        <v>36</v>
      </c>
      <c r="F2531" s="4" t="n">
        <v>0.3</v>
      </c>
      <c r="G2531" s="5">
        <f>ROUND(E2531*(1+F2531),2)</f>
        <v>46.80</v>
      </c>
      <c r="H2531" s="5">
        <f>ROUND(G2531*NOTAS!$B$2,2)</f>
        <v>33758.97</v>
      </c>
      <c r="I2531" s="6">
        <f>ROUND(G2531*NOTAS!$B$3,0)</f>
        <v>152047</v>
      </c>
      <c r="J2531" s="2" t="n">
        <v>5</v>
      </c>
    </row>
    <row r="2532">
      <c r="A2532" s="2" t="inlineStr">
        <is>
          <t>80198</t>
        </is>
      </c>
      <c r="B2532" s="2" t="inlineStr"/>
      <c r="C2532" s="2" t="inlineStr">
        <is>
          <t>JUEGO EMPAQUE MOTOR F-PAL/SIE 1.4 UNO FIRE</t>
        </is>
      </c>
      <c r="D2532" s="2" t="inlineStr">
        <is>
          <t>SABO</t>
        </is>
      </c>
      <c r="E2532" s="3" t="n">
        <v>39.53</v>
      </c>
      <c r="F2532" s="4" t="n">
        <v>0.3</v>
      </c>
      <c r="G2532" s="5">
        <f>ROUND(E2532*(1+F2532),2)</f>
        <v>51.39</v>
      </c>
      <c r="H2532" s="5">
        <f>ROUND(G2532*NOTAS!$B$2,2)</f>
        <v>37069.95</v>
      </c>
      <c r="I2532" s="6">
        <f>ROUND(G2532*NOTAS!$B$3,0)</f>
        <v>166959</v>
      </c>
      <c r="J2532" s="2" t="n">
        <v>1</v>
      </c>
    </row>
    <row r="2533">
      <c r="A2533" s="2" t="inlineStr">
        <is>
          <t>HG-2101-SB</t>
        </is>
      </c>
      <c r="B2533" s="2" t="inlineStr"/>
      <c r="C2533" s="2" t="inlineStr">
        <is>
          <t>JUEGO EMPAQUE MOTOR F-REGATA/RITMO 1.5</t>
        </is>
      </c>
      <c r="D2533" s="2" t="inlineStr">
        <is>
          <t>FRACO</t>
        </is>
      </c>
      <c r="E2533" s="3" t="n">
        <v>25</v>
      </c>
      <c r="F2533" s="4" t="n">
        <v>0.3</v>
      </c>
      <c r="G2533" s="5">
        <f>ROUND(E2533*(1+F2533),2)</f>
        <v>32.50</v>
      </c>
      <c r="H2533" s="5">
        <f>ROUND(G2533*NOTAS!$B$2,2)</f>
        <v>23443.73</v>
      </c>
      <c r="I2533" s="6">
        <f>ROUND(G2533*NOTAS!$B$3,0)</f>
        <v>105588</v>
      </c>
      <c r="J2533" s="2" t="n">
        <v>1</v>
      </c>
    </row>
    <row r="2534">
      <c r="A2534" s="2" t="inlineStr">
        <is>
          <t>260700-R</t>
        </is>
      </c>
      <c r="B2534" s="2" t="inlineStr"/>
      <c r="C2534" s="2" t="inlineStr">
        <is>
          <t>JUEGO EMPAQUE MOTOR F-UNO/PREMIO 1.5 MEJORADO</t>
        </is>
      </c>
      <c r="D2534" s="2" t="inlineStr">
        <is>
          <t>TARANTO</t>
        </is>
      </c>
      <c r="E2534" s="3" t="n">
        <v>25</v>
      </c>
      <c r="F2534" s="4" t="n">
        <v>0.3</v>
      </c>
      <c r="G2534" s="5">
        <f>ROUND(E2534*(1+F2534),2)</f>
        <v>32.50</v>
      </c>
      <c r="H2534" s="5">
        <f>ROUND(G2534*NOTAS!$B$2,2)</f>
        <v>23443.73</v>
      </c>
      <c r="I2534" s="6">
        <f>ROUND(G2534*NOTAS!$B$3,0)</f>
        <v>105588</v>
      </c>
      <c r="J2534" s="2" t="n">
        <v>4</v>
      </c>
    </row>
    <row r="2535">
      <c r="A2535" s="2" t="inlineStr">
        <is>
          <t>80246</t>
        </is>
      </c>
      <c r="B2535" s="2" t="inlineStr"/>
      <c r="C2535" s="2" t="inlineStr">
        <is>
          <t>JUEGO EMPAQUE MOTOR F-UNO/PREMIO 1.5 MEJORADO</t>
        </is>
      </c>
      <c r="D2535" s="2" t="inlineStr">
        <is>
          <t>SABO</t>
        </is>
      </c>
      <c r="E2535" s="3" t="n">
        <v>34</v>
      </c>
      <c r="F2535" s="4" t="n">
        <v>0.3</v>
      </c>
      <c r="G2535" s="5">
        <f>ROUND(E2535*(1+F2535),2)</f>
        <v>44.20</v>
      </c>
      <c r="H2535" s="5">
        <f>ROUND(G2535*NOTAS!$B$2,2)</f>
        <v>31883.48</v>
      </c>
      <c r="I2535" s="6">
        <f>ROUND(G2535*NOTAS!$B$3,0)</f>
        <v>143600</v>
      </c>
      <c r="J2535" s="2" t="n">
        <v>1</v>
      </c>
    </row>
    <row r="2536">
      <c r="A2536" s="2" t="inlineStr">
        <is>
          <t>80221</t>
        </is>
      </c>
      <c r="B2536" s="2" t="inlineStr"/>
      <c r="C2536" s="2" t="inlineStr">
        <is>
          <t>JUEGO EMPAQUE MOTOR F-UNO/PREMIO 1.6 SIN ESTOPERAS</t>
        </is>
      </c>
      <c r="D2536" s="2" t="inlineStr">
        <is>
          <t>SABO</t>
        </is>
      </c>
      <c r="E2536" s="3" t="n">
        <v>22</v>
      </c>
      <c r="F2536" s="4" t="n">
        <v>0.3</v>
      </c>
      <c r="G2536" s="5">
        <f>ROUND(E2536*(1+F2536),2)</f>
        <v>28.60</v>
      </c>
      <c r="H2536" s="5">
        <f>ROUND(G2536*NOTAS!$B$2,2)</f>
        <v>20630.48</v>
      </c>
      <c r="I2536" s="6">
        <f>ROUND(G2536*NOTAS!$B$3,0)</f>
        <v>92918</v>
      </c>
      <c r="J2536" s="2" t="n">
        <v>2</v>
      </c>
    </row>
    <row r="2537">
      <c r="A2537" s="2" t="inlineStr">
        <is>
          <t>PS1140005</t>
        </is>
      </c>
      <c r="B2537" s="2" t="inlineStr"/>
      <c r="C2537" s="2" t="inlineStr">
        <is>
          <t>JUEGO EMPAQUE MOTOR LANOS 1.6</t>
        </is>
      </c>
      <c r="D2537" s="2" t="inlineStr">
        <is>
          <t>PARTS-MALL</t>
        </is>
      </c>
      <c r="E2537" s="3" t="n">
        <v>25</v>
      </c>
      <c r="F2537" s="4" t="n">
        <v>0.3</v>
      </c>
      <c r="G2537" s="5">
        <f>ROUND(E2537*(1+F2537),2)</f>
        <v>32.50</v>
      </c>
      <c r="H2537" s="5">
        <f>ROUND(G2537*NOTAS!$B$2,2)</f>
        <v>23443.73</v>
      </c>
      <c r="I2537" s="6">
        <f>ROUND(G2537*NOTAS!$B$3,0)</f>
        <v>105588</v>
      </c>
      <c r="J2537" s="2" t="n">
        <v>1</v>
      </c>
    </row>
    <row r="2538">
      <c r="A2538" s="2" t="inlineStr">
        <is>
          <t>16106EFPSG</t>
        </is>
      </c>
      <c r="B2538" s="2" t="inlineStr">
        <is>
          <t>80169</t>
        </is>
      </c>
      <c r="C2538" s="2" t="inlineStr">
        <is>
          <t>JUEGO EMPAQUE MOTOR MONZA 2.0</t>
        </is>
      </c>
      <c r="D2538" s="2" t="inlineStr">
        <is>
          <t>SABO</t>
        </is>
      </c>
      <c r="E2538" s="3" t="n">
        <v>40</v>
      </c>
      <c r="F2538" s="4" t="n">
        <v>0.3</v>
      </c>
      <c r="G2538" s="5">
        <f>ROUND(E2538*(1+F2538),2)</f>
        <v>52.00</v>
      </c>
      <c r="H2538" s="5">
        <f>ROUND(G2538*NOTAS!$B$2,2)</f>
        <v>37509.97</v>
      </c>
      <c r="I2538" s="6">
        <f>ROUND(G2538*NOTAS!$B$3,0)</f>
        <v>168941</v>
      </c>
      <c r="J2538" s="2" t="n">
        <v>2</v>
      </c>
    </row>
    <row r="2539">
      <c r="A2539" s="2" t="inlineStr">
        <is>
          <t>S30303-00</t>
        </is>
      </c>
      <c r="B2539" s="2" t="inlineStr"/>
      <c r="C2539" s="2" t="inlineStr">
        <is>
          <t>JUEGO EMPAQUE MOTOR R-11</t>
        </is>
      </c>
      <c r="D2539" s="2" t="inlineStr">
        <is>
          <t>GLASER</t>
        </is>
      </c>
      <c r="E2539" s="3" t="n">
        <v>28</v>
      </c>
      <c r="F2539" s="4" t="n">
        <v>0.3</v>
      </c>
      <c r="G2539" s="5">
        <f>ROUND(E2539*(1+F2539),2)</f>
        <v>36.40</v>
      </c>
      <c r="H2539" s="5">
        <f>ROUND(G2539*NOTAS!$B$2,2)</f>
        <v>26256.98</v>
      </c>
      <c r="I2539" s="6">
        <f>ROUND(G2539*NOTAS!$B$3,0)</f>
        <v>118259</v>
      </c>
      <c r="J2539" s="2" t="n">
        <v>2</v>
      </c>
    </row>
    <row r="2540">
      <c r="A2540" s="2" t="inlineStr">
        <is>
          <t>550700-R</t>
        </is>
      </c>
      <c r="B2540" s="2" t="inlineStr"/>
      <c r="C2540" s="2" t="inlineStr">
        <is>
          <t>JUEGO EMPAQUE MOTOR R-11</t>
        </is>
      </c>
      <c r="D2540" s="2" t="inlineStr">
        <is>
          <t>TARANTO</t>
        </is>
      </c>
      <c r="E2540" s="3" t="n">
        <v>25</v>
      </c>
      <c r="F2540" s="4" t="n">
        <v>0.3</v>
      </c>
      <c r="G2540" s="5">
        <f>ROUND(E2540*(1+F2540),2)</f>
        <v>32.50</v>
      </c>
      <c r="H2540" s="5">
        <f>ROUND(G2540*NOTAS!$B$2,2)</f>
        <v>23443.73</v>
      </c>
      <c r="I2540" s="6">
        <f>ROUND(G2540*NOTAS!$B$3,0)</f>
        <v>105588</v>
      </c>
      <c r="J2540" s="2" t="n">
        <v>2</v>
      </c>
    </row>
    <row r="2541">
      <c r="A2541" s="2" t="inlineStr">
        <is>
          <t>560800-R</t>
        </is>
      </c>
      <c r="B2541" s="2" t="inlineStr"/>
      <c r="C2541" s="2" t="inlineStr">
        <is>
          <t>JUEGO EMPAQUE MOTOR R-19 1.4</t>
        </is>
      </c>
      <c r="D2541" s="2" t="inlineStr">
        <is>
          <t>TARANTO</t>
        </is>
      </c>
      <c r="E2541" s="3" t="n">
        <v>25</v>
      </c>
      <c r="F2541" s="4" t="n">
        <v>0.3</v>
      </c>
      <c r="G2541" s="5">
        <f>ROUND(E2541*(1+F2541),2)</f>
        <v>32.50</v>
      </c>
      <c r="H2541" s="5">
        <f>ROUND(G2541*NOTAS!$B$2,2)</f>
        <v>23443.73</v>
      </c>
      <c r="I2541" s="6">
        <f>ROUND(G2541*NOTAS!$B$3,0)</f>
        <v>105588</v>
      </c>
      <c r="J2541" s="2" t="n">
        <v>1</v>
      </c>
    </row>
    <row r="2542">
      <c r="A2542" s="2" t="inlineStr">
        <is>
          <t>S31176-80F</t>
        </is>
      </c>
      <c r="B2542" s="2" t="inlineStr"/>
      <c r="C2542" s="2" t="inlineStr">
        <is>
          <t>JUEGO EMPAQUE MOTOR R-19 1.4</t>
        </is>
      </c>
      <c r="D2542" s="2" t="inlineStr">
        <is>
          <t>GLASER</t>
        </is>
      </c>
      <c r="E2542" s="3" t="n">
        <v>28</v>
      </c>
      <c r="F2542" s="4" t="n">
        <v>0.3</v>
      </c>
      <c r="G2542" s="5">
        <f>ROUND(E2542*(1+F2542),2)</f>
        <v>36.40</v>
      </c>
      <c r="H2542" s="5">
        <f>ROUND(G2542*NOTAS!$B$2,2)</f>
        <v>26256.98</v>
      </c>
      <c r="I2542" s="6">
        <f>ROUND(G2542*NOTAS!$B$3,0)</f>
        <v>118259</v>
      </c>
      <c r="J2542" s="2" t="n">
        <v>1</v>
      </c>
    </row>
    <row r="2543">
      <c r="A2543" s="2" t="inlineStr">
        <is>
          <t>580000-R</t>
        </is>
      </c>
      <c r="B2543" s="2" t="inlineStr"/>
      <c r="C2543" s="2" t="inlineStr">
        <is>
          <t>JUEGO EMPAQUE MOTOR R-MEGANE II/LAGUNA/SCENIC 2.0</t>
        </is>
      </c>
      <c r="D2543" s="2" t="inlineStr">
        <is>
          <t>TARANTO</t>
        </is>
      </c>
      <c r="E2543" s="3" t="n">
        <v>28</v>
      </c>
      <c r="F2543" s="4" t="n">
        <v>0.3</v>
      </c>
      <c r="G2543" s="5">
        <f>ROUND(E2543*(1+F2543),2)</f>
        <v>36.40</v>
      </c>
      <c r="H2543" s="5">
        <f>ROUND(G2543*NOTAS!$B$2,2)</f>
        <v>26256.98</v>
      </c>
      <c r="I2543" s="6">
        <f>ROUND(G2543*NOTAS!$B$3,0)</f>
        <v>118259</v>
      </c>
      <c r="J2543" s="2" t="n">
        <v>1</v>
      </c>
    </row>
    <row r="2544">
      <c r="A2544" s="2" t="inlineStr">
        <is>
          <t>7700859692</t>
        </is>
      </c>
      <c r="B2544" s="2" t="inlineStr"/>
      <c r="C2544" s="2" t="inlineStr">
        <is>
          <t>JUEGO EMPAQUE MOTOR R-SYMBOL/LOGAN 8V</t>
        </is>
      </c>
      <c r="D2544" s="2" t="inlineStr">
        <is>
          <t>TAMAYO</t>
        </is>
      </c>
      <c r="E2544" s="3" t="n">
        <v>28.75</v>
      </c>
      <c r="F2544" s="4" t="n">
        <v>0.3</v>
      </c>
      <c r="G2544" s="5">
        <f>ROUND(E2544*(1+F2544),2)</f>
        <v>37.38</v>
      </c>
      <c r="H2544" s="5">
        <f>ROUND(G2544*NOTAS!$B$2,2)</f>
        <v>26963.90</v>
      </c>
      <c r="I2544" s="6">
        <f>ROUND(G2544*NOTAS!$B$3,0)</f>
        <v>121443</v>
      </c>
      <c r="J2544" s="2" t="n">
        <v>1</v>
      </c>
    </row>
    <row r="2545">
      <c r="A2545" s="2" t="inlineStr">
        <is>
          <t>570000-R</t>
        </is>
      </c>
      <c r="B2545" s="2" t="inlineStr"/>
      <c r="C2545" s="2" t="inlineStr">
        <is>
          <t>JUEGO EMPAQUE MOTOR R-TWINGO 1.2 96/99</t>
        </is>
      </c>
      <c r="D2545" s="2" t="inlineStr">
        <is>
          <t>TARANTO</t>
        </is>
      </c>
      <c r="E2545" s="3" t="n">
        <v>20</v>
      </c>
      <c r="F2545" s="4" t="n">
        <v>0.3</v>
      </c>
      <c r="G2545" s="5">
        <f>ROUND(E2545*(1+F2545),2)</f>
        <v>26.00</v>
      </c>
      <c r="H2545" s="5">
        <f>ROUND(G2545*NOTAS!$B$2,2)</f>
        <v>18754.99</v>
      </c>
      <c r="I2545" s="6">
        <f>ROUND(G2545*NOTAS!$B$3,0)</f>
        <v>84471</v>
      </c>
      <c r="J2545" s="2" t="n">
        <v>2</v>
      </c>
    </row>
    <row r="2546">
      <c r="A2546" s="2" t="inlineStr">
        <is>
          <t>P93740055</t>
        </is>
      </c>
      <c r="B2546" s="2" t="inlineStr"/>
      <c r="C2546" s="2" t="inlineStr">
        <is>
          <t>JUEGO EMPAQUE MOTOR SPARK</t>
        </is>
      </c>
      <c r="D2546" s="2" t="inlineStr">
        <is>
          <t>PARTS-MALL</t>
        </is>
      </c>
      <c r="E2546" s="3" t="n">
        <v>23</v>
      </c>
      <c r="F2546" s="4" t="n">
        <v>0.3</v>
      </c>
      <c r="G2546" s="5">
        <f>ROUND(E2546*(1+F2546),2)</f>
        <v>29.90</v>
      </c>
      <c r="H2546" s="5">
        <f>ROUND(G2546*NOTAS!$B$2,2)</f>
        <v>21568.23</v>
      </c>
      <c r="I2546" s="6">
        <f>ROUND(G2546*NOTAS!$B$3,0)</f>
        <v>97141</v>
      </c>
      <c r="J2546" s="2" t="n">
        <v>3</v>
      </c>
    </row>
    <row r="2547">
      <c r="A2547" s="2" t="inlineStr">
        <is>
          <t>09302BREF</t>
        </is>
      </c>
      <c r="B2547" s="2" t="inlineStr"/>
      <c r="C2547" s="2" t="inlineStr">
        <is>
          <t>JUEGO GOMAS VALVULA AVEO 1.6</t>
        </is>
      </c>
      <c r="D2547" s="2" t="inlineStr">
        <is>
          <t>SABO</t>
        </is>
      </c>
      <c r="E2547" s="3" t="n">
        <v>4.38</v>
      </c>
      <c r="F2547" s="4" t="n">
        <v>0.3</v>
      </c>
      <c r="G2547" s="5">
        <f>ROUND(E2547*(1+F2547),2)</f>
        <v>5.69</v>
      </c>
      <c r="H2547" s="5">
        <f>ROUND(G2547*NOTAS!$B$2,2)</f>
        <v>4104.46</v>
      </c>
      <c r="I2547" s="6">
        <f>ROUND(G2547*NOTAS!$B$3,0)</f>
        <v>18486</v>
      </c>
      <c r="J2547" s="2" t="n">
        <v>4</v>
      </c>
    </row>
    <row r="2548">
      <c r="A2548" s="2" t="inlineStr"/>
      <c r="B2548" s="2" t="inlineStr"/>
      <c r="C2548" s="2" t="inlineStr">
        <is>
          <t>JUEGO GOMAS VALVULA AVEO 1.6</t>
        </is>
      </c>
      <c r="D2548" s="2" t="inlineStr">
        <is>
          <t>KOREA</t>
        </is>
      </c>
      <c r="E2548" s="3" t="n">
        <v>11.5385</v>
      </c>
      <c r="F2548" s="4" t="n">
        <v>0.3</v>
      </c>
      <c r="G2548" s="5">
        <f>ROUND(E2548*(1+F2548),2)</f>
        <v>15.00</v>
      </c>
      <c r="H2548" s="5">
        <f>ROUND(G2548*NOTAS!$B$2,2)</f>
        <v>10820.18</v>
      </c>
      <c r="I2548" s="6">
        <f>ROUND(G2548*NOTAS!$B$3,0)</f>
        <v>48733</v>
      </c>
      <c r="J2548" s="2" t="n">
        <v>1</v>
      </c>
    </row>
    <row r="2549">
      <c r="A2549" s="2" t="inlineStr">
        <is>
          <t>96103095</t>
        </is>
      </c>
      <c r="B2549" s="2" t="inlineStr"/>
      <c r="C2549" s="2" t="inlineStr">
        <is>
          <t>JUEGO GOMAS VALVULA AVEO 1.6</t>
        </is>
      </c>
      <c r="D2549" s="2" t="inlineStr">
        <is>
          <t>GM</t>
        </is>
      </c>
      <c r="E2549" s="3" t="n">
        <v>11.5385</v>
      </c>
      <c r="F2549" s="4" t="n">
        <v>0.3</v>
      </c>
      <c r="G2549" s="5">
        <f>ROUND(E2549*(1+F2549),2)</f>
        <v>15.00</v>
      </c>
      <c r="H2549" s="5">
        <f>ROUND(G2549*NOTAS!$B$2,2)</f>
        <v>10820.18</v>
      </c>
      <c r="I2549" s="6">
        <f>ROUND(G2549*NOTAS!$B$3,0)</f>
        <v>48733</v>
      </c>
      <c r="J2549" s="2" t="n">
        <v>1</v>
      </c>
    </row>
    <row r="2550">
      <c r="A2550" s="2" t="inlineStr">
        <is>
          <t>96353035</t>
        </is>
      </c>
      <c r="B2550" s="2" t="inlineStr"/>
      <c r="C2550" s="2" t="inlineStr">
        <is>
          <t>JUEGO GOMAS VALVULA AVEO 1.6</t>
        </is>
      </c>
      <c r="D2550" s="2" t="inlineStr">
        <is>
          <t>GM</t>
        </is>
      </c>
      <c r="E2550" s="3" t="n">
        <v>11.5385</v>
      </c>
      <c r="F2550" s="4" t="n">
        <v>0.3</v>
      </c>
      <c r="G2550" s="5">
        <f>ROUND(E2550*(1+F2550),2)</f>
        <v>15.00</v>
      </c>
      <c r="H2550" s="5">
        <f>ROUND(G2550*NOTAS!$B$2,2)</f>
        <v>10820.18</v>
      </c>
      <c r="I2550" s="6">
        <f>ROUND(G2550*NOTAS!$B$3,0)</f>
        <v>48733</v>
      </c>
      <c r="J2550" s="2" t="n">
        <v>1</v>
      </c>
    </row>
    <row r="2551">
      <c r="A2551" s="2" t="inlineStr">
        <is>
          <t>CSV001</t>
        </is>
      </c>
      <c r="B2551" s="2" t="inlineStr"/>
      <c r="C2551" s="2" t="inlineStr">
        <is>
          <t>JUEGO GOMAS VALVULA AVEO 1.6</t>
        </is>
      </c>
      <c r="D2551" s="2" t="inlineStr">
        <is>
          <t>COVENDISA</t>
        </is>
      </c>
      <c r="E2551" s="3" t="n">
        <v>11.5385</v>
      </c>
      <c r="F2551" s="4" t="n">
        <v>0.3</v>
      </c>
      <c r="G2551" s="5">
        <f>ROUND(E2551*(1+F2551),2)</f>
        <v>15.00</v>
      </c>
      <c r="H2551" s="5">
        <f>ROUND(G2551*NOTAS!$B$2,2)</f>
        <v>10820.18</v>
      </c>
      <c r="I2551" s="6">
        <f>ROUND(G2551*NOTAS!$B$3,0)</f>
        <v>48733</v>
      </c>
      <c r="J2551" s="2" t="n">
        <v>1</v>
      </c>
    </row>
    <row r="2552">
      <c r="A2552" s="2" t="inlineStr"/>
      <c r="B2552" s="2" t="inlineStr"/>
      <c r="C2552" s="2" t="inlineStr">
        <is>
          <t>JUEGO GOMAS VALVULA AVEO 1.6 8UNID</t>
        </is>
      </c>
      <c r="D2552" s="2" t="inlineStr"/>
      <c r="E2552" s="3" t="n">
        <v>11.5385</v>
      </c>
      <c r="F2552" s="4" t="n">
        <v>0.3</v>
      </c>
      <c r="G2552" s="5">
        <f>ROUND(E2552*(1+F2552),2)</f>
        <v>15.00</v>
      </c>
      <c r="H2552" s="5">
        <f>ROUND(G2552*NOTAS!$B$2,2)</f>
        <v>10820.18</v>
      </c>
      <c r="I2552" s="6">
        <f>ROUND(G2552*NOTAS!$B$3,0)</f>
        <v>48733</v>
      </c>
      <c r="J2552" s="2" t="n">
        <v>1</v>
      </c>
    </row>
    <row r="2553">
      <c r="A2553" s="2" t="inlineStr">
        <is>
          <t>02400BRE</t>
        </is>
      </c>
      <c r="B2553" s="2" t="inlineStr"/>
      <c r="C2553" s="2" t="inlineStr">
        <is>
          <t>JUEGO GOMAS VALVULA CHEVETTE</t>
        </is>
      </c>
      <c r="D2553" s="2" t="inlineStr">
        <is>
          <t>SABO</t>
        </is>
      </c>
      <c r="E2553" s="3" t="n">
        <v>10.8</v>
      </c>
      <c r="F2553" s="4" t="n">
        <v>0.3</v>
      </c>
      <c r="G2553" s="5">
        <f>ROUND(E2553*(1+F2553),2)</f>
        <v>14.04</v>
      </c>
      <c r="H2553" s="5">
        <f>ROUND(G2553*NOTAS!$B$2,2)</f>
        <v>10127.69</v>
      </c>
      <c r="I2553" s="6">
        <f>ROUND(G2553*NOTAS!$B$3,0)</f>
        <v>45614</v>
      </c>
      <c r="J2553" s="2" t="n">
        <v>3</v>
      </c>
    </row>
    <row r="2554">
      <c r="A2554" s="2" t="inlineStr">
        <is>
          <t>09310BREF</t>
        </is>
      </c>
      <c r="B2554" s="2" t="inlineStr"/>
      <c r="C2554" s="2" t="inlineStr">
        <is>
          <t>JUEGO GOMAS VALVULA COROLLA NEW SENSATION 1.8</t>
        </is>
      </c>
      <c r="D2554" s="2" t="inlineStr">
        <is>
          <t>SABO</t>
        </is>
      </c>
      <c r="E2554" s="3" t="n">
        <v>15.72</v>
      </c>
      <c r="F2554" s="4" t="n">
        <v>0.3</v>
      </c>
      <c r="G2554" s="5">
        <f>ROUND(E2554*(1+F2554),2)</f>
        <v>20.44</v>
      </c>
      <c r="H2554" s="5">
        <f>ROUND(G2554*NOTAS!$B$2,2)</f>
        <v>14744.30</v>
      </c>
      <c r="I2554" s="6">
        <f>ROUND(G2554*NOTAS!$B$3,0)</f>
        <v>66407</v>
      </c>
      <c r="J2554" s="2" t="n">
        <v>4</v>
      </c>
    </row>
    <row r="2555">
      <c r="A2555" s="2" t="inlineStr">
        <is>
          <t>94656542</t>
        </is>
      </c>
      <c r="B2555" s="2" t="inlineStr"/>
      <c r="C2555" s="2" t="inlineStr">
        <is>
          <t>JUEGO GOMAS VALVULA CORSA/CIELO/LANOS</t>
        </is>
      </c>
      <c r="D2555" s="2" t="inlineStr">
        <is>
          <t>GM ORIG</t>
        </is>
      </c>
      <c r="E2555" s="3" t="n">
        <v>7</v>
      </c>
      <c r="F2555" s="4" t="n">
        <v>0.3</v>
      </c>
      <c r="G2555" s="5">
        <f>ROUND(E2555*(1+F2555),2)</f>
        <v>9.10</v>
      </c>
      <c r="H2555" s="5">
        <f>ROUND(G2555*NOTAS!$B$2,2)</f>
        <v>6564.24</v>
      </c>
      <c r="I2555" s="6">
        <f>ROUND(G2555*NOTAS!$B$3,0)</f>
        <v>29565</v>
      </c>
      <c r="J2555" s="2" t="n">
        <v>49</v>
      </c>
    </row>
    <row r="2556">
      <c r="A2556" s="2" t="inlineStr">
        <is>
          <t>90215296</t>
        </is>
      </c>
      <c r="B2556" s="2" t="inlineStr"/>
      <c r="C2556" s="2" t="inlineStr">
        <is>
          <t>JUEGO GOMAS VALVULA CORSA/CIELO/LANOS</t>
        </is>
      </c>
      <c r="D2556" s="2" t="inlineStr">
        <is>
          <t>GM</t>
        </is>
      </c>
      <c r="E2556" s="3" t="n">
        <v>2.1</v>
      </c>
      <c r="F2556" s="4" t="n">
        <v>0.3</v>
      </c>
      <c r="G2556" s="5">
        <f>ROUND(E2556*(1+F2556),2)</f>
        <v>2.73</v>
      </c>
      <c r="H2556" s="5">
        <f>ROUND(G2556*NOTAS!$B$2,2)</f>
        <v>1969.27</v>
      </c>
      <c r="I2556" s="6">
        <f>ROUND(G2556*NOTAS!$B$3,0)</f>
        <v>8869</v>
      </c>
      <c r="J2556" s="2" t="n">
        <v>4</v>
      </c>
    </row>
    <row r="2557">
      <c r="A2557" s="2" t="inlineStr">
        <is>
          <t>CSV007</t>
        </is>
      </c>
      <c r="B2557" s="2" t="inlineStr"/>
      <c r="C2557" s="2" t="inlineStr">
        <is>
          <t>JUEGO GOMAS VALVULA CORSA/CIELO/LANOS</t>
        </is>
      </c>
      <c r="D2557" s="2" t="inlineStr">
        <is>
          <t>COVENDISA</t>
        </is>
      </c>
      <c r="E2557" s="3" t="n">
        <v>4</v>
      </c>
      <c r="F2557" s="4" t="n">
        <v>0.3</v>
      </c>
      <c r="G2557" s="5">
        <f>ROUND(E2557*(1+F2557),2)</f>
        <v>5.20</v>
      </c>
      <c r="H2557" s="5">
        <f>ROUND(G2557*NOTAS!$B$2,2)</f>
        <v>3751.00</v>
      </c>
      <c r="I2557" s="6">
        <f>ROUND(G2557*NOTAS!$B$3,0)</f>
        <v>16894</v>
      </c>
      <c r="J2557" s="2" t="n">
        <v>1</v>
      </c>
    </row>
    <row r="2558">
      <c r="A2558" s="2" t="inlineStr">
        <is>
          <t>02544BREF</t>
        </is>
      </c>
      <c r="B2558" s="2" t="inlineStr"/>
      <c r="C2558" s="2" t="inlineStr">
        <is>
          <t>JUEGO GOMAS VALVULA F-147/UNO/PALIO/SIENA 1.3 8V</t>
        </is>
      </c>
      <c r="D2558" s="2" t="inlineStr">
        <is>
          <t>SABO ORIG</t>
        </is>
      </c>
      <c r="E2558" s="3" t="n">
        <v>6.15</v>
      </c>
      <c r="F2558" s="4" t="n">
        <v>0.3</v>
      </c>
      <c r="G2558" s="5">
        <f>ROUND(E2558*(1+F2558),2)</f>
        <v>8.00</v>
      </c>
      <c r="H2558" s="5">
        <f>ROUND(G2558*NOTAS!$B$2,2)</f>
        <v>5770.76</v>
      </c>
      <c r="I2558" s="6">
        <f>ROUND(G2558*NOTAS!$B$3,0)</f>
        <v>25991</v>
      </c>
      <c r="J2558" s="2" t="n">
        <v>5</v>
      </c>
    </row>
    <row r="2559">
      <c r="A2559" s="2" t="inlineStr">
        <is>
          <t>GY-A-005</t>
        </is>
      </c>
      <c r="B2559" s="2" t="inlineStr">
        <is>
          <t>5930415</t>
        </is>
      </c>
      <c r="C2559" s="2" t="inlineStr">
        <is>
          <t>JUEGO GOMAS VALVULA F-147/UNO/PALIO/SIENA 1.3 8V</t>
        </is>
      </c>
      <c r="D2559" s="2" t="inlineStr">
        <is>
          <t>GYA</t>
        </is>
      </c>
      <c r="E2559" s="3" t="n">
        <v>3.11</v>
      </c>
      <c r="F2559" s="4" t="n">
        <v>0.3</v>
      </c>
      <c r="G2559" s="5">
        <f>ROUND(E2559*(1+F2559),2)</f>
        <v>4.04</v>
      </c>
      <c r="H2559" s="5">
        <f>ROUND(G2559*NOTAS!$B$2,2)</f>
        <v>2914.24</v>
      </c>
      <c r="I2559" s="6">
        <f>ROUND(G2559*NOTAS!$B$3,0)</f>
        <v>13125</v>
      </c>
      <c r="J2559" s="2" t="n">
        <v>1</v>
      </c>
    </row>
    <row r="2560">
      <c r="A2560" s="2" t="inlineStr">
        <is>
          <t>KK150-10-155</t>
        </is>
      </c>
      <c r="B2560" s="2" t="inlineStr"/>
      <c r="C2560" s="2" t="inlineStr">
        <is>
          <t>JUEGO GOMAS VALVULA FESTIVA</t>
        </is>
      </c>
      <c r="D2560" s="2" t="inlineStr">
        <is>
          <t>TOA</t>
        </is>
      </c>
      <c r="E2560" s="3" t="n">
        <v>9.2308</v>
      </c>
      <c r="F2560" s="4" t="n">
        <v>0.3</v>
      </c>
      <c r="G2560" s="5">
        <f>ROUND(E2560*(1+F2560),2)</f>
        <v>12.00</v>
      </c>
      <c r="H2560" s="5">
        <f>ROUND(G2560*NOTAS!$B$2,2)</f>
        <v>8656.15</v>
      </c>
      <c r="I2560" s="6">
        <f>ROUND(G2560*NOTAS!$B$3,0)</f>
        <v>38986</v>
      </c>
      <c r="J2560" s="2" t="n">
        <v>3</v>
      </c>
    </row>
    <row r="2561">
      <c r="A2561" s="2" t="inlineStr">
        <is>
          <t>09250BREF</t>
        </is>
      </c>
      <c r="B2561" s="2" t="inlineStr"/>
      <c r="C2561" s="2" t="inlineStr">
        <is>
          <t>JUEGO GOMAS VALVULA FIESTA/KA 1.6</t>
        </is>
      </c>
      <c r="D2561" s="2" t="inlineStr">
        <is>
          <t>SABO</t>
        </is>
      </c>
      <c r="E2561" s="3" t="n">
        <v>10.8</v>
      </c>
      <c r="F2561" s="4" t="n">
        <v>0.3</v>
      </c>
      <c r="G2561" s="5">
        <f>ROUND(E2561*(1+F2561),2)</f>
        <v>14.04</v>
      </c>
      <c r="H2561" s="5">
        <f>ROUND(G2561*NOTAS!$B$2,2)</f>
        <v>10127.69</v>
      </c>
      <c r="I2561" s="6">
        <f>ROUND(G2561*NOTAS!$B$3,0)</f>
        <v>45614</v>
      </c>
      <c r="J2561" s="2" t="n">
        <v>3</v>
      </c>
    </row>
    <row r="2562">
      <c r="A2562" s="2" t="inlineStr">
        <is>
          <t>XS6E6571AB</t>
        </is>
      </c>
      <c r="B2562" s="2" t="inlineStr"/>
      <c r="C2562" s="2" t="inlineStr">
        <is>
          <t>JUEGO GOMAS VALVULA FIESTA/KA 1.6</t>
        </is>
      </c>
      <c r="D2562" s="2" t="inlineStr">
        <is>
          <t>FORD</t>
        </is>
      </c>
      <c r="E2562" s="3" t="n">
        <v>4.5</v>
      </c>
      <c r="F2562" s="4" t="n">
        <v>0.3</v>
      </c>
      <c r="G2562" s="5">
        <f>ROUND(E2562*(1+F2562),2)</f>
        <v>5.85</v>
      </c>
      <c r="H2562" s="5">
        <f>ROUND(G2562*NOTAS!$B$2,2)</f>
        <v>4219.87</v>
      </c>
      <c r="I2562" s="6">
        <f>ROUND(G2562*NOTAS!$B$3,0)</f>
        <v>19006</v>
      </c>
      <c r="J2562" s="2" t="n">
        <v>1</v>
      </c>
    </row>
    <row r="2563">
      <c r="A2563" s="2" t="inlineStr">
        <is>
          <t>7700103872</t>
        </is>
      </c>
      <c r="B2563" s="2" t="inlineStr"/>
      <c r="C2563" s="2" t="inlineStr">
        <is>
          <t>JUEGO GOMAS VALVULA F-PAL/SIE/TEMP 1.6 R-19 1.4</t>
        </is>
      </c>
      <c r="D2563" s="2" t="inlineStr">
        <is>
          <t>RENAULT</t>
        </is>
      </c>
      <c r="E2563" s="3" t="n">
        <v>1.09</v>
      </c>
      <c r="F2563" s="4" t="n">
        <v>0.3</v>
      </c>
      <c r="G2563" s="5">
        <f>ROUND(E2563*(1+F2563),2)</f>
        <v>1.42</v>
      </c>
      <c r="H2563" s="5">
        <f>ROUND(G2563*NOTAS!$B$2,2)</f>
        <v>1024.31</v>
      </c>
      <c r="I2563" s="6">
        <f>ROUND(G2563*NOTAS!$B$3,0)</f>
        <v>4613</v>
      </c>
      <c r="J2563" s="2" t="n">
        <v>4</v>
      </c>
    </row>
    <row r="2564">
      <c r="A2564" s="2" t="inlineStr">
        <is>
          <t>4101386</t>
        </is>
      </c>
      <c r="B2564" s="2" t="inlineStr"/>
      <c r="C2564" s="2" t="inlineStr">
        <is>
          <t>JUEGO GOMAS VALVULA F-PAL/SIE/TEMP 1.6 R-19 1.4</t>
        </is>
      </c>
      <c r="D2564" s="2" t="inlineStr">
        <is>
          <t>EMASA</t>
        </is>
      </c>
      <c r="E2564" s="3" t="n">
        <v>3.15</v>
      </c>
      <c r="F2564" s="4" t="n">
        <v>0.3</v>
      </c>
      <c r="G2564" s="5">
        <f>ROUND(E2564*(1+F2564),2)</f>
        <v>4.10</v>
      </c>
      <c r="H2564" s="5">
        <f>ROUND(G2564*NOTAS!$B$2,2)</f>
        <v>2957.52</v>
      </c>
      <c r="I2564" s="6">
        <f>ROUND(G2564*NOTAS!$B$3,0)</f>
        <v>13320</v>
      </c>
      <c r="J2564" s="2" t="n">
        <v>2</v>
      </c>
    </row>
    <row r="2565">
      <c r="A2565" s="2" t="inlineStr">
        <is>
          <t>735448759</t>
        </is>
      </c>
      <c r="B2565" s="2" t="inlineStr"/>
      <c r="C2565" s="2" t="inlineStr">
        <is>
          <t>JUEGO GOMAS VALVULA F-PAL/SIE/TEMP 1.6 R-19 1.4</t>
        </is>
      </c>
      <c r="D2565" s="2" t="inlineStr">
        <is>
          <t>FIAT</t>
        </is>
      </c>
      <c r="E2565" s="3" t="n">
        <v>2</v>
      </c>
      <c r="F2565" s="4" t="n">
        <v>0.3</v>
      </c>
      <c r="G2565" s="5">
        <f>ROUND(E2565*(1+F2565),2)</f>
        <v>2.60</v>
      </c>
      <c r="H2565" s="5">
        <f>ROUND(G2565*NOTAS!$B$2,2)</f>
        <v>1875.50</v>
      </c>
      <c r="I2565" s="6">
        <f>ROUND(G2565*NOTAS!$B$3,0)</f>
        <v>8447</v>
      </c>
      <c r="J2565" s="2" t="n">
        <v>1</v>
      </c>
    </row>
    <row r="2566">
      <c r="A2566" s="2" t="inlineStr">
        <is>
          <t>03044BREF</t>
        </is>
      </c>
      <c r="B2566" s="2" t="inlineStr"/>
      <c r="C2566" s="2" t="inlineStr">
        <is>
          <t>JUEGO GOMAS VALVULA F-PAL/SIE/TEMP 1.6 R-19 1.4</t>
        </is>
      </c>
      <c r="D2566" s="2" t="inlineStr">
        <is>
          <t>SABO ORIG</t>
        </is>
      </c>
      <c r="E2566" s="3" t="n">
        <v>8.109999999999999</v>
      </c>
      <c r="F2566" s="4" t="n">
        <v>0.3</v>
      </c>
      <c r="G2566" s="5">
        <f>ROUND(E2566*(1+F2566),2)</f>
        <v>10.54</v>
      </c>
      <c r="H2566" s="5">
        <f>ROUND(G2566*NOTAS!$B$2,2)</f>
        <v>7602.98</v>
      </c>
      <c r="I2566" s="6">
        <f>ROUND(G2566*NOTAS!$B$3,0)</f>
        <v>34243</v>
      </c>
      <c r="J2566" s="2" t="n">
        <v>6</v>
      </c>
    </row>
    <row r="2567">
      <c r="A2567" s="2" t="inlineStr">
        <is>
          <t>09203BREF</t>
        </is>
      </c>
      <c r="B2567" s="2" t="inlineStr"/>
      <c r="C2567" s="2" t="inlineStr">
        <is>
          <t>JUEGO GOMAS VALVULA F-PALIO/SIENA 1.3 16V FIRE/OPTRA</t>
        </is>
      </c>
      <c r="D2567" s="2" t="inlineStr">
        <is>
          <t>SABO ORIG</t>
        </is>
      </c>
      <c r="E2567" s="3" t="n">
        <v>7.91</v>
      </c>
      <c r="F2567" s="4" t="n">
        <v>0.3</v>
      </c>
      <c r="G2567" s="5">
        <f>ROUND(E2567*(1+F2567),2)</f>
        <v>10.28</v>
      </c>
      <c r="H2567" s="5">
        <f>ROUND(G2567*NOTAS!$B$2,2)</f>
        <v>7415.43</v>
      </c>
      <c r="I2567" s="6">
        <f>ROUND(G2567*NOTAS!$B$3,0)</f>
        <v>33398</v>
      </c>
      <c r="J2567" s="2" t="n">
        <v>7</v>
      </c>
    </row>
    <row r="2568">
      <c r="A2568" s="2" t="inlineStr">
        <is>
          <t>407746F</t>
        </is>
      </c>
      <c r="B2568" s="2" t="inlineStr"/>
      <c r="C2568" s="2" t="inlineStr">
        <is>
          <t>JUEGO GOMAS VALVULA F-PALIO/SIENA 1.4 8V</t>
        </is>
      </c>
      <c r="D2568" s="2" t="inlineStr">
        <is>
          <t>SPALL</t>
        </is>
      </c>
      <c r="E2568" s="3" t="n">
        <v>10.7692</v>
      </c>
      <c r="F2568" s="4" t="n">
        <v>0.3</v>
      </c>
      <c r="G2568" s="5">
        <f>ROUND(E2568*(1+F2568),2)</f>
        <v>14.00</v>
      </c>
      <c r="H2568" s="5">
        <f>ROUND(G2568*NOTAS!$B$2,2)</f>
        <v>10098.84</v>
      </c>
      <c r="I2568" s="6">
        <f>ROUND(G2568*NOTAS!$B$3,0)</f>
        <v>45484</v>
      </c>
      <c r="J2568" s="2" t="n">
        <v>1</v>
      </c>
    </row>
    <row r="2569">
      <c r="A2569" s="2" t="inlineStr">
        <is>
          <t>GY-A-027</t>
        </is>
      </c>
      <c r="B2569" s="2" t="inlineStr">
        <is>
          <t>55190344</t>
        </is>
      </c>
      <c r="C2569" s="2" t="inlineStr">
        <is>
          <t>JUEGO GOMAS VALVULA F-PALIO/SIENA 1.4 8V</t>
        </is>
      </c>
      <c r="D2569" s="2" t="inlineStr">
        <is>
          <t>GYA</t>
        </is>
      </c>
      <c r="E2569" s="3" t="n">
        <v>2.88</v>
      </c>
      <c r="F2569" s="4" t="n">
        <v>0.3</v>
      </c>
      <c r="G2569" s="5">
        <f>ROUND(E2569*(1+F2569),2)</f>
        <v>3.74</v>
      </c>
      <c r="H2569" s="5">
        <f>ROUND(G2569*NOTAS!$B$2,2)</f>
        <v>2697.83</v>
      </c>
      <c r="I2569" s="6">
        <f>ROUND(G2569*NOTAS!$B$3,0)</f>
        <v>12151</v>
      </c>
      <c r="J2569" s="2" t="n">
        <v>3</v>
      </c>
    </row>
    <row r="2570">
      <c r="A2570" s="2" t="inlineStr">
        <is>
          <t>09300BREF</t>
        </is>
      </c>
      <c r="B2570" s="2" t="inlineStr"/>
      <c r="C2570" s="2" t="inlineStr">
        <is>
          <t>JUEGO GOMAS VALVULA F-PALIO/SIENA 1.4 8V 4UNID</t>
        </is>
      </c>
      <c r="D2570" s="2" t="inlineStr">
        <is>
          <t>SABO ORIG</t>
        </is>
      </c>
      <c r="E2570" s="3" t="n">
        <v>3.45</v>
      </c>
      <c r="F2570" s="4" t="n">
        <v>0.3</v>
      </c>
      <c r="G2570" s="5">
        <f>ROUND(E2570*(1+F2570),2)</f>
        <v>4.49</v>
      </c>
      <c r="H2570" s="5">
        <f>ROUND(G2570*NOTAS!$B$2,2)</f>
        <v>3238.84</v>
      </c>
      <c r="I2570" s="6">
        <f>ROUND(G2570*NOTAS!$B$3,0)</f>
        <v>14587</v>
      </c>
      <c r="J2570" s="2" t="n">
        <v>1</v>
      </c>
    </row>
    <row r="2571">
      <c r="A2571" s="2" t="inlineStr">
        <is>
          <t>2222423500</t>
        </is>
      </c>
      <c r="B2571" s="2" t="inlineStr"/>
      <c r="C2571" s="2" t="inlineStr">
        <is>
          <t>JUEGO GOMAS VALVULA HYUNDAI ACCENT GETZ TUCSON ELANTRA 12UNID</t>
        </is>
      </c>
      <c r="D2571" s="2" t="inlineStr">
        <is>
          <t>HYUNDAI</t>
        </is>
      </c>
      <c r="E2571" s="3" t="n">
        <v>13.8462</v>
      </c>
      <c r="F2571" s="4" t="n">
        <v>0.3</v>
      </c>
      <c r="G2571" s="5">
        <f>ROUND(E2571*(1+F2571),2)</f>
        <v>18.00</v>
      </c>
      <c r="H2571" s="5">
        <f>ROUND(G2571*NOTAS!$B$2,2)</f>
        <v>12984.22</v>
      </c>
      <c r="I2571" s="6">
        <f>ROUND(G2571*NOTAS!$B$3,0)</f>
        <v>58480</v>
      </c>
      <c r="J2571" s="2" t="n">
        <v>1</v>
      </c>
    </row>
    <row r="2572">
      <c r="A2572" s="2" t="inlineStr">
        <is>
          <t>7700103938</t>
        </is>
      </c>
      <c r="B2572" s="2" t="inlineStr"/>
      <c r="C2572" s="2" t="inlineStr">
        <is>
          <t>JUEGO GOMAS VALVULA R-SYMBOL/CLIO/MEGANE 1.6 16V</t>
        </is>
      </c>
      <c r="D2572" s="2" t="inlineStr">
        <is>
          <t>RENAULT</t>
        </is>
      </c>
      <c r="E2572" s="3" t="n">
        <v>11.5385</v>
      </c>
      <c r="F2572" s="4" t="n">
        <v>0.3</v>
      </c>
      <c r="G2572" s="5">
        <f>ROUND(E2572*(1+F2572),2)</f>
        <v>15.00</v>
      </c>
      <c r="H2572" s="5">
        <f>ROUND(G2572*NOTAS!$B$2,2)</f>
        <v>10820.18</v>
      </c>
      <c r="I2572" s="6">
        <f>ROUND(G2572*NOTAS!$B$3,0)</f>
        <v>48733</v>
      </c>
      <c r="J2572" s="2" t="n">
        <v>1</v>
      </c>
    </row>
    <row r="2573">
      <c r="A2573" s="2" t="inlineStr">
        <is>
          <t>96229145</t>
        </is>
      </c>
      <c r="B2573" s="2" t="inlineStr"/>
      <c r="C2573" s="2" t="inlineStr">
        <is>
          <t>JUEGO GOMAS VALVULA SPARK</t>
        </is>
      </c>
      <c r="D2573" s="2" t="inlineStr">
        <is>
          <t>GM</t>
        </is>
      </c>
      <c r="E2573" s="3" t="n">
        <v>2.23</v>
      </c>
      <c r="F2573" s="4" t="n">
        <v>0.3</v>
      </c>
      <c r="G2573" s="5">
        <f>ROUND(E2573*(1+F2573),2)</f>
        <v>2.90</v>
      </c>
      <c r="H2573" s="5">
        <f>ROUND(G2573*NOTAS!$B$2,2)</f>
        <v>2091.90</v>
      </c>
      <c r="I2573" s="6">
        <f>ROUND(G2573*NOTAS!$B$3,0)</f>
        <v>9422</v>
      </c>
      <c r="J2573" s="2" t="n">
        <v>1</v>
      </c>
    </row>
    <row r="2574">
      <c r="A2574" s="2" t="inlineStr">
        <is>
          <t>94535484</t>
        </is>
      </c>
      <c r="B2574" s="2" t="inlineStr"/>
      <c r="C2574" s="2" t="inlineStr">
        <is>
          <t>JUEGO GOMAS VALVULA SPARK</t>
        </is>
      </c>
      <c r="D2574" s="2" t="inlineStr">
        <is>
          <t>GM</t>
        </is>
      </c>
      <c r="E2574" s="3" t="n">
        <v>0.98</v>
      </c>
      <c r="F2574" s="4" t="n">
        <v>0.3</v>
      </c>
      <c r="G2574" s="5">
        <f>ROUND(E2574*(1+F2574),2)</f>
        <v>1.27</v>
      </c>
      <c r="H2574" s="5">
        <f>ROUND(G2574*NOTAS!$B$2,2)</f>
        <v>916.11</v>
      </c>
      <c r="I2574" s="6">
        <f>ROUND(G2574*NOTAS!$B$3,0)</f>
        <v>4126</v>
      </c>
      <c r="J2574" s="2" t="n">
        <v>3</v>
      </c>
    </row>
    <row r="2575">
      <c r="A2575" s="2" t="inlineStr">
        <is>
          <t>09289-05012</t>
        </is>
      </c>
      <c r="B2575" s="2" t="inlineStr"/>
      <c r="C2575" s="2" t="inlineStr">
        <is>
          <t>JUEGO GOMAS VALVULA SWIFT</t>
        </is>
      </c>
      <c r="D2575" s="2" t="inlineStr">
        <is>
          <t>TOA</t>
        </is>
      </c>
      <c r="E2575" s="3" t="n">
        <v>9.2308</v>
      </c>
      <c r="F2575" s="4" t="n">
        <v>0.3</v>
      </c>
      <c r="G2575" s="5">
        <f>ROUND(E2575*(1+F2575),2)</f>
        <v>12.00</v>
      </c>
      <c r="H2575" s="5">
        <f>ROUND(G2575*NOTAS!$B$2,2)</f>
        <v>8656.15</v>
      </c>
      <c r="I2575" s="6">
        <f>ROUND(G2575*NOTAS!$B$3,0)</f>
        <v>38986</v>
      </c>
      <c r="J2575" s="2" t="n">
        <v>6</v>
      </c>
    </row>
    <row r="2576">
      <c r="A2576" s="2" t="inlineStr">
        <is>
          <t>996350</t>
        </is>
      </c>
      <c r="B2576" s="2" t="inlineStr"/>
      <c r="C2576" s="2" t="inlineStr">
        <is>
          <t>JUEGO GUIAS VALVULA AVEO 1.6</t>
        </is>
      </c>
      <c r="D2576" s="2" t="inlineStr">
        <is>
          <t>COVENDISA</t>
        </is>
      </c>
      <c r="E2576" s="3" t="n">
        <v>23.0769</v>
      </c>
      <c r="F2576" s="4" t="n">
        <v>0.3</v>
      </c>
      <c r="G2576" s="5">
        <f>ROUND(E2576*(1+F2576),2)</f>
        <v>30.00</v>
      </c>
      <c r="H2576" s="5">
        <f>ROUND(G2576*NOTAS!$B$2,2)</f>
        <v>21640.37</v>
      </c>
      <c r="I2576" s="6">
        <f>ROUND(G2576*NOTAS!$B$3,0)</f>
        <v>97466</v>
      </c>
      <c r="J2576" s="2" t="n">
        <v>3</v>
      </c>
    </row>
    <row r="2577">
      <c r="A2577" s="2" t="inlineStr">
        <is>
          <t>996307</t>
        </is>
      </c>
      <c r="B2577" s="2" t="inlineStr"/>
      <c r="C2577" s="2" t="inlineStr">
        <is>
          <t>JUEGO GUIAS VALVULA CORSA</t>
        </is>
      </c>
      <c r="D2577" s="2" t="inlineStr">
        <is>
          <t>COVENDISA</t>
        </is>
      </c>
      <c r="E2577" s="3" t="n">
        <v>21.5385</v>
      </c>
      <c r="F2577" s="4" t="n">
        <v>0.3</v>
      </c>
      <c r="G2577" s="5">
        <f>ROUND(E2577*(1+F2577),2)</f>
        <v>28.00</v>
      </c>
      <c r="H2577" s="5">
        <f>ROUND(G2577*NOTAS!$B$2,2)</f>
        <v>20197.68</v>
      </c>
      <c r="I2577" s="6">
        <f>ROUND(G2577*NOTAS!$B$3,0)</f>
        <v>90968</v>
      </c>
      <c r="J2577" s="2" t="n">
        <v>1</v>
      </c>
    </row>
    <row r="2578">
      <c r="A2578" s="2" t="inlineStr">
        <is>
          <t>N/P6632</t>
        </is>
      </c>
      <c r="B2578" s="2" t="inlineStr"/>
      <c r="C2578" s="2" t="inlineStr">
        <is>
          <t>JUEGO GUIAS VALVULA FIAT 15MM</t>
        </is>
      </c>
      <c r="D2578" s="2" t="inlineStr">
        <is>
          <t>TRW</t>
        </is>
      </c>
      <c r="E2578" s="3" t="n">
        <v>19.2308</v>
      </c>
      <c r="F2578" s="4" t="n">
        <v>0.3</v>
      </c>
      <c r="G2578" s="5">
        <f>ROUND(E2578*(1+F2578),2)</f>
        <v>25.00</v>
      </c>
      <c r="H2578" s="5">
        <f>ROUND(G2578*NOTAS!$B$2,2)</f>
        <v>18033.64</v>
      </c>
      <c r="I2578" s="6">
        <f>ROUND(G2578*NOTAS!$B$3,0)</f>
        <v>81222</v>
      </c>
      <c r="J2578" s="2" t="n">
        <v>1</v>
      </c>
    </row>
    <row r="2579">
      <c r="A2579" s="2" t="inlineStr"/>
      <c r="B2579" s="2" t="inlineStr"/>
      <c r="C2579" s="2" t="inlineStr">
        <is>
          <t>JUEGO GUIAS VALVULA MATIZ/TICO</t>
        </is>
      </c>
      <c r="D2579" s="2" t="inlineStr">
        <is>
          <t>KOREA</t>
        </is>
      </c>
      <c r="E2579" s="3" t="n">
        <v>16.9231</v>
      </c>
      <c r="F2579" s="4" t="n">
        <v>0.3</v>
      </c>
      <c r="G2579" s="5">
        <f>ROUND(E2579*(1+F2579),2)</f>
        <v>22.00</v>
      </c>
      <c r="H2579" s="5">
        <f>ROUND(G2579*NOTAS!$B$2,2)</f>
        <v>15869.60</v>
      </c>
      <c r="I2579" s="6">
        <f>ROUND(G2579*NOTAS!$B$3,0)</f>
        <v>71475</v>
      </c>
      <c r="J2579" s="2" t="n">
        <v>2</v>
      </c>
    </row>
    <row r="2580">
      <c r="A2580" s="2" t="inlineStr">
        <is>
          <t>G50394</t>
        </is>
      </c>
      <c r="B2580" s="2" t="inlineStr"/>
      <c r="C2580" s="2" t="inlineStr">
        <is>
          <t>JUEGO GUIAS VALVULA R-5/11/12</t>
        </is>
      </c>
      <c r="D2580" s="2" t="inlineStr">
        <is>
          <t>GIEFFE</t>
        </is>
      </c>
      <c r="E2580" s="3" t="n">
        <v>19.2308</v>
      </c>
      <c r="F2580" s="4" t="n">
        <v>0.3</v>
      </c>
      <c r="G2580" s="5">
        <f>ROUND(E2580*(1+F2580),2)</f>
        <v>25.00</v>
      </c>
      <c r="H2580" s="5">
        <f>ROUND(G2580*NOTAS!$B$2,2)</f>
        <v>18033.64</v>
      </c>
      <c r="I2580" s="6">
        <f>ROUND(G2580*NOTAS!$B$3,0)</f>
        <v>81222</v>
      </c>
      <c r="J2580" s="2" t="n">
        <v>1</v>
      </c>
    </row>
    <row r="2581">
      <c r="A2581" s="2" t="inlineStr">
        <is>
          <t>274</t>
        </is>
      </c>
      <c r="B2581" s="2" t="inlineStr"/>
      <c r="C2581" s="2" t="inlineStr">
        <is>
          <t>JUEGO LOCHAS CHEVETTE</t>
        </is>
      </c>
      <c r="D2581" s="2" t="inlineStr">
        <is>
          <t>APLIC</t>
        </is>
      </c>
      <c r="E2581" s="3" t="n">
        <v>11.5385</v>
      </c>
      <c r="F2581" s="4" t="n">
        <v>0.3</v>
      </c>
      <c r="G2581" s="5">
        <f>ROUND(E2581*(1+F2581),2)</f>
        <v>15.00</v>
      </c>
      <c r="H2581" s="5">
        <f>ROUND(G2581*NOTAS!$B$2,2)</f>
        <v>10820.18</v>
      </c>
      <c r="I2581" s="6">
        <f>ROUND(G2581*NOTAS!$B$3,0)</f>
        <v>48733</v>
      </c>
      <c r="J2581" s="2" t="n">
        <v>19</v>
      </c>
    </row>
    <row r="2582">
      <c r="A2582" s="2" t="inlineStr">
        <is>
          <t>273</t>
        </is>
      </c>
      <c r="B2582" s="2" t="inlineStr"/>
      <c r="C2582" s="2" t="inlineStr">
        <is>
          <t>JUEGO LOCHAS CORSA</t>
        </is>
      </c>
      <c r="D2582" s="2" t="inlineStr">
        <is>
          <t>APLIC</t>
        </is>
      </c>
      <c r="E2582" s="3" t="n">
        <v>13.8462</v>
      </c>
      <c r="F2582" s="4" t="n">
        <v>0.3</v>
      </c>
      <c r="G2582" s="5">
        <f>ROUND(E2582*(1+F2582),2)</f>
        <v>18.00</v>
      </c>
      <c r="H2582" s="5">
        <f>ROUND(G2582*NOTAS!$B$2,2)</f>
        <v>12984.22</v>
      </c>
      <c r="I2582" s="6">
        <f>ROUND(G2582*NOTAS!$B$3,0)</f>
        <v>58480</v>
      </c>
      <c r="J2582" s="2" t="n">
        <v>16</v>
      </c>
    </row>
    <row r="2583">
      <c r="A2583" s="2" t="inlineStr">
        <is>
          <t>282</t>
        </is>
      </c>
      <c r="B2583" s="2" t="inlineStr"/>
      <c r="C2583" s="2" t="inlineStr">
        <is>
          <t>JUEGO MARTILLO CHEVETTE</t>
        </is>
      </c>
      <c r="D2583" s="2" t="inlineStr">
        <is>
          <t>APLIC</t>
        </is>
      </c>
      <c r="E2583" s="3" t="n">
        <v>19.2308</v>
      </c>
      <c r="F2583" s="4" t="n">
        <v>0.3</v>
      </c>
      <c r="G2583" s="5">
        <f>ROUND(E2583*(1+F2583),2)</f>
        <v>25.00</v>
      </c>
      <c r="H2583" s="5">
        <f>ROUND(G2583*NOTAS!$B$2,2)</f>
        <v>18033.64</v>
      </c>
      <c r="I2583" s="6">
        <f>ROUND(G2583*NOTAS!$B$3,0)</f>
        <v>81222</v>
      </c>
      <c r="J2583" s="2" t="n">
        <v>10</v>
      </c>
    </row>
    <row r="2584">
      <c r="A2584" s="2" t="inlineStr">
        <is>
          <t>280</t>
        </is>
      </c>
      <c r="B2584" s="2" t="inlineStr"/>
      <c r="C2584" s="2" t="inlineStr">
        <is>
          <t>JUEGO MARTILLOS CORSA</t>
        </is>
      </c>
      <c r="D2584" s="2" t="inlineStr">
        <is>
          <t>APLIC</t>
        </is>
      </c>
      <c r="E2584" s="3" t="n">
        <v>21.5385</v>
      </c>
      <c r="F2584" s="4" t="n">
        <v>0.3</v>
      </c>
      <c r="G2584" s="5">
        <f>ROUND(E2584*(1+F2584),2)</f>
        <v>28.00</v>
      </c>
      <c r="H2584" s="5">
        <f>ROUND(G2584*NOTAS!$B$2,2)</f>
        <v>20197.68</v>
      </c>
      <c r="I2584" s="6">
        <f>ROUND(G2584*NOTAS!$B$3,0)</f>
        <v>90968</v>
      </c>
      <c r="J2584" s="2" t="n">
        <v>10</v>
      </c>
    </row>
    <row r="2585">
      <c r="A2585" s="2" t="inlineStr">
        <is>
          <t>93310051</t>
        </is>
      </c>
      <c r="B2585" s="2" t="inlineStr"/>
      <c r="C2585" s="2" t="inlineStr">
        <is>
          <t>JUEGO SOPORTE BARRA TENSORA CORSA 00/06</t>
        </is>
      </c>
      <c r="D2585" s="2" t="inlineStr">
        <is>
          <t>GM</t>
        </is>
      </c>
      <c r="E2585" s="3" t="n">
        <v>50</v>
      </c>
      <c r="F2585" s="4" t="n">
        <v>0.3</v>
      </c>
      <c r="G2585" s="5">
        <f>ROUND(E2585*(1+F2585),2)</f>
        <v>65.00</v>
      </c>
      <c r="H2585" s="5">
        <f>ROUND(G2585*NOTAS!$B$2,2)</f>
        <v>46887.46</v>
      </c>
      <c r="I2585" s="6">
        <f>ROUND(G2585*NOTAS!$B$3,0)</f>
        <v>211177</v>
      </c>
      <c r="J2585" s="2" t="n">
        <v>1</v>
      </c>
    </row>
    <row r="2586">
      <c r="A2586" s="2" t="inlineStr">
        <is>
          <t>8111442203</t>
        </is>
      </c>
      <c r="B2586" s="2" t="inlineStr"/>
      <c r="C2586" s="2" t="inlineStr">
        <is>
          <t>JUEGO TANQUE RADIADOR CORSA</t>
        </is>
      </c>
      <c r="D2586" s="2" t="inlineStr">
        <is>
          <t>BRAZIL</t>
        </is>
      </c>
      <c r="E2586" s="3" t="n">
        <v>23.0769</v>
      </c>
      <c r="F2586" s="4" t="n">
        <v>0.3</v>
      </c>
      <c r="G2586" s="5">
        <f>ROUND(E2586*(1+F2586),2)</f>
        <v>30.00</v>
      </c>
      <c r="H2586" s="5">
        <f>ROUND(G2586*NOTAS!$B$2,2)</f>
        <v>21640.37</v>
      </c>
      <c r="I2586" s="6">
        <f>ROUND(G2586*NOTAS!$B$3,0)</f>
        <v>97466</v>
      </c>
      <c r="J2586" s="2" t="n">
        <v>1</v>
      </c>
    </row>
    <row r="2587">
      <c r="A2587" s="2" t="inlineStr">
        <is>
          <t>THD00135</t>
        </is>
      </c>
      <c r="B2587" s="2" t="inlineStr">
        <is>
          <t>5233315</t>
        </is>
      </c>
      <c r="C2587" s="2" t="inlineStr">
        <is>
          <t>JUEGO TAQUETES CORSA</t>
        </is>
      </c>
      <c r="D2587" s="2" t="inlineStr">
        <is>
          <t>DELPHI</t>
        </is>
      </c>
      <c r="E2587" s="3" t="n">
        <v>26.9231</v>
      </c>
      <c r="F2587" s="4" t="n">
        <v>0.3</v>
      </c>
      <c r="G2587" s="5">
        <f>ROUND(E2587*(1+F2587),2)</f>
        <v>35.00</v>
      </c>
      <c r="H2587" s="5">
        <f>ROUND(G2587*NOTAS!$B$2,2)</f>
        <v>25247.10</v>
      </c>
      <c r="I2587" s="6">
        <f>ROUND(G2587*NOTAS!$B$3,0)</f>
        <v>113710</v>
      </c>
      <c r="J2587" s="2" t="n">
        <v>1</v>
      </c>
    </row>
    <row r="2588">
      <c r="A2588" s="2" t="inlineStr">
        <is>
          <t>F-46325.1</t>
        </is>
      </c>
      <c r="B2588" s="2" t="inlineStr"/>
      <c r="C2588" s="2" t="inlineStr">
        <is>
          <t>JUEGO TAQUETES FIESTA/KA 1.6</t>
        </is>
      </c>
      <c r="D2588" s="2" t="inlineStr">
        <is>
          <t>INA</t>
        </is>
      </c>
      <c r="E2588" s="3" t="n">
        <v>26.9231</v>
      </c>
      <c r="F2588" s="4" t="n">
        <v>0.3</v>
      </c>
      <c r="G2588" s="5">
        <f>ROUND(E2588*(1+F2588),2)</f>
        <v>35.00</v>
      </c>
      <c r="H2588" s="5">
        <f>ROUND(G2588*NOTAS!$B$2,2)</f>
        <v>25247.10</v>
      </c>
      <c r="I2588" s="6">
        <f>ROUND(G2588*NOTAS!$B$3,0)</f>
        <v>113710</v>
      </c>
      <c r="J2588" s="2" t="n">
        <v>2</v>
      </c>
    </row>
    <row r="2589">
      <c r="A2589" s="2" t="inlineStr">
        <is>
          <t>F-46599.25</t>
        </is>
      </c>
      <c r="B2589" s="2" t="inlineStr"/>
      <c r="C2589" s="2" t="inlineStr">
        <is>
          <t>JUEGO TAQUETES F-PALIO/SIENA 1.3 16V FIRE</t>
        </is>
      </c>
      <c r="D2589" s="2" t="inlineStr">
        <is>
          <t>INA</t>
        </is>
      </c>
      <c r="E2589" s="3" t="n">
        <v>26.9231</v>
      </c>
      <c r="F2589" s="4" t="n">
        <v>0.3</v>
      </c>
      <c r="G2589" s="5">
        <f>ROUND(E2589*(1+F2589),2)</f>
        <v>35.00</v>
      </c>
      <c r="H2589" s="5">
        <f>ROUND(G2589*NOTAS!$B$2,2)</f>
        <v>25247.10</v>
      </c>
      <c r="I2589" s="6">
        <f>ROUND(G2589*NOTAS!$B$3,0)</f>
        <v>113710</v>
      </c>
      <c r="J2589" s="2" t="n">
        <v>4</v>
      </c>
    </row>
    <row r="2590">
      <c r="A2590" s="2" t="inlineStr">
        <is>
          <t>96335947</t>
        </is>
      </c>
      <c r="B2590" s="2" t="inlineStr"/>
      <c r="C2590" s="2" t="inlineStr">
        <is>
          <t>JUEGO VALVULAS ADMISION AVEO 1.5 3RANURAS</t>
        </is>
      </c>
      <c r="D2590" s="2" t="inlineStr">
        <is>
          <t>GM</t>
        </is>
      </c>
      <c r="E2590" s="3" t="n">
        <v>15.3846</v>
      </c>
      <c r="F2590" s="4" t="n">
        <v>0.3</v>
      </c>
      <c r="G2590" s="5">
        <f>ROUND(E2590*(1+F2590),2)</f>
        <v>20.00</v>
      </c>
      <c r="H2590" s="5">
        <f>ROUND(G2590*NOTAS!$B$2,2)</f>
        <v>14426.91</v>
      </c>
      <c r="I2590" s="6">
        <f>ROUND(G2590*NOTAS!$B$3,0)</f>
        <v>64977</v>
      </c>
      <c r="J2590" s="2" t="n">
        <v>1</v>
      </c>
    </row>
    <row r="2591">
      <c r="A2591" s="2" t="inlineStr">
        <is>
          <t>V-7801</t>
        </is>
      </c>
      <c r="B2591" s="2" t="inlineStr"/>
      <c r="C2591" s="2" t="inlineStr">
        <is>
          <t>JUEGO VALVULAS ADMISION AVEO 1.5 3RANURAS</t>
        </is>
      </c>
      <c r="D2591" s="2" t="inlineStr">
        <is>
          <t>TRW</t>
        </is>
      </c>
      <c r="E2591" s="3" t="n">
        <v>15.3846</v>
      </c>
      <c r="F2591" s="4" t="n">
        <v>0.3</v>
      </c>
      <c r="G2591" s="5">
        <f>ROUND(E2591*(1+F2591),2)</f>
        <v>20.00</v>
      </c>
      <c r="H2591" s="5">
        <f>ROUND(G2591*NOTAS!$B$2,2)</f>
        <v>14426.91</v>
      </c>
      <c r="I2591" s="6">
        <f>ROUND(G2591*NOTAS!$B$3,0)</f>
        <v>64977</v>
      </c>
      <c r="J2591" s="2" t="n">
        <v>5</v>
      </c>
    </row>
    <row r="2592">
      <c r="A2592" s="2" t="inlineStr">
        <is>
          <t>15454K</t>
        </is>
      </c>
      <c r="B2592" s="2" t="inlineStr"/>
      <c r="C2592" s="2" t="inlineStr">
        <is>
          <t>JUEGO VALVULAS ADMISION AVEO 1.6</t>
        </is>
      </c>
      <c r="D2592" s="2" t="inlineStr">
        <is>
          <t>GIEFFE</t>
        </is>
      </c>
      <c r="E2592" s="3" t="n">
        <v>15.3846</v>
      </c>
      <c r="F2592" s="4" t="n">
        <v>0.3</v>
      </c>
      <c r="G2592" s="5">
        <f>ROUND(E2592*(1+F2592),2)</f>
        <v>20.00</v>
      </c>
      <c r="H2592" s="5">
        <f>ROUND(G2592*NOTAS!$B$2,2)</f>
        <v>14426.91</v>
      </c>
      <c r="I2592" s="6">
        <f>ROUND(G2592*NOTAS!$B$3,0)</f>
        <v>64977</v>
      </c>
      <c r="J2592" s="2" t="n">
        <v>3</v>
      </c>
    </row>
    <row r="2593">
      <c r="A2593" s="2" t="inlineStr">
        <is>
          <t>V-7871</t>
        </is>
      </c>
      <c r="B2593" s="2" t="inlineStr"/>
      <c r="C2593" s="2" t="inlineStr">
        <is>
          <t>JUEGO VALVULAS ADMISION AVEO 1.6</t>
        </is>
      </c>
      <c r="D2593" s="2" t="inlineStr">
        <is>
          <t>TRW</t>
        </is>
      </c>
      <c r="E2593" s="3" t="n">
        <v>15.3846</v>
      </c>
      <c r="F2593" s="4" t="n">
        <v>0.3</v>
      </c>
      <c r="G2593" s="5">
        <f>ROUND(E2593*(1+F2593),2)</f>
        <v>20.00</v>
      </c>
      <c r="H2593" s="5">
        <f>ROUND(G2593*NOTAS!$B$2,2)</f>
        <v>14426.91</v>
      </c>
      <c r="I2593" s="6">
        <f>ROUND(G2593*NOTAS!$B$3,0)</f>
        <v>64977</v>
      </c>
      <c r="J2593" s="2" t="n">
        <v>17</v>
      </c>
    </row>
    <row r="2594">
      <c r="A2594" s="2" t="inlineStr">
        <is>
          <t>V3300 +3</t>
        </is>
      </c>
      <c r="B2594" s="2" t="inlineStr"/>
      <c r="C2594" s="2" t="inlineStr">
        <is>
          <t>JUEGO VALVULAS ADMISION CHEVETTE +3</t>
        </is>
      </c>
      <c r="D2594" s="2" t="inlineStr">
        <is>
          <t>TRW</t>
        </is>
      </c>
      <c r="E2594" s="3" t="n">
        <v>11.5385</v>
      </c>
      <c r="F2594" s="4" t="n">
        <v>0.3</v>
      </c>
      <c r="G2594" s="5">
        <f>ROUND(E2594*(1+F2594),2)</f>
        <v>15.00</v>
      </c>
      <c r="H2594" s="5">
        <f>ROUND(G2594*NOTAS!$B$2,2)</f>
        <v>10820.18</v>
      </c>
      <c r="I2594" s="6">
        <f>ROUND(G2594*NOTAS!$B$3,0)</f>
        <v>48733</v>
      </c>
      <c r="J2594" s="2" t="n">
        <v>1</v>
      </c>
    </row>
    <row r="2595">
      <c r="A2595" s="2" t="inlineStr">
        <is>
          <t>VA.379.A</t>
        </is>
      </c>
      <c r="B2595" s="2" t="inlineStr"/>
      <c r="C2595" s="2" t="inlineStr">
        <is>
          <t>JUEGO VALVULAS ADMISION CHEVETTE +3</t>
        </is>
      </c>
      <c r="D2595" s="2" t="inlineStr">
        <is>
          <t>TRW</t>
        </is>
      </c>
      <c r="E2595" s="3" t="n">
        <v>11.5385</v>
      </c>
      <c r="F2595" s="4" t="n">
        <v>0.3</v>
      </c>
      <c r="G2595" s="5">
        <f>ROUND(E2595*(1+F2595),2)</f>
        <v>15.00</v>
      </c>
      <c r="H2595" s="5">
        <f>ROUND(G2595*NOTAS!$B$2,2)</f>
        <v>10820.18</v>
      </c>
      <c r="I2595" s="6">
        <f>ROUND(G2595*NOTAS!$B$3,0)</f>
        <v>48733</v>
      </c>
      <c r="J2595" s="2" t="n">
        <v>2</v>
      </c>
    </row>
    <row r="2596">
      <c r="A2596" s="2" t="inlineStr">
        <is>
          <t>357</t>
        </is>
      </c>
      <c r="B2596" s="2" t="inlineStr"/>
      <c r="C2596" s="2" t="inlineStr">
        <is>
          <t>JUEGO VALVULAS ADMISION CHEVETTE STD</t>
        </is>
      </c>
      <c r="D2596" s="2" t="inlineStr">
        <is>
          <t>OSVAT</t>
        </is>
      </c>
      <c r="E2596" s="3" t="n">
        <v>11.5385</v>
      </c>
      <c r="F2596" s="4" t="n">
        <v>0.3</v>
      </c>
      <c r="G2596" s="5">
        <f>ROUND(E2596*(1+F2596),2)</f>
        <v>15.00</v>
      </c>
      <c r="H2596" s="5">
        <f>ROUND(G2596*NOTAS!$B$2,2)</f>
        <v>10820.18</v>
      </c>
      <c r="I2596" s="6">
        <f>ROUND(G2596*NOTAS!$B$3,0)</f>
        <v>48733</v>
      </c>
      <c r="J2596" s="2" t="n">
        <v>1</v>
      </c>
    </row>
    <row r="2597">
      <c r="A2597" s="2" t="inlineStr">
        <is>
          <t>V-3300</t>
        </is>
      </c>
      <c r="B2597" s="2" t="inlineStr"/>
      <c r="C2597" s="2" t="inlineStr">
        <is>
          <t>JUEGO VALVULAS ADMISION CHEVETTE STD</t>
        </is>
      </c>
      <c r="D2597" s="2" t="inlineStr">
        <is>
          <t>TRW</t>
        </is>
      </c>
      <c r="E2597" s="3" t="n">
        <v>11.5385</v>
      </c>
      <c r="F2597" s="4" t="n">
        <v>0.3</v>
      </c>
      <c r="G2597" s="5">
        <f>ROUND(E2597*(1+F2597),2)</f>
        <v>15.00</v>
      </c>
      <c r="H2597" s="5">
        <f>ROUND(G2597*NOTAS!$B$2,2)</f>
        <v>10820.18</v>
      </c>
      <c r="I2597" s="6">
        <f>ROUND(G2597*NOTAS!$B$3,0)</f>
        <v>48733</v>
      </c>
      <c r="J2597" s="2" t="n">
        <v>1</v>
      </c>
    </row>
    <row r="2598">
      <c r="A2598" s="2" t="inlineStr">
        <is>
          <t>VA.1550</t>
        </is>
      </c>
      <c r="B2598" s="2" t="inlineStr"/>
      <c r="C2598" s="2" t="inlineStr">
        <is>
          <t>JUEGO VALVULAS ADMISION CHEVETTE STD</t>
        </is>
      </c>
      <c r="D2598" s="2" t="inlineStr">
        <is>
          <t>TRW</t>
        </is>
      </c>
      <c r="E2598" s="3" t="n">
        <v>11.5385</v>
      </c>
      <c r="F2598" s="4" t="n">
        <v>0.3</v>
      </c>
      <c r="G2598" s="5">
        <f>ROUND(E2598*(1+F2598),2)</f>
        <v>15.00</v>
      </c>
      <c r="H2598" s="5">
        <f>ROUND(G2598*NOTAS!$B$2,2)</f>
        <v>10820.18</v>
      </c>
      <c r="I2598" s="6">
        <f>ROUND(G2598*NOTAS!$B$3,0)</f>
        <v>48733</v>
      </c>
      <c r="J2598" s="2" t="n">
        <v>2</v>
      </c>
    </row>
    <row r="2599">
      <c r="A2599" s="2" t="inlineStr">
        <is>
          <t>V-9092</t>
        </is>
      </c>
      <c r="B2599" s="2" t="inlineStr"/>
      <c r="C2599" s="2" t="inlineStr">
        <is>
          <t>JUEGO VALVULAS ADMISION CIELO</t>
        </is>
      </c>
      <c r="D2599" s="2" t="inlineStr">
        <is>
          <t>TRW</t>
        </is>
      </c>
      <c r="E2599" s="3" t="n">
        <v>13.8462</v>
      </c>
      <c r="F2599" s="4" t="n">
        <v>0.3</v>
      </c>
      <c r="G2599" s="5">
        <f>ROUND(E2599*(1+F2599),2)</f>
        <v>18.00</v>
      </c>
      <c r="H2599" s="5">
        <f>ROUND(G2599*NOTAS!$B$2,2)</f>
        <v>12984.22</v>
      </c>
      <c r="I2599" s="6">
        <f>ROUND(G2599*NOTAS!$B$3,0)</f>
        <v>58480</v>
      </c>
      <c r="J2599" s="2" t="n">
        <v>4</v>
      </c>
    </row>
    <row r="2600">
      <c r="A2600" s="2" t="inlineStr">
        <is>
          <t>90215492</t>
        </is>
      </c>
      <c r="B2600" s="2" t="inlineStr"/>
      <c r="C2600" s="2" t="inlineStr">
        <is>
          <t>JUEGO VALVULAS ADMISION CIELO</t>
        </is>
      </c>
      <c r="D2600" s="2" t="inlineStr">
        <is>
          <t>KOREA</t>
        </is>
      </c>
      <c r="E2600" s="3" t="n">
        <v>13.8462</v>
      </c>
      <c r="F2600" s="4" t="n">
        <v>0.3</v>
      </c>
      <c r="G2600" s="5">
        <f>ROUND(E2600*(1+F2600),2)</f>
        <v>18.00</v>
      </c>
      <c r="H2600" s="5">
        <f>ROUND(G2600*NOTAS!$B$2,2)</f>
        <v>12984.22</v>
      </c>
      <c r="I2600" s="6">
        <f>ROUND(G2600*NOTAS!$B$3,0)</f>
        <v>58480</v>
      </c>
      <c r="J2600" s="2" t="n">
        <v>3</v>
      </c>
    </row>
    <row r="2601">
      <c r="A2601" s="2" t="inlineStr"/>
      <c r="B2601" s="2" t="inlineStr"/>
      <c r="C2601" s="2" t="inlineStr">
        <is>
          <t>JUEGO VALVULAS ADMISION CIELO</t>
        </is>
      </c>
      <c r="D2601" s="2" t="inlineStr">
        <is>
          <t>ANJUM</t>
        </is>
      </c>
      <c r="E2601" s="3" t="n">
        <v>13.8462</v>
      </c>
      <c r="F2601" s="4" t="n">
        <v>0.3</v>
      </c>
      <c r="G2601" s="5">
        <f>ROUND(E2601*(1+F2601),2)</f>
        <v>18.00</v>
      </c>
      <c r="H2601" s="5">
        <f>ROUND(G2601*NOTAS!$B$2,2)</f>
        <v>12984.22</v>
      </c>
      <c r="I2601" s="6">
        <f>ROUND(G2601*NOTAS!$B$3,0)</f>
        <v>58480</v>
      </c>
      <c r="J2601" s="2" t="n">
        <v>1</v>
      </c>
    </row>
    <row r="2602">
      <c r="A2602" s="2" t="inlineStr">
        <is>
          <t>V-3303</t>
        </is>
      </c>
      <c r="B2602" s="2" t="inlineStr"/>
      <c r="C2602" s="2" t="inlineStr">
        <is>
          <t>JUEGO VALVULAS ADMISION CORCEL</t>
        </is>
      </c>
      <c r="D2602" s="2" t="inlineStr">
        <is>
          <t>TRW</t>
        </is>
      </c>
      <c r="E2602" s="3" t="n">
        <v>11.5385</v>
      </c>
      <c r="F2602" s="4" t="n">
        <v>0.3</v>
      </c>
      <c r="G2602" s="5">
        <f>ROUND(E2602*(1+F2602),2)</f>
        <v>15.00</v>
      </c>
      <c r="H2602" s="5">
        <f>ROUND(G2602*NOTAS!$B$2,2)</f>
        <v>10820.18</v>
      </c>
      <c r="I2602" s="6">
        <f>ROUND(G2602*NOTAS!$B$3,0)</f>
        <v>48733</v>
      </c>
      <c r="J2602" s="2" t="n">
        <v>3</v>
      </c>
    </row>
    <row r="2603">
      <c r="A2603" s="2" t="inlineStr">
        <is>
          <t>1444S</t>
        </is>
      </c>
      <c r="B2603" s="2" t="inlineStr"/>
      <c r="C2603" s="2" t="inlineStr">
        <is>
          <t>JUEGO VALVULAS ADMISION CORCEL</t>
        </is>
      </c>
      <c r="D2603" s="2" t="inlineStr">
        <is>
          <t>GIEFFE</t>
        </is>
      </c>
      <c r="E2603" s="3" t="n">
        <v>11.5385</v>
      </c>
      <c r="F2603" s="4" t="n">
        <v>0.3</v>
      </c>
      <c r="G2603" s="5">
        <f>ROUND(E2603*(1+F2603),2)</f>
        <v>15.00</v>
      </c>
      <c r="H2603" s="5">
        <f>ROUND(G2603*NOTAS!$B$2,2)</f>
        <v>10820.18</v>
      </c>
      <c r="I2603" s="6">
        <f>ROUND(G2603*NOTAS!$B$3,0)</f>
        <v>48733</v>
      </c>
      <c r="J2603" s="2" t="n">
        <v>2</v>
      </c>
    </row>
    <row r="2604">
      <c r="A2604" s="2" t="inlineStr">
        <is>
          <t>BV-2271</t>
        </is>
      </c>
      <c r="B2604" s="2" t="inlineStr"/>
      <c r="C2604" s="2" t="inlineStr">
        <is>
          <t>JUEGO VALVULAS ADMISION CORSA 1.3</t>
        </is>
      </c>
      <c r="D2604" s="2" t="inlineStr">
        <is>
          <t>TRW</t>
        </is>
      </c>
      <c r="E2604" s="3" t="n">
        <v>12.3077</v>
      </c>
      <c r="F2604" s="4" t="n">
        <v>0.3</v>
      </c>
      <c r="G2604" s="5">
        <f>ROUND(E2604*(1+F2604),2)</f>
        <v>16.00</v>
      </c>
      <c r="H2604" s="5">
        <f>ROUND(G2604*NOTAS!$B$2,2)</f>
        <v>11541.53</v>
      </c>
      <c r="I2604" s="6">
        <f>ROUND(G2604*NOTAS!$B$3,0)</f>
        <v>51982</v>
      </c>
      <c r="J2604" s="2" t="n">
        <v>1</v>
      </c>
    </row>
    <row r="2605">
      <c r="A2605" s="2" t="inlineStr">
        <is>
          <t>0556S</t>
        </is>
      </c>
      <c r="B2605" s="2" t="inlineStr"/>
      <c r="C2605" s="2" t="inlineStr">
        <is>
          <t>JUEGO VALVULAS ADMISION CORSA 1.3</t>
        </is>
      </c>
      <c r="D2605" s="2" t="inlineStr">
        <is>
          <t>GIEFFE</t>
        </is>
      </c>
      <c r="E2605" s="3" t="n">
        <v>12.3077</v>
      </c>
      <c r="F2605" s="4" t="n">
        <v>0.3</v>
      </c>
      <c r="G2605" s="5">
        <f>ROUND(E2605*(1+F2605),2)</f>
        <v>16.00</v>
      </c>
      <c r="H2605" s="5">
        <f>ROUND(G2605*NOTAS!$B$2,2)</f>
        <v>11541.53</v>
      </c>
      <c r="I2605" s="6">
        <f>ROUND(G2605*NOTAS!$B$3,0)</f>
        <v>51982</v>
      </c>
      <c r="J2605" s="2" t="n">
        <v>1</v>
      </c>
    </row>
    <row r="2606">
      <c r="A2606" s="2" t="inlineStr">
        <is>
          <t>V-2332</t>
        </is>
      </c>
      <c r="B2606" s="2" t="inlineStr"/>
      <c r="C2606" s="2" t="inlineStr">
        <is>
          <t>JUEGO VALVULAS ADMISION CORSA 1.4</t>
        </is>
      </c>
      <c r="D2606" s="2" t="inlineStr">
        <is>
          <t>TRW</t>
        </is>
      </c>
      <c r="E2606" s="3" t="n">
        <v>12.3077</v>
      </c>
      <c r="F2606" s="4" t="n">
        <v>0.3</v>
      </c>
      <c r="G2606" s="5">
        <f>ROUND(E2606*(1+F2606),2)</f>
        <v>16.00</v>
      </c>
      <c r="H2606" s="5">
        <f>ROUND(G2606*NOTAS!$B$2,2)</f>
        <v>11541.53</v>
      </c>
      <c r="I2606" s="6">
        <f>ROUND(G2606*NOTAS!$B$3,0)</f>
        <v>51982</v>
      </c>
      <c r="J2606" s="2" t="n">
        <v>7</v>
      </c>
    </row>
    <row r="2607">
      <c r="A2607" s="2" t="inlineStr">
        <is>
          <t>V-2331</t>
        </is>
      </c>
      <c r="B2607" s="2" t="inlineStr"/>
      <c r="C2607" s="2" t="inlineStr">
        <is>
          <t>JUEGO VALVULAS ADMISION CORSA 1.6</t>
        </is>
      </c>
      <c r="D2607" s="2" t="inlineStr">
        <is>
          <t>TRW</t>
        </is>
      </c>
      <c r="E2607" s="3" t="n">
        <v>13.8462</v>
      </c>
      <c r="F2607" s="4" t="n">
        <v>0.3</v>
      </c>
      <c r="G2607" s="5">
        <f>ROUND(E2607*(1+F2607),2)</f>
        <v>18.00</v>
      </c>
      <c r="H2607" s="5">
        <f>ROUND(G2607*NOTAS!$B$2,2)</f>
        <v>12984.22</v>
      </c>
      <c r="I2607" s="6">
        <f>ROUND(G2607*NOTAS!$B$3,0)</f>
        <v>58480</v>
      </c>
      <c r="J2607" s="2" t="n">
        <v>13</v>
      </c>
    </row>
    <row r="2608">
      <c r="A2608" s="2" t="inlineStr">
        <is>
          <t>2146S</t>
        </is>
      </c>
      <c r="B2608" s="2" t="inlineStr"/>
      <c r="C2608" s="2" t="inlineStr">
        <is>
          <t>JUEGO VALVULAS ADMISION CORSA 1.6</t>
        </is>
      </c>
      <c r="D2608" s="2" t="inlineStr">
        <is>
          <t>GIEFFE</t>
        </is>
      </c>
      <c r="E2608" s="3" t="n">
        <v>13.8462</v>
      </c>
      <c r="F2608" s="4" t="n">
        <v>0.3</v>
      </c>
      <c r="G2608" s="5">
        <f>ROUND(E2608*(1+F2608),2)</f>
        <v>18.00</v>
      </c>
      <c r="H2608" s="5">
        <f>ROUND(G2608*NOTAS!$B$2,2)</f>
        <v>12984.22</v>
      </c>
      <c r="I2608" s="6">
        <f>ROUND(G2608*NOTAS!$B$3,0)</f>
        <v>58480</v>
      </c>
      <c r="J2608" s="2" t="n">
        <v>5</v>
      </c>
    </row>
    <row r="2609">
      <c r="A2609" s="2" t="inlineStr">
        <is>
          <t>V-5330</t>
        </is>
      </c>
      <c r="B2609" s="2" t="inlineStr"/>
      <c r="C2609" s="2" t="inlineStr">
        <is>
          <t>JUEGO VALVULAS ADMISION F-147/UNO 1.3</t>
        </is>
      </c>
      <c r="D2609" s="2" t="inlineStr">
        <is>
          <t>TRW</t>
        </is>
      </c>
      <c r="E2609" s="3" t="n">
        <v>11.5385</v>
      </c>
      <c r="F2609" s="4" t="n">
        <v>0.3</v>
      </c>
      <c r="G2609" s="5">
        <f>ROUND(E2609*(1+F2609),2)</f>
        <v>15.00</v>
      </c>
      <c r="H2609" s="5">
        <f>ROUND(G2609*NOTAS!$B$2,2)</f>
        <v>10820.18</v>
      </c>
      <c r="I2609" s="6">
        <f>ROUND(G2609*NOTAS!$B$3,0)</f>
        <v>48733</v>
      </c>
      <c r="J2609" s="2" t="n">
        <v>10</v>
      </c>
    </row>
    <row r="2610">
      <c r="A2610" s="2" t="inlineStr">
        <is>
          <t>2630S</t>
        </is>
      </c>
      <c r="B2610" s="2" t="inlineStr"/>
      <c r="C2610" s="2" t="inlineStr">
        <is>
          <t>JUEGO VALVULAS ADMISION F-147/UNO 1.3</t>
        </is>
      </c>
      <c r="D2610" s="2" t="inlineStr">
        <is>
          <t>QUEEN</t>
        </is>
      </c>
      <c r="E2610" s="3" t="n">
        <v>11.5385</v>
      </c>
      <c r="F2610" s="4" t="n">
        <v>0.3</v>
      </c>
      <c r="G2610" s="5">
        <f>ROUND(E2610*(1+F2610),2)</f>
        <v>15.00</v>
      </c>
      <c r="H2610" s="5">
        <f>ROUND(G2610*NOTAS!$B$2,2)</f>
        <v>10820.18</v>
      </c>
      <c r="I2610" s="6">
        <f>ROUND(G2610*NOTAS!$B$3,0)</f>
        <v>48733</v>
      </c>
      <c r="J2610" s="2" t="n">
        <v>2</v>
      </c>
    </row>
    <row r="2611">
      <c r="A2611" s="2" t="inlineStr">
        <is>
          <t>2630S</t>
        </is>
      </c>
      <c r="B2611" s="2" t="inlineStr"/>
      <c r="C2611" s="2" t="inlineStr">
        <is>
          <t>JUEGO VALVULAS ADMISION F-147/UNO 1.3</t>
        </is>
      </c>
      <c r="D2611" s="2" t="inlineStr">
        <is>
          <t>OSVAT</t>
        </is>
      </c>
      <c r="E2611" s="3" t="n">
        <v>11.5385</v>
      </c>
      <c r="F2611" s="4" t="n">
        <v>0.3</v>
      </c>
      <c r="G2611" s="5">
        <f>ROUND(E2611*(1+F2611),2)</f>
        <v>15.00</v>
      </c>
      <c r="H2611" s="5">
        <f>ROUND(G2611*NOTAS!$B$2,2)</f>
        <v>10820.18</v>
      </c>
      <c r="I2611" s="6">
        <f>ROUND(G2611*NOTAS!$B$3,0)</f>
        <v>48733</v>
      </c>
      <c r="J2611" s="2" t="n">
        <v>1</v>
      </c>
    </row>
    <row r="2612">
      <c r="A2612" s="2" t="inlineStr">
        <is>
          <t>01.025.AO</t>
        </is>
      </c>
      <c r="B2612" s="2" t="inlineStr"/>
      <c r="C2612" s="2" t="inlineStr">
        <is>
          <t>JUEGO VALVULAS ADMISION F-147/UNO 1.3</t>
        </is>
      </c>
      <c r="D2612" s="2" t="inlineStr">
        <is>
          <t>TECNOSTAR</t>
        </is>
      </c>
      <c r="E2612" s="3" t="n">
        <v>11.5385</v>
      </c>
      <c r="F2612" s="4" t="n">
        <v>0.3</v>
      </c>
      <c r="G2612" s="5">
        <f>ROUND(E2612*(1+F2612),2)</f>
        <v>15.00</v>
      </c>
      <c r="H2612" s="5">
        <f>ROUND(G2612*NOTAS!$B$2,2)</f>
        <v>10820.18</v>
      </c>
      <c r="I2612" s="6">
        <f>ROUND(G2612*NOTAS!$B$3,0)</f>
        <v>48733</v>
      </c>
      <c r="J2612" s="2" t="n">
        <v>2</v>
      </c>
    </row>
    <row r="2613">
      <c r="A2613" s="2" t="inlineStr">
        <is>
          <t>0264S</t>
        </is>
      </c>
      <c r="B2613" s="2" t="inlineStr"/>
      <c r="C2613" s="2" t="inlineStr">
        <is>
          <t>JUEGO VALVULAS ADMISION F-147/UNO 1.3</t>
        </is>
      </c>
      <c r="D2613" s="2" t="inlineStr">
        <is>
          <t>GIEFFE</t>
        </is>
      </c>
      <c r="E2613" s="3" t="n">
        <v>11.5385</v>
      </c>
      <c r="F2613" s="4" t="n">
        <v>0.3</v>
      </c>
      <c r="G2613" s="5">
        <f>ROUND(E2613*(1+F2613),2)</f>
        <v>15.00</v>
      </c>
      <c r="H2613" s="5">
        <f>ROUND(G2613*NOTAS!$B$2,2)</f>
        <v>10820.18</v>
      </c>
      <c r="I2613" s="6">
        <f>ROUND(G2613*NOTAS!$B$3,0)</f>
        <v>48733</v>
      </c>
      <c r="J2613" s="2" t="n">
        <v>5</v>
      </c>
    </row>
    <row r="2614">
      <c r="A2614" s="2" t="inlineStr">
        <is>
          <t>MB301-12-111</t>
        </is>
      </c>
      <c r="B2614" s="2" t="inlineStr"/>
      <c r="C2614" s="2" t="inlineStr">
        <is>
          <t>JUEGO VALVULAS ADMISION FESTIVA</t>
        </is>
      </c>
      <c r="D2614" s="2" t="inlineStr">
        <is>
          <t>SHIN HAN</t>
        </is>
      </c>
      <c r="E2614" s="3" t="n">
        <v>12.3077</v>
      </c>
      <c r="F2614" s="4" t="n">
        <v>0.3</v>
      </c>
      <c r="G2614" s="5">
        <f>ROUND(E2614*(1+F2614),2)</f>
        <v>16.00</v>
      </c>
      <c r="H2614" s="5">
        <f>ROUND(G2614*NOTAS!$B$2,2)</f>
        <v>11541.53</v>
      </c>
      <c r="I2614" s="6">
        <f>ROUND(G2614*NOTAS!$B$3,0)</f>
        <v>51982</v>
      </c>
      <c r="J2614" s="2" t="n">
        <v>1</v>
      </c>
    </row>
    <row r="2615">
      <c r="A2615" s="2" t="inlineStr">
        <is>
          <t>V-9867</t>
        </is>
      </c>
      <c r="B2615" s="2" t="inlineStr"/>
      <c r="C2615" s="2" t="inlineStr">
        <is>
          <t>JUEGO VALVULAS ADMISION FIESTA/KA</t>
        </is>
      </c>
      <c r="D2615" s="2" t="inlineStr">
        <is>
          <t>TRW</t>
        </is>
      </c>
      <c r="E2615" s="3" t="n">
        <v>13.8462</v>
      </c>
      <c r="F2615" s="4" t="n">
        <v>0.3</v>
      </c>
      <c r="G2615" s="5">
        <f>ROUND(E2615*(1+F2615),2)</f>
        <v>18.00</v>
      </c>
      <c r="H2615" s="5">
        <f>ROUND(G2615*NOTAS!$B$2,2)</f>
        <v>12984.22</v>
      </c>
      <c r="I2615" s="6">
        <f>ROUND(G2615*NOTAS!$B$3,0)</f>
        <v>58480</v>
      </c>
      <c r="J2615" s="2" t="n">
        <v>2</v>
      </c>
    </row>
    <row r="2616">
      <c r="A2616" s="2" t="inlineStr">
        <is>
          <t>2921S</t>
        </is>
      </c>
      <c r="B2616" s="2" t="inlineStr"/>
      <c r="C2616" s="2" t="inlineStr">
        <is>
          <t>JUEGO VALVULAS ADMISION F-PAL/SIE 1.3 16V FIRE</t>
        </is>
      </c>
      <c r="D2616" s="2" t="inlineStr">
        <is>
          <t>GIEFFE</t>
        </is>
      </c>
      <c r="E2616" s="3" t="n">
        <v>13.8462</v>
      </c>
      <c r="F2616" s="4" t="n">
        <v>0.3</v>
      </c>
      <c r="G2616" s="5">
        <f>ROUND(E2616*(1+F2616),2)</f>
        <v>18.00</v>
      </c>
      <c r="H2616" s="5">
        <f>ROUND(G2616*NOTAS!$B$2,2)</f>
        <v>12984.22</v>
      </c>
      <c r="I2616" s="6">
        <f>ROUND(G2616*NOTAS!$B$3,0)</f>
        <v>58480</v>
      </c>
      <c r="J2616" s="2" t="n">
        <v>3</v>
      </c>
    </row>
    <row r="2617">
      <c r="A2617" s="2" t="inlineStr">
        <is>
          <t>V-4606</t>
        </is>
      </c>
      <c r="B2617" s="2" t="inlineStr"/>
      <c r="C2617" s="2" t="inlineStr">
        <is>
          <t>JUEGO VALVULAS ADMISION F-PAL/SIE 1.3 16V FIRE</t>
        </is>
      </c>
      <c r="D2617" s="2" t="inlineStr">
        <is>
          <t>TRW</t>
        </is>
      </c>
      <c r="E2617" s="3" t="n">
        <v>13.8462</v>
      </c>
      <c r="F2617" s="4" t="n">
        <v>0.3</v>
      </c>
      <c r="G2617" s="5">
        <f>ROUND(E2617*(1+F2617),2)</f>
        <v>18.00</v>
      </c>
      <c r="H2617" s="5">
        <f>ROUND(G2617*NOTAS!$B$2,2)</f>
        <v>12984.22</v>
      </c>
      <c r="I2617" s="6">
        <f>ROUND(G2617*NOTAS!$B$3,0)</f>
        <v>58480</v>
      </c>
      <c r="J2617" s="2" t="n">
        <v>5</v>
      </c>
    </row>
    <row r="2618">
      <c r="A2618" s="2" t="inlineStr">
        <is>
          <t>V-7757</t>
        </is>
      </c>
      <c r="B2618" s="2" t="inlineStr"/>
      <c r="C2618" s="2" t="inlineStr">
        <is>
          <t>JUEGO VALVULAS ADMISION F-PAL/SIE 1.3 16V FIRE CUNA CORTA</t>
        </is>
      </c>
      <c r="D2618" s="2" t="inlineStr">
        <is>
          <t>TRW</t>
        </is>
      </c>
      <c r="E2618" s="3" t="n">
        <v>13.8462</v>
      </c>
      <c r="F2618" s="4" t="n">
        <v>0.3</v>
      </c>
      <c r="G2618" s="5">
        <f>ROUND(E2618*(1+F2618),2)</f>
        <v>18.00</v>
      </c>
      <c r="H2618" s="5">
        <f>ROUND(G2618*NOTAS!$B$2,2)</f>
        <v>12984.22</v>
      </c>
      <c r="I2618" s="6">
        <f>ROUND(G2618*NOTAS!$B$3,0)</f>
        <v>58480</v>
      </c>
      <c r="J2618" s="2" t="n">
        <v>3</v>
      </c>
    </row>
    <row r="2619">
      <c r="A2619" s="2" t="inlineStr">
        <is>
          <t>V-7743</t>
        </is>
      </c>
      <c r="B2619" s="2" t="inlineStr"/>
      <c r="C2619" s="2" t="inlineStr">
        <is>
          <t>JUEGO VALVULAS ADMISION F-PAL/SIE 1.4 8V</t>
        </is>
      </c>
      <c r="D2619" s="2" t="inlineStr">
        <is>
          <t>TRW</t>
        </is>
      </c>
      <c r="E2619" s="3" t="n">
        <v>13.0769</v>
      </c>
      <c r="F2619" s="4" t="n">
        <v>0.3</v>
      </c>
      <c r="G2619" s="5">
        <f>ROUND(E2619*(1+F2619),2)</f>
        <v>17.00</v>
      </c>
      <c r="H2619" s="5">
        <f>ROUND(G2619*NOTAS!$B$2,2)</f>
        <v>12262.88</v>
      </c>
      <c r="I2619" s="6">
        <f>ROUND(G2619*NOTAS!$B$3,0)</f>
        <v>55231</v>
      </c>
      <c r="J2619" s="2" t="n">
        <v>2</v>
      </c>
    </row>
    <row r="2620">
      <c r="A2620" s="2" t="inlineStr">
        <is>
          <t>2912S</t>
        </is>
      </c>
      <c r="B2620" s="2" t="inlineStr"/>
      <c r="C2620" s="2" t="inlineStr">
        <is>
          <t>JUEGO VALVULAS ADMISION F-PAL/SIE 1.6 16V</t>
        </is>
      </c>
      <c r="D2620" s="2" t="inlineStr">
        <is>
          <t>GIEFFE</t>
        </is>
      </c>
      <c r="E2620" s="3" t="n">
        <v>15.3846</v>
      </c>
      <c r="F2620" s="4" t="n">
        <v>0.3</v>
      </c>
      <c r="G2620" s="5">
        <f>ROUND(E2620*(1+F2620),2)</f>
        <v>20.00</v>
      </c>
      <c r="H2620" s="5">
        <f>ROUND(G2620*NOTAS!$B$2,2)</f>
        <v>14426.91</v>
      </c>
      <c r="I2620" s="6">
        <f>ROUND(G2620*NOTAS!$B$3,0)</f>
        <v>64977</v>
      </c>
      <c r="J2620" s="2" t="n">
        <v>2</v>
      </c>
    </row>
    <row r="2621">
      <c r="A2621" s="2" t="inlineStr">
        <is>
          <t>0247S</t>
        </is>
      </c>
      <c r="B2621" s="2" t="inlineStr"/>
      <c r="C2621" s="2" t="inlineStr">
        <is>
          <t>JUEGO VALVULAS ADMISION F-PREMIO</t>
        </is>
      </c>
      <c r="D2621" s="2" t="inlineStr">
        <is>
          <t>GIEFFE</t>
        </is>
      </c>
      <c r="E2621" s="3" t="n">
        <v>11.5385</v>
      </c>
      <c r="F2621" s="4" t="n">
        <v>0.3</v>
      </c>
      <c r="G2621" s="5">
        <f>ROUND(E2621*(1+F2621),2)</f>
        <v>15.00</v>
      </c>
      <c r="H2621" s="5">
        <f>ROUND(G2621*NOTAS!$B$2,2)</f>
        <v>10820.18</v>
      </c>
      <c r="I2621" s="6">
        <f>ROUND(G2621*NOTAS!$B$3,0)</f>
        <v>48733</v>
      </c>
      <c r="J2621" s="2" t="n">
        <v>4</v>
      </c>
    </row>
    <row r="2622">
      <c r="A2622" s="2" t="inlineStr">
        <is>
          <t>0255S</t>
        </is>
      </c>
      <c r="B2622" s="2" t="inlineStr"/>
      <c r="C2622" s="2" t="inlineStr">
        <is>
          <t>JUEGO VALVULAS ADMISION F-REGATA/RITMO</t>
        </is>
      </c>
      <c r="D2622" s="2" t="inlineStr">
        <is>
          <t>GIEFFE</t>
        </is>
      </c>
      <c r="E2622" s="3" t="n">
        <v>12.3077</v>
      </c>
      <c r="F2622" s="4" t="n">
        <v>0.3</v>
      </c>
      <c r="G2622" s="5">
        <f>ROUND(E2622*(1+F2622),2)</f>
        <v>16.00</v>
      </c>
      <c r="H2622" s="5">
        <f>ROUND(G2622*NOTAS!$B$2,2)</f>
        <v>11541.53</v>
      </c>
      <c r="I2622" s="6">
        <f>ROUND(G2622*NOTAS!$B$3,0)</f>
        <v>51982</v>
      </c>
      <c r="J2622" s="2" t="n">
        <v>2</v>
      </c>
    </row>
    <row r="2623">
      <c r="A2623" s="2" t="inlineStr">
        <is>
          <t>9320S</t>
        </is>
      </c>
      <c r="B2623" s="2" t="inlineStr"/>
      <c r="C2623" s="2" t="inlineStr">
        <is>
          <t>JUEGO VALVULAS ADMISION F-UNO/PREMIO/TEMPRA 1.6</t>
        </is>
      </c>
      <c r="D2623" s="2" t="inlineStr">
        <is>
          <t>GIEFFE</t>
        </is>
      </c>
      <c r="E2623" s="3" t="n">
        <v>13.0769</v>
      </c>
      <c r="F2623" s="4" t="n">
        <v>0.3</v>
      </c>
      <c r="G2623" s="5">
        <f>ROUND(E2623*(1+F2623),2)</f>
        <v>17.00</v>
      </c>
      <c r="H2623" s="5">
        <f>ROUND(G2623*NOTAS!$B$2,2)</f>
        <v>12262.88</v>
      </c>
      <c r="I2623" s="6">
        <f>ROUND(G2623*NOTAS!$B$3,0)</f>
        <v>55231</v>
      </c>
      <c r="J2623" s="2" t="n">
        <v>1</v>
      </c>
    </row>
    <row r="2624">
      <c r="A2624" s="2" t="inlineStr">
        <is>
          <t>22211-22003</t>
        </is>
      </c>
      <c r="B2624" s="2" t="inlineStr"/>
      <c r="C2624" s="2" t="inlineStr">
        <is>
          <t>JUEGO VALVULAS ADMISION HYUNDAI ACCENT</t>
        </is>
      </c>
      <c r="D2624" s="2" t="inlineStr">
        <is>
          <t>SHIN HAN</t>
        </is>
      </c>
      <c r="E2624" s="3" t="n">
        <v>13.0769</v>
      </c>
      <c r="F2624" s="4" t="n">
        <v>0.3</v>
      </c>
      <c r="G2624" s="5">
        <f>ROUND(E2624*(1+F2624),2)</f>
        <v>17.00</v>
      </c>
      <c r="H2624" s="5">
        <f>ROUND(G2624*NOTAS!$B$2,2)</f>
        <v>12262.88</v>
      </c>
      <c r="I2624" s="6">
        <f>ROUND(G2624*NOTAS!$B$3,0)</f>
        <v>55231</v>
      </c>
      <c r="J2624" s="2" t="n">
        <v>2</v>
      </c>
    </row>
    <row r="2625">
      <c r="A2625" s="2" t="inlineStr">
        <is>
          <t>96182934</t>
        </is>
      </c>
      <c r="B2625" s="2" t="inlineStr"/>
      <c r="C2625" s="2" t="inlineStr">
        <is>
          <t>JUEGO VALVULAS ADMISION LANOS</t>
        </is>
      </c>
      <c r="D2625" s="2" t="inlineStr">
        <is>
          <t>SHIN HAN</t>
        </is>
      </c>
      <c r="E2625" s="3" t="n">
        <v>13.8462</v>
      </c>
      <c r="F2625" s="4" t="n">
        <v>0.3</v>
      </c>
      <c r="G2625" s="5">
        <f>ROUND(E2625*(1+F2625),2)</f>
        <v>18.00</v>
      </c>
      <c r="H2625" s="5">
        <f>ROUND(G2625*NOTAS!$B$2,2)</f>
        <v>12984.22</v>
      </c>
      <c r="I2625" s="6">
        <f>ROUND(G2625*NOTAS!$B$3,0)</f>
        <v>58480</v>
      </c>
      <c r="J2625" s="2" t="n">
        <v>3</v>
      </c>
    </row>
    <row r="2626">
      <c r="A2626" s="2" t="inlineStr">
        <is>
          <t>96182934</t>
        </is>
      </c>
      <c r="B2626" s="2" t="inlineStr"/>
      <c r="C2626" s="2" t="inlineStr">
        <is>
          <t>JUEGO VALVULAS ADMISION LANOS</t>
        </is>
      </c>
      <c r="D2626" s="2" t="inlineStr">
        <is>
          <t>ANJUM</t>
        </is>
      </c>
      <c r="E2626" s="3" t="n">
        <v>13.8462</v>
      </c>
      <c r="F2626" s="4" t="n">
        <v>0.3</v>
      </c>
      <c r="G2626" s="5">
        <f>ROUND(E2626*(1+F2626),2)</f>
        <v>18.00</v>
      </c>
      <c r="H2626" s="5">
        <f>ROUND(G2626*NOTAS!$B$2,2)</f>
        <v>12984.22</v>
      </c>
      <c r="I2626" s="6">
        <f>ROUND(G2626*NOTAS!$B$3,0)</f>
        <v>58480</v>
      </c>
      <c r="J2626" s="2" t="n">
        <v>5</v>
      </c>
    </row>
    <row r="2627">
      <c r="A2627" s="2" t="inlineStr">
        <is>
          <t>V-7945</t>
        </is>
      </c>
      <c r="B2627" s="2" t="inlineStr"/>
      <c r="C2627" s="2" t="inlineStr">
        <is>
          <t>JUEGO VALVULAS ADMISION LANOS</t>
        </is>
      </c>
      <c r="D2627" s="2" t="inlineStr">
        <is>
          <t>TRW</t>
        </is>
      </c>
      <c r="E2627" s="3" t="n">
        <v>13.8462</v>
      </c>
      <c r="F2627" s="4" t="n">
        <v>0.3</v>
      </c>
      <c r="G2627" s="5">
        <f>ROUND(E2627*(1+F2627),2)</f>
        <v>18.00</v>
      </c>
      <c r="H2627" s="5">
        <f>ROUND(G2627*NOTAS!$B$2,2)</f>
        <v>12984.22</v>
      </c>
      <c r="I2627" s="6">
        <f>ROUND(G2627*NOTAS!$B$3,0)</f>
        <v>58480</v>
      </c>
      <c r="J2627" s="2" t="n">
        <v>8</v>
      </c>
    </row>
    <row r="2628">
      <c r="A2628" s="2" t="inlineStr">
        <is>
          <t>V7807</t>
        </is>
      </c>
      <c r="B2628" s="2" t="inlineStr"/>
      <c r="C2628" s="2" t="inlineStr">
        <is>
          <t>JUEGO VALVULAS ADMISION OPTRA DESING</t>
        </is>
      </c>
      <c r="D2628" s="2" t="inlineStr">
        <is>
          <t>TRW</t>
        </is>
      </c>
      <c r="E2628" s="3" t="n">
        <v>15.3846</v>
      </c>
      <c r="F2628" s="4" t="n">
        <v>0.3</v>
      </c>
      <c r="G2628" s="5">
        <f>ROUND(E2628*(1+F2628),2)</f>
        <v>20.00</v>
      </c>
      <c r="H2628" s="5">
        <f>ROUND(G2628*NOTAS!$B$2,2)</f>
        <v>14426.91</v>
      </c>
      <c r="I2628" s="6">
        <f>ROUND(G2628*NOTAS!$B$3,0)</f>
        <v>64977</v>
      </c>
      <c r="J2628" s="2" t="n">
        <v>2</v>
      </c>
    </row>
    <row r="2629">
      <c r="A2629" s="2" t="inlineStr">
        <is>
          <t>V7883</t>
        </is>
      </c>
      <c r="B2629" s="2" t="inlineStr"/>
      <c r="C2629" s="2" t="inlineStr">
        <is>
          <t>JUEGO VALVULAS ADMISION OPTRA LIM/NUB</t>
        </is>
      </c>
      <c r="D2629" s="2" t="inlineStr">
        <is>
          <t>TRW</t>
        </is>
      </c>
      <c r="E2629" s="3" t="n">
        <v>15.3846</v>
      </c>
      <c r="F2629" s="4" t="n">
        <v>0.3</v>
      </c>
      <c r="G2629" s="5">
        <f>ROUND(E2629*(1+F2629),2)</f>
        <v>20.00</v>
      </c>
      <c r="H2629" s="5">
        <f>ROUND(G2629*NOTAS!$B$2,2)</f>
        <v>14426.91</v>
      </c>
      <c r="I2629" s="6">
        <f>ROUND(G2629*NOTAS!$B$3,0)</f>
        <v>64977</v>
      </c>
      <c r="J2629" s="2" t="n">
        <v>2</v>
      </c>
    </row>
    <row r="2630">
      <c r="A2630" s="2" t="inlineStr">
        <is>
          <t>0655S</t>
        </is>
      </c>
      <c r="B2630" s="2" t="inlineStr"/>
      <c r="C2630" s="2" t="inlineStr">
        <is>
          <t>JUEGO VALVULAS ADMISION R-11</t>
        </is>
      </c>
      <c r="D2630" s="2" t="inlineStr">
        <is>
          <t>GIEFFE</t>
        </is>
      </c>
      <c r="E2630" s="3" t="n">
        <v>11.5385</v>
      </c>
      <c r="F2630" s="4" t="n">
        <v>0.3</v>
      </c>
      <c r="G2630" s="5">
        <f>ROUND(E2630*(1+F2630),2)</f>
        <v>15.00</v>
      </c>
      <c r="H2630" s="5">
        <f>ROUND(G2630*NOTAS!$B$2,2)</f>
        <v>10820.18</v>
      </c>
      <c r="I2630" s="6">
        <f>ROUND(G2630*NOTAS!$B$3,0)</f>
        <v>48733</v>
      </c>
      <c r="J2630" s="2" t="n">
        <v>3</v>
      </c>
    </row>
    <row r="2631">
      <c r="A2631" s="2" t="inlineStr">
        <is>
          <t>78049</t>
        </is>
      </c>
      <c r="B2631" s="2" t="inlineStr"/>
      <c r="C2631" s="2" t="inlineStr">
        <is>
          <t>JUEGO VALVULAS ADMISION R-18 1.6</t>
        </is>
      </c>
      <c r="D2631" s="2" t="inlineStr">
        <is>
          <t>TECNOSTAR</t>
        </is>
      </c>
      <c r="E2631" s="3" t="n">
        <v>13.0769</v>
      </c>
      <c r="F2631" s="4" t="n">
        <v>0.3</v>
      </c>
      <c r="G2631" s="5">
        <f>ROUND(E2631*(1+F2631),2)</f>
        <v>17.00</v>
      </c>
      <c r="H2631" s="5">
        <f>ROUND(G2631*NOTAS!$B$2,2)</f>
        <v>12262.88</v>
      </c>
      <c r="I2631" s="6">
        <f>ROUND(G2631*NOTAS!$B$3,0)</f>
        <v>55231</v>
      </c>
      <c r="J2631" s="2" t="n">
        <v>2</v>
      </c>
    </row>
    <row r="2632">
      <c r="A2632" s="2" t="inlineStr">
        <is>
          <t>518241</t>
        </is>
      </c>
      <c r="B2632" s="2" t="inlineStr"/>
      <c r="C2632" s="2" t="inlineStr">
        <is>
          <t>JUEGO VALVULAS ADMISION R-18/FUEGO/21</t>
        </is>
      </c>
      <c r="D2632" s="2" t="inlineStr">
        <is>
          <t>TRW</t>
        </is>
      </c>
      <c r="E2632" s="3" t="n">
        <v>13.8462</v>
      </c>
      <c r="F2632" s="4" t="n">
        <v>0.3</v>
      </c>
      <c r="G2632" s="5">
        <f>ROUND(E2632*(1+F2632),2)</f>
        <v>18.00</v>
      </c>
      <c r="H2632" s="5">
        <f>ROUND(G2632*NOTAS!$B$2,2)</f>
        <v>12984.22</v>
      </c>
      <c r="I2632" s="6">
        <f>ROUND(G2632*NOTAS!$B$3,0)</f>
        <v>58480</v>
      </c>
      <c r="J2632" s="2" t="n">
        <v>0</v>
      </c>
    </row>
    <row r="2633">
      <c r="A2633" s="2" t="inlineStr">
        <is>
          <t>0640S</t>
        </is>
      </c>
      <c r="B2633" s="2" t="inlineStr"/>
      <c r="C2633" s="2" t="inlineStr">
        <is>
          <t>JUEGO VALVULAS ADMISION R-19 1.4/SYMBOL 8V</t>
        </is>
      </c>
      <c r="D2633" s="2" t="inlineStr">
        <is>
          <t>GIEFFE</t>
        </is>
      </c>
      <c r="E2633" s="3" t="n">
        <v>13.0769</v>
      </c>
      <c r="F2633" s="4" t="n">
        <v>0.3</v>
      </c>
      <c r="G2633" s="5">
        <f>ROUND(E2633*(1+F2633),2)</f>
        <v>17.00</v>
      </c>
      <c r="H2633" s="5">
        <f>ROUND(G2633*NOTAS!$B$2,2)</f>
        <v>12262.88</v>
      </c>
      <c r="I2633" s="6">
        <f>ROUND(G2633*NOTAS!$B$3,0)</f>
        <v>55231</v>
      </c>
      <c r="J2633" s="2" t="n">
        <v>12</v>
      </c>
    </row>
    <row r="2634">
      <c r="A2634" s="2" t="inlineStr">
        <is>
          <t>0652S</t>
        </is>
      </c>
      <c r="B2634" s="2" t="inlineStr"/>
      <c r="C2634" s="2" t="inlineStr">
        <is>
          <t>JUEGO VALVULAS ADMISION R-19 1.7/1.8</t>
        </is>
      </c>
      <c r="D2634" s="2" t="inlineStr">
        <is>
          <t>GIEFFE</t>
        </is>
      </c>
      <c r="E2634" s="3" t="n">
        <v>13.8462</v>
      </c>
      <c r="F2634" s="4" t="n">
        <v>0.3</v>
      </c>
      <c r="G2634" s="5">
        <f>ROUND(E2634*(1+F2634),2)</f>
        <v>18.00</v>
      </c>
      <c r="H2634" s="5">
        <f>ROUND(G2634*NOTAS!$B$2,2)</f>
        <v>12984.22</v>
      </c>
      <c r="I2634" s="6">
        <f>ROUND(G2634*NOTAS!$B$3,0)</f>
        <v>58480</v>
      </c>
      <c r="J2634" s="2" t="n">
        <v>2</v>
      </c>
    </row>
    <row r="2635">
      <c r="A2635" s="2" t="inlineStr">
        <is>
          <t>0648S</t>
        </is>
      </c>
      <c r="B2635" s="2" t="inlineStr"/>
      <c r="C2635" s="2" t="inlineStr">
        <is>
          <t>JUEGO VALVULAS ADMISION R-5/12</t>
        </is>
      </c>
      <c r="D2635" s="2" t="inlineStr">
        <is>
          <t>GIEFFE</t>
        </is>
      </c>
      <c r="E2635" s="3" t="n">
        <v>11.5385</v>
      </c>
      <c r="F2635" s="4" t="n">
        <v>0.3</v>
      </c>
      <c r="G2635" s="5">
        <f>ROUND(E2635*(1+F2635),2)</f>
        <v>15.00</v>
      </c>
      <c r="H2635" s="5">
        <f>ROUND(G2635*NOTAS!$B$2,2)</f>
        <v>10820.18</v>
      </c>
      <c r="I2635" s="6">
        <f>ROUND(G2635*NOTAS!$B$3,0)</f>
        <v>48733</v>
      </c>
      <c r="J2635" s="2" t="n">
        <v>2</v>
      </c>
    </row>
    <row r="2636">
      <c r="A2636" s="2" t="inlineStr">
        <is>
          <t>V-7747</t>
        </is>
      </c>
      <c r="B2636" s="2" t="inlineStr"/>
      <c r="C2636" s="2" t="inlineStr">
        <is>
          <t>JUEGO VALVULAS ADMISION R-CLIO II</t>
        </is>
      </c>
      <c r="D2636" s="2" t="inlineStr">
        <is>
          <t>TRW</t>
        </is>
      </c>
      <c r="E2636" s="3" t="n">
        <v>13.8462</v>
      </c>
      <c r="F2636" s="4" t="n">
        <v>0.3</v>
      </c>
      <c r="G2636" s="5">
        <f>ROUND(E2636*(1+F2636),2)</f>
        <v>18.00</v>
      </c>
      <c r="H2636" s="5">
        <f>ROUND(G2636*NOTAS!$B$2,2)</f>
        <v>12984.22</v>
      </c>
      <c r="I2636" s="6">
        <f>ROUND(G2636*NOTAS!$B$3,0)</f>
        <v>58480</v>
      </c>
      <c r="J2636" s="2" t="n">
        <v>4</v>
      </c>
    </row>
    <row r="2637">
      <c r="A2637" s="2" t="inlineStr">
        <is>
          <t>V7907</t>
        </is>
      </c>
      <c r="B2637" s="2" t="inlineStr"/>
      <c r="C2637" s="2" t="inlineStr">
        <is>
          <t>JUEGO VALVULAS ADMISION R-MEGANE/SCENIC</t>
        </is>
      </c>
      <c r="D2637" s="2" t="inlineStr">
        <is>
          <t>TRW</t>
        </is>
      </c>
      <c r="E2637" s="3" t="n">
        <v>15.3846</v>
      </c>
      <c r="F2637" s="4" t="n">
        <v>0.3</v>
      </c>
      <c r="G2637" s="5">
        <f>ROUND(E2637*(1+F2637),2)</f>
        <v>20.00</v>
      </c>
      <c r="H2637" s="5">
        <f>ROUND(G2637*NOTAS!$B$2,2)</f>
        <v>14426.91</v>
      </c>
      <c r="I2637" s="6">
        <f>ROUND(G2637*NOTAS!$B$3,0)</f>
        <v>64977</v>
      </c>
      <c r="J2637" s="2" t="n">
        <v>2</v>
      </c>
    </row>
    <row r="2638">
      <c r="A2638" s="2" t="inlineStr">
        <is>
          <t>V-9839</t>
        </is>
      </c>
      <c r="B2638" s="2" t="inlineStr"/>
      <c r="C2638" s="2" t="inlineStr">
        <is>
          <t>JUEGO VALVULAS ADMISION R-SYMBOL/MEGANE 16V</t>
        </is>
      </c>
      <c r="D2638" s="2" t="inlineStr">
        <is>
          <t>TRW</t>
        </is>
      </c>
      <c r="E2638" s="3" t="n">
        <v>15.3846</v>
      </c>
      <c r="F2638" s="4" t="n">
        <v>0.3</v>
      </c>
      <c r="G2638" s="5">
        <f>ROUND(E2638*(1+F2638),2)</f>
        <v>20.00</v>
      </c>
      <c r="H2638" s="5">
        <f>ROUND(G2638*NOTAS!$B$2,2)</f>
        <v>14426.91</v>
      </c>
      <c r="I2638" s="6">
        <f>ROUND(G2638*NOTAS!$B$3,0)</f>
        <v>64977</v>
      </c>
      <c r="J2638" s="2" t="n">
        <v>1</v>
      </c>
    </row>
    <row r="2639">
      <c r="A2639" s="2" t="inlineStr">
        <is>
          <t>V-7909</t>
        </is>
      </c>
      <c r="B2639" s="2" t="inlineStr"/>
      <c r="C2639" s="2" t="inlineStr">
        <is>
          <t>JUEGO VALVULAS ADMISION R-TWINGO 8V</t>
        </is>
      </c>
      <c r="D2639" s="2" t="inlineStr">
        <is>
          <t>TRW</t>
        </is>
      </c>
      <c r="E2639" s="3" t="n">
        <v>13.0769</v>
      </c>
      <c r="F2639" s="4" t="n">
        <v>0.3</v>
      </c>
      <c r="G2639" s="5">
        <f>ROUND(E2639*(1+F2639),2)</f>
        <v>17.00</v>
      </c>
      <c r="H2639" s="5">
        <f>ROUND(G2639*NOTAS!$B$2,2)</f>
        <v>12262.88</v>
      </c>
      <c r="I2639" s="6">
        <f>ROUND(G2639*NOTAS!$B$3,0)</f>
        <v>55231</v>
      </c>
      <c r="J2639" s="2" t="n">
        <v>4</v>
      </c>
    </row>
    <row r="2640">
      <c r="A2640" s="2" t="inlineStr">
        <is>
          <t>94580146</t>
        </is>
      </c>
      <c r="B2640" s="2" t="inlineStr"/>
      <c r="C2640" s="2" t="inlineStr">
        <is>
          <t>JUEGO VALVULAS ADMISION SPARK</t>
        </is>
      </c>
      <c r="D2640" s="2" t="inlineStr">
        <is>
          <t>GM</t>
        </is>
      </c>
      <c r="E2640" s="3" t="n">
        <v>1.25</v>
      </c>
      <c r="F2640" s="4" t="n">
        <v>0.3</v>
      </c>
      <c r="G2640" s="5">
        <f>ROUND(E2640*(1+F2640),2)</f>
        <v>1.63</v>
      </c>
      <c r="H2640" s="5">
        <f>ROUND(G2640*NOTAS!$B$2,2)</f>
        <v>1175.79</v>
      </c>
      <c r="I2640" s="6">
        <f>ROUND(G2640*NOTAS!$B$3,0)</f>
        <v>5296</v>
      </c>
      <c r="J2640" s="2" t="n">
        <v>2</v>
      </c>
    </row>
    <row r="2641">
      <c r="A2641" s="2" t="inlineStr">
        <is>
          <t>S-7906</t>
        </is>
      </c>
      <c r="B2641" s="2" t="inlineStr"/>
      <c r="C2641" s="2" t="inlineStr">
        <is>
          <t>JUEGO VALVULAS ESCAPE</t>
        </is>
      </c>
      <c r="D2641" s="2" t="inlineStr">
        <is>
          <t>TRW</t>
        </is>
      </c>
      <c r="E2641" s="3" t="n">
        <v>13.0769</v>
      </c>
      <c r="F2641" s="4" t="n">
        <v>0.3</v>
      </c>
      <c r="G2641" s="5">
        <f>ROUND(E2641*(1+F2641),2)</f>
        <v>17.00</v>
      </c>
      <c r="H2641" s="5">
        <f>ROUND(G2641*NOTAS!$B$2,2)</f>
        <v>12262.88</v>
      </c>
      <c r="I2641" s="6">
        <f>ROUND(G2641*NOTAS!$B$3,0)</f>
        <v>55231</v>
      </c>
      <c r="J2641" s="2" t="n">
        <v>3</v>
      </c>
    </row>
    <row r="2642">
      <c r="A2642" s="2" t="inlineStr">
        <is>
          <t>96335948</t>
        </is>
      </c>
      <c r="B2642" s="2" t="inlineStr"/>
      <c r="C2642" s="2" t="inlineStr">
        <is>
          <t>JUEGO VALVULAS ESCAPE AVEO 1.5 3RANURAS</t>
        </is>
      </c>
      <c r="D2642" s="2" t="inlineStr">
        <is>
          <t>GM</t>
        </is>
      </c>
      <c r="E2642" s="3" t="n">
        <v>15.3846</v>
      </c>
      <c r="F2642" s="4" t="n">
        <v>0.3</v>
      </c>
      <c r="G2642" s="5">
        <f>ROUND(E2642*(1+F2642),2)</f>
        <v>20.00</v>
      </c>
      <c r="H2642" s="5">
        <f>ROUND(G2642*NOTAS!$B$2,2)</f>
        <v>14426.91</v>
      </c>
      <c r="I2642" s="6">
        <f>ROUND(G2642*NOTAS!$B$3,0)</f>
        <v>64977</v>
      </c>
      <c r="J2642" s="2" t="n">
        <v>2</v>
      </c>
    </row>
    <row r="2643">
      <c r="A2643" s="2" t="inlineStr">
        <is>
          <t>S-7800</t>
        </is>
      </c>
      <c r="B2643" s="2" t="inlineStr"/>
      <c r="C2643" s="2" t="inlineStr">
        <is>
          <t>JUEGO VALVULAS ESCAPE AVEO 1.5 3RANURAS</t>
        </is>
      </c>
      <c r="D2643" s="2" t="inlineStr">
        <is>
          <t>TRW</t>
        </is>
      </c>
      <c r="E2643" s="3" t="n">
        <v>15.3846</v>
      </c>
      <c r="F2643" s="4" t="n">
        <v>0.3</v>
      </c>
      <c r="G2643" s="5">
        <f>ROUND(E2643*(1+F2643),2)</f>
        <v>20.00</v>
      </c>
      <c r="H2643" s="5">
        <f>ROUND(G2643*NOTAS!$B$2,2)</f>
        <v>14426.91</v>
      </c>
      <c r="I2643" s="6">
        <f>ROUND(G2643*NOTAS!$B$3,0)</f>
        <v>64977</v>
      </c>
      <c r="J2643" s="2" t="n">
        <v>4</v>
      </c>
    </row>
    <row r="2644">
      <c r="A2644" s="2" t="inlineStr">
        <is>
          <t>15455K</t>
        </is>
      </c>
      <c r="B2644" s="2" t="inlineStr"/>
      <c r="C2644" s="2" t="inlineStr">
        <is>
          <t>JUEGO VALVULAS ESCAPE AVEO 1.6</t>
        </is>
      </c>
      <c r="D2644" s="2" t="inlineStr">
        <is>
          <t>GIEFFE</t>
        </is>
      </c>
      <c r="E2644" s="3" t="n">
        <v>15.3846</v>
      </c>
      <c r="F2644" s="4" t="n">
        <v>0.3</v>
      </c>
      <c r="G2644" s="5">
        <f>ROUND(E2644*(1+F2644),2)</f>
        <v>20.00</v>
      </c>
      <c r="H2644" s="5">
        <f>ROUND(G2644*NOTAS!$B$2,2)</f>
        <v>14426.91</v>
      </c>
      <c r="I2644" s="6">
        <f>ROUND(G2644*NOTAS!$B$3,0)</f>
        <v>64977</v>
      </c>
      <c r="J2644" s="2" t="n">
        <v>3</v>
      </c>
    </row>
    <row r="2645">
      <c r="A2645" s="2" t="inlineStr">
        <is>
          <t>S-7870</t>
        </is>
      </c>
      <c r="B2645" s="2" t="inlineStr"/>
      <c r="C2645" s="2" t="inlineStr">
        <is>
          <t>JUEGO VALVULAS ESCAPE AVEO 1.6</t>
        </is>
      </c>
      <c r="D2645" s="2" t="inlineStr">
        <is>
          <t>TRW</t>
        </is>
      </c>
      <c r="E2645" s="3" t="n">
        <v>15.3846</v>
      </c>
      <c r="F2645" s="4" t="n">
        <v>0.3</v>
      </c>
      <c r="G2645" s="5">
        <f>ROUND(E2645*(1+F2645),2)</f>
        <v>20.00</v>
      </c>
      <c r="H2645" s="5">
        <f>ROUND(G2645*NOTAS!$B$2,2)</f>
        <v>14426.91</v>
      </c>
      <c r="I2645" s="6">
        <f>ROUND(G2645*NOTAS!$B$3,0)</f>
        <v>64977</v>
      </c>
      <c r="J2645" s="2" t="n">
        <v>17</v>
      </c>
    </row>
    <row r="2646">
      <c r="A2646" s="2" t="inlineStr">
        <is>
          <t>S3301+15</t>
        </is>
      </c>
      <c r="B2646" s="2" t="inlineStr"/>
      <c r="C2646" s="2" t="inlineStr">
        <is>
          <t>JUEGO VALVULAS ESCAPE CHEVETTE +15</t>
        </is>
      </c>
      <c r="D2646" s="2" t="inlineStr">
        <is>
          <t>TRW</t>
        </is>
      </c>
      <c r="E2646" s="3" t="n">
        <v>0.86</v>
      </c>
      <c r="F2646" s="4" t="n">
        <v>0.3</v>
      </c>
      <c r="G2646" s="5">
        <f>ROUND(E2646*(1+F2646),2)</f>
        <v>1.12</v>
      </c>
      <c r="H2646" s="5">
        <f>ROUND(G2646*NOTAS!$B$2,2)</f>
        <v>807.91</v>
      </c>
      <c r="I2646" s="6">
        <f>ROUND(G2646*NOTAS!$B$3,0)</f>
        <v>3639</v>
      </c>
      <c r="J2646" s="2" t="n">
        <v>2</v>
      </c>
    </row>
    <row r="2647">
      <c r="A2647" s="2" t="inlineStr">
        <is>
          <t>S3301</t>
        </is>
      </c>
      <c r="B2647" s="2" t="inlineStr"/>
      <c r="C2647" s="2" t="inlineStr">
        <is>
          <t>JUEGO VALVULAS ESCAPE CHEVETTE STD</t>
        </is>
      </c>
      <c r="D2647" s="2" t="inlineStr">
        <is>
          <t>TRW</t>
        </is>
      </c>
      <c r="E2647" s="3" t="n">
        <v>0.86</v>
      </c>
      <c r="F2647" s="4" t="n">
        <v>0.3</v>
      </c>
      <c r="G2647" s="5">
        <f>ROUND(E2647*(1+F2647),2)</f>
        <v>1.12</v>
      </c>
      <c r="H2647" s="5">
        <f>ROUND(G2647*NOTAS!$B$2,2)</f>
        <v>807.91</v>
      </c>
      <c r="I2647" s="6">
        <f>ROUND(G2647*NOTAS!$B$3,0)</f>
        <v>3639</v>
      </c>
      <c r="J2647" s="2" t="n">
        <v>3</v>
      </c>
    </row>
    <row r="2648">
      <c r="A2648" s="2" t="inlineStr">
        <is>
          <t>S-9091</t>
        </is>
      </c>
      <c r="B2648" s="2" t="inlineStr"/>
      <c r="C2648" s="2" t="inlineStr">
        <is>
          <t>JUEGO VALVULAS ESCAPE CIELO</t>
        </is>
      </c>
      <c r="D2648" s="2" t="inlineStr">
        <is>
          <t>TRW</t>
        </is>
      </c>
      <c r="E2648" s="3" t="n">
        <v>13.8462</v>
      </c>
      <c r="F2648" s="4" t="n">
        <v>0.3</v>
      </c>
      <c r="G2648" s="5">
        <f>ROUND(E2648*(1+F2648),2)</f>
        <v>18.00</v>
      </c>
      <c r="H2648" s="5">
        <f>ROUND(G2648*NOTAS!$B$2,2)</f>
        <v>12984.22</v>
      </c>
      <c r="I2648" s="6">
        <f>ROUND(G2648*NOTAS!$B$3,0)</f>
        <v>58480</v>
      </c>
      <c r="J2648" s="2" t="n">
        <v>2</v>
      </c>
    </row>
    <row r="2649">
      <c r="A2649" s="2" t="inlineStr">
        <is>
          <t>90215491</t>
        </is>
      </c>
      <c r="B2649" s="2" t="inlineStr"/>
      <c r="C2649" s="2" t="inlineStr">
        <is>
          <t>JUEGO VALVULAS ESCAPE CIELO</t>
        </is>
      </c>
      <c r="D2649" s="2" t="inlineStr">
        <is>
          <t>SHIN HAN</t>
        </is>
      </c>
      <c r="E2649" s="3" t="n">
        <v>13.8462</v>
      </c>
      <c r="F2649" s="4" t="n">
        <v>0.3</v>
      </c>
      <c r="G2649" s="5">
        <f>ROUND(E2649*(1+F2649),2)</f>
        <v>18.00</v>
      </c>
      <c r="H2649" s="5">
        <f>ROUND(G2649*NOTAS!$B$2,2)</f>
        <v>12984.22</v>
      </c>
      <c r="I2649" s="6">
        <f>ROUND(G2649*NOTAS!$B$3,0)</f>
        <v>58480</v>
      </c>
      <c r="J2649" s="2" t="n">
        <v>1</v>
      </c>
    </row>
    <row r="2650">
      <c r="A2650" s="2" t="inlineStr">
        <is>
          <t>1446K</t>
        </is>
      </c>
      <c r="B2650" s="2" t="inlineStr"/>
      <c r="C2650" s="2" t="inlineStr">
        <is>
          <t>JUEGO VALVULAS ESCAPE CORCEL</t>
        </is>
      </c>
      <c r="D2650" s="2" t="inlineStr">
        <is>
          <t>GIEFFE</t>
        </is>
      </c>
      <c r="E2650" s="3" t="n">
        <v>11.5385</v>
      </c>
      <c r="F2650" s="4" t="n">
        <v>0.3</v>
      </c>
      <c r="G2650" s="5">
        <f>ROUND(E2650*(1+F2650),2)</f>
        <v>15.00</v>
      </c>
      <c r="H2650" s="5">
        <f>ROUND(G2650*NOTAS!$B$2,2)</f>
        <v>10820.18</v>
      </c>
      <c r="I2650" s="6">
        <f>ROUND(G2650*NOTAS!$B$3,0)</f>
        <v>48733</v>
      </c>
      <c r="J2650" s="2" t="n">
        <v>3</v>
      </c>
    </row>
    <row r="2651">
      <c r="A2651" s="2" t="inlineStr">
        <is>
          <t>S-2333</t>
        </is>
      </c>
      <c r="B2651" s="2" t="inlineStr"/>
      <c r="C2651" s="2" t="inlineStr">
        <is>
          <t>JUEGO VALVULAS ESCAPE CORSA 1.4</t>
        </is>
      </c>
      <c r="D2651" s="2" t="inlineStr">
        <is>
          <t>TRW</t>
        </is>
      </c>
      <c r="E2651" s="3" t="n">
        <v>12.3077</v>
      </c>
      <c r="F2651" s="4" t="n">
        <v>0.3</v>
      </c>
      <c r="G2651" s="5">
        <f>ROUND(E2651*(1+F2651),2)</f>
        <v>16.00</v>
      </c>
      <c r="H2651" s="5">
        <f>ROUND(G2651*NOTAS!$B$2,2)</f>
        <v>11541.53</v>
      </c>
      <c r="I2651" s="6">
        <f>ROUND(G2651*NOTAS!$B$3,0)</f>
        <v>51982</v>
      </c>
      <c r="J2651" s="2" t="n">
        <v>5</v>
      </c>
    </row>
    <row r="2652">
      <c r="A2652" s="2" t="inlineStr">
        <is>
          <t>S-2334</t>
        </is>
      </c>
      <c r="B2652" s="2" t="inlineStr"/>
      <c r="C2652" s="2" t="inlineStr">
        <is>
          <t>JUEGO VALVULAS ESCAPE CORSA 1.6</t>
        </is>
      </c>
      <c r="D2652" s="2" t="inlineStr">
        <is>
          <t>TRW</t>
        </is>
      </c>
      <c r="E2652" s="3" t="n">
        <v>13.8462</v>
      </c>
      <c r="F2652" s="4" t="n">
        <v>0.3</v>
      </c>
      <c r="G2652" s="5">
        <f>ROUND(E2652*(1+F2652),2)</f>
        <v>18.00</v>
      </c>
      <c r="H2652" s="5">
        <f>ROUND(G2652*NOTAS!$B$2,2)</f>
        <v>12984.22</v>
      </c>
      <c r="I2652" s="6">
        <f>ROUND(G2652*NOTAS!$B$3,0)</f>
        <v>58480</v>
      </c>
      <c r="J2652" s="2" t="n">
        <v>10</v>
      </c>
    </row>
    <row r="2653">
      <c r="A2653" s="2" t="inlineStr">
        <is>
          <t>S-5329</t>
        </is>
      </c>
      <c r="B2653" s="2" t="inlineStr"/>
      <c r="C2653" s="2" t="inlineStr">
        <is>
          <t>JUEGO VALVULAS ESCAPE F-147/UNO 1.3</t>
        </is>
      </c>
      <c r="D2653" s="2" t="inlineStr">
        <is>
          <t>TRW</t>
        </is>
      </c>
      <c r="E2653" s="3" t="n">
        <v>11.5385</v>
      </c>
      <c r="F2653" s="4" t="n">
        <v>0.3</v>
      </c>
      <c r="G2653" s="5">
        <f>ROUND(E2653*(1+F2653),2)</f>
        <v>15.00</v>
      </c>
      <c r="H2653" s="5">
        <f>ROUND(G2653*NOTAS!$B$2,2)</f>
        <v>10820.18</v>
      </c>
      <c r="I2653" s="6">
        <f>ROUND(G2653*NOTAS!$B$3,0)</f>
        <v>48733</v>
      </c>
      <c r="J2653" s="2" t="n">
        <v>6</v>
      </c>
    </row>
    <row r="2654">
      <c r="A2654" s="2" t="inlineStr">
        <is>
          <t>2631S</t>
        </is>
      </c>
      <c r="B2654" s="2" t="inlineStr"/>
      <c r="C2654" s="2" t="inlineStr">
        <is>
          <t>JUEGO VALVULAS ESCAPE F-147/UNO 1.3</t>
        </is>
      </c>
      <c r="D2654" s="2" t="inlineStr">
        <is>
          <t>TRW</t>
        </is>
      </c>
      <c r="E2654" s="3" t="n">
        <v>11.5385</v>
      </c>
      <c r="F2654" s="4" t="n">
        <v>0.3</v>
      </c>
      <c r="G2654" s="5">
        <f>ROUND(E2654*(1+F2654),2)</f>
        <v>15.00</v>
      </c>
      <c r="H2654" s="5">
        <f>ROUND(G2654*NOTAS!$B$2,2)</f>
        <v>10820.18</v>
      </c>
      <c r="I2654" s="6">
        <f>ROUND(G2654*NOTAS!$B$3,0)</f>
        <v>48733</v>
      </c>
      <c r="J2654" s="2" t="n">
        <v>1</v>
      </c>
    </row>
    <row r="2655">
      <c r="A2655" s="2" t="inlineStr">
        <is>
          <t>S-9868</t>
        </is>
      </c>
      <c r="B2655" s="2" t="inlineStr"/>
      <c r="C2655" s="2" t="inlineStr">
        <is>
          <t>JUEGO VALVULAS ESCAPE FIESTA/KA</t>
        </is>
      </c>
      <c r="D2655" s="2" t="inlineStr">
        <is>
          <t>TRW</t>
        </is>
      </c>
      <c r="E2655" s="3" t="n">
        <v>13.8462</v>
      </c>
      <c r="F2655" s="4" t="n">
        <v>0.3</v>
      </c>
      <c r="G2655" s="5">
        <f>ROUND(E2655*(1+F2655),2)</f>
        <v>18.00</v>
      </c>
      <c r="H2655" s="5">
        <f>ROUND(G2655*NOTAS!$B$2,2)</f>
        <v>12984.22</v>
      </c>
      <c r="I2655" s="6">
        <f>ROUND(G2655*NOTAS!$B$3,0)</f>
        <v>58480</v>
      </c>
      <c r="J2655" s="2" t="n">
        <v>2</v>
      </c>
    </row>
    <row r="2656">
      <c r="A2656" s="2" t="inlineStr">
        <is>
          <t>4340119</t>
        </is>
      </c>
      <c r="B2656" s="2" t="inlineStr"/>
      <c r="C2656" s="2" t="inlineStr">
        <is>
          <t xml:space="preserve">JUEGO VALVULAS ESCAPE F-PAL/SIE 1.3 </t>
        </is>
      </c>
      <c r="D2656" s="2" t="inlineStr">
        <is>
          <t>EATON</t>
        </is>
      </c>
      <c r="E2656" s="3" t="n">
        <v>13.0769</v>
      </c>
      <c r="F2656" s="4" t="n">
        <v>0.3</v>
      </c>
      <c r="G2656" s="5">
        <f>ROUND(E2656*(1+F2656),2)</f>
        <v>17.00</v>
      </c>
      <c r="H2656" s="5">
        <f>ROUND(G2656*NOTAS!$B$2,2)</f>
        <v>12262.88</v>
      </c>
      <c r="I2656" s="6">
        <f>ROUND(G2656*NOTAS!$B$3,0)</f>
        <v>55231</v>
      </c>
      <c r="J2656" s="2" t="n">
        <v>1</v>
      </c>
    </row>
    <row r="2657">
      <c r="A2657" s="2" t="inlineStr">
        <is>
          <t>2920K</t>
        </is>
      </c>
      <c r="B2657" s="2" t="inlineStr"/>
      <c r="C2657" s="2" t="inlineStr">
        <is>
          <t xml:space="preserve">JUEGO VALVULAS ESCAPE F-PAL/SIE 1.3 </t>
        </is>
      </c>
      <c r="D2657" s="2" t="inlineStr">
        <is>
          <t>GIEFFE</t>
        </is>
      </c>
      <c r="E2657" s="3" t="n">
        <v>13.0769</v>
      </c>
      <c r="F2657" s="4" t="n">
        <v>0.3</v>
      </c>
      <c r="G2657" s="5">
        <f>ROUND(E2657*(1+F2657),2)</f>
        <v>17.00</v>
      </c>
      <c r="H2657" s="5">
        <f>ROUND(G2657*NOTAS!$B$2,2)</f>
        <v>12262.88</v>
      </c>
      <c r="I2657" s="6">
        <f>ROUND(G2657*NOTAS!$B$3,0)</f>
        <v>55231</v>
      </c>
      <c r="J2657" s="2" t="n">
        <v>1</v>
      </c>
    </row>
    <row r="2658">
      <c r="A2658" s="2" t="inlineStr">
        <is>
          <t>2631Z</t>
        </is>
      </c>
      <c r="B2658" s="2" t="inlineStr"/>
      <c r="C2658" s="2" t="inlineStr">
        <is>
          <t>JUEGO VALVULAS ESCAPE F-PAL/SIE 1.3 (2UNID)</t>
        </is>
      </c>
      <c r="D2658" s="2" t="inlineStr">
        <is>
          <t>OSVAT</t>
        </is>
      </c>
      <c r="E2658" s="3" t="n">
        <v>10.7692</v>
      </c>
      <c r="F2658" s="4" t="n">
        <v>0.3</v>
      </c>
      <c r="G2658" s="5">
        <f>ROUND(E2658*(1+F2658),2)</f>
        <v>14.00</v>
      </c>
      <c r="H2658" s="5">
        <f>ROUND(G2658*NOTAS!$B$2,2)</f>
        <v>10098.84</v>
      </c>
      <c r="I2658" s="6">
        <f>ROUND(G2658*NOTAS!$B$3,0)</f>
        <v>45484</v>
      </c>
      <c r="J2658" s="2" t="n">
        <v>1</v>
      </c>
    </row>
    <row r="2659">
      <c r="A2659" s="2" t="inlineStr">
        <is>
          <t>2922K</t>
        </is>
      </c>
      <c r="B2659" s="2" t="inlineStr"/>
      <c r="C2659" s="2" t="inlineStr">
        <is>
          <t>JUEGO VALVULAS ESCAPE F-PAL/SIE 1.3 16V FIRE</t>
        </is>
      </c>
      <c r="D2659" s="2" t="inlineStr">
        <is>
          <t>GIEFFE</t>
        </is>
      </c>
      <c r="E2659" s="3" t="n">
        <v>13.8462</v>
      </c>
      <c r="F2659" s="4" t="n">
        <v>0.3</v>
      </c>
      <c r="G2659" s="5">
        <f>ROUND(E2659*(1+F2659),2)</f>
        <v>18.00</v>
      </c>
      <c r="H2659" s="5">
        <f>ROUND(G2659*NOTAS!$B$2,2)</f>
        <v>12984.22</v>
      </c>
      <c r="I2659" s="6">
        <f>ROUND(G2659*NOTAS!$B$3,0)</f>
        <v>58480</v>
      </c>
      <c r="J2659" s="2" t="n">
        <v>3</v>
      </c>
    </row>
    <row r="2660">
      <c r="A2660" s="2" t="inlineStr">
        <is>
          <t>S-7756</t>
        </is>
      </c>
      <c r="B2660" s="2" t="inlineStr"/>
      <c r="C2660" s="2" t="inlineStr">
        <is>
          <t>JUEGO VALVULAS ESCAPE F-PAL/SIE 1.3 16V FIRE CUNA CORTA</t>
        </is>
      </c>
      <c r="D2660" s="2" t="inlineStr">
        <is>
          <t>TRW</t>
        </is>
      </c>
      <c r="E2660" s="3" t="n">
        <v>13.8462</v>
      </c>
      <c r="F2660" s="4" t="n">
        <v>0.3</v>
      </c>
      <c r="G2660" s="5">
        <f>ROUND(E2660*(1+F2660),2)</f>
        <v>18.00</v>
      </c>
      <c r="H2660" s="5">
        <f>ROUND(G2660*NOTAS!$B$2,2)</f>
        <v>12984.22</v>
      </c>
      <c r="I2660" s="6">
        <f>ROUND(G2660*NOTAS!$B$3,0)</f>
        <v>58480</v>
      </c>
      <c r="J2660" s="2" t="n">
        <v>4</v>
      </c>
    </row>
    <row r="2661">
      <c r="A2661" s="2" t="inlineStr">
        <is>
          <t>2923K</t>
        </is>
      </c>
      <c r="B2661" s="2" t="inlineStr"/>
      <c r="C2661" s="2" t="inlineStr">
        <is>
          <t>JUEGO VALVULAS ESCAPE F-PAL/SIE 1.3 UNO INY MPI 8V</t>
        </is>
      </c>
      <c r="D2661" s="2" t="inlineStr">
        <is>
          <t>GIEFFE</t>
        </is>
      </c>
      <c r="E2661" s="3" t="n">
        <v>13.0769</v>
      </c>
      <c r="F2661" s="4" t="n">
        <v>0.3</v>
      </c>
      <c r="G2661" s="5">
        <f>ROUND(E2661*(1+F2661),2)</f>
        <v>17.00</v>
      </c>
      <c r="H2661" s="5">
        <f>ROUND(G2661*NOTAS!$B$2,2)</f>
        <v>12262.88</v>
      </c>
      <c r="I2661" s="6">
        <f>ROUND(G2661*NOTAS!$B$3,0)</f>
        <v>55231</v>
      </c>
      <c r="J2661" s="2" t="n">
        <v>1</v>
      </c>
    </row>
    <row r="2662">
      <c r="A2662" s="2" t="inlineStr">
        <is>
          <t>S-7742</t>
        </is>
      </c>
      <c r="B2662" s="2" t="inlineStr"/>
      <c r="C2662" s="2" t="inlineStr">
        <is>
          <t>JUEGO VALVULAS ESCAPE F-PAL/SIE 1.4 8V</t>
        </is>
      </c>
      <c r="D2662" s="2" t="inlineStr">
        <is>
          <t>TRW</t>
        </is>
      </c>
      <c r="E2662" s="3" t="n">
        <v>13.0769</v>
      </c>
      <c r="F2662" s="4" t="n">
        <v>0.3</v>
      </c>
      <c r="G2662" s="5">
        <f>ROUND(E2662*(1+F2662),2)</f>
        <v>17.00</v>
      </c>
      <c r="H2662" s="5">
        <f>ROUND(G2662*NOTAS!$B$2,2)</f>
        <v>12262.88</v>
      </c>
      <c r="I2662" s="6">
        <f>ROUND(G2662*NOTAS!$B$3,0)</f>
        <v>55231</v>
      </c>
      <c r="J2662" s="2" t="n">
        <v>2</v>
      </c>
    </row>
    <row r="2663">
      <c r="A2663" s="2" t="inlineStr">
        <is>
          <t>2710K</t>
        </is>
      </c>
      <c r="B2663" s="2" t="inlineStr"/>
      <c r="C2663" s="2" t="inlineStr">
        <is>
          <t>JUEGO VALVULAS ESCAPE F-PREMIO</t>
        </is>
      </c>
      <c r="D2663" s="2" t="inlineStr">
        <is>
          <t>GIEFFE</t>
        </is>
      </c>
      <c r="E2663" s="3" t="n">
        <v>11.5385</v>
      </c>
      <c r="F2663" s="4" t="n">
        <v>0.3</v>
      </c>
      <c r="G2663" s="5">
        <f>ROUND(E2663*(1+F2663),2)</f>
        <v>15.00</v>
      </c>
      <c r="H2663" s="5">
        <f>ROUND(G2663*NOTAS!$B$2,2)</f>
        <v>10820.18</v>
      </c>
      <c r="I2663" s="6">
        <f>ROUND(G2663*NOTAS!$B$3,0)</f>
        <v>48733</v>
      </c>
      <c r="J2663" s="2" t="n">
        <v>3</v>
      </c>
    </row>
    <row r="2664">
      <c r="A2664" s="2" t="inlineStr">
        <is>
          <t>0254K</t>
        </is>
      </c>
      <c r="B2664" s="2" t="inlineStr"/>
      <c r="C2664" s="2" t="inlineStr">
        <is>
          <t>JUEGO VALVULAS ESCAPE F-REGATA/RITMO</t>
        </is>
      </c>
      <c r="D2664" s="2" t="inlineStr">
        <is>
          <t>GIEFFE</t>
        </is>
      </c>
      <c r="E2664" s="3" t="n">
        <v>12.3077</v>
      </c>
      <c r="F2664" s="4" t="n">
        <v>0.3</v>
      </c>
      <c r="G2664" s="5">
        <f>ROUND(E2664*(1+F2664),2)</f>
        <v>16.00</v>
      </c>
      <c r="H2664" s="5">
        <f>ROUND(G2664*NOTAS!$B$2,2)</f>
        <v>11541.53</v>
      </c>
      <c r="I2664" s="6">
        <f>ROUND(G2664*NOTAS!$B$3,0)</f>
        <v>51982</v>
      </c>
      <c r="J2664" s="2" t="n">
        <v>1</v>
      </c>
    </row>
    <row r="2665">
      <c r="A2665" s="2" t="inlineStr"/>
      <c r="B2665" s="2" t="inlineStr"/>
      <c r="C2665" s="2" t="inlineStr">
        <is>
          <t>JUEGO VALVULAS ESCAPE F-UNO/PREMIO/TEMPRA 1.6</t>
        </is>
      </c>
      <c r="D2665" s="2" t="inlineStr">
        <is>
          <t>FIAT</t>
        </is>
      </c>
      <c r="E2665" s="3" t="n">
        <v>13.0769</v>
      </c>
      <c r="F2665" s="4" t="n">
        <v>0.3</v>
      </c>
      <c r="G2665" s="5">
        <f>ROUND(E2665*(1+F2665),2)</f>
        <v>17.00</v>
      </c>
      <c r="H2665" s="5">
        <f>ROUND(G2665*NOTAS!$B$2,2)</f>
        <v>12262.88</v>
      </c>
      <c r="I2665" s="6">
        <f>ROUND(G2665*NOTAS!$B$3,0)</f>
        <v>55231</v>
      </c>
      <c r="J2665" s="2" t="n">
        <v>1</v>
      </c>
    </row>
    <row r="2666">
      <c r="A2666" s="2" t="inlineStr">
        <is>
          <t>0318K</t>
        </is>
      </c>
      <c r="B2666" s="2" t="inlineStr"/>
      <c r="C2666" s="2" t="inlineStr">
        <is>
          <t>JUEGO VALVULAS ESCAPE F-UNO/PREMIO/TEMPRA 1.6</t>
        </is>
      </c>
      <c r="D2666" s="2" t="inlineStr">
        <is>
          <t>GIEFFE</t>
        </is>
      </c>
      <c r="E2666" s="3" t="n">
        <v>13.0769</v>
      </c>
      <c r="F2666" s="4" t="n">
        <v>0.3</v>
      </c>
      <c r="G2666" s="5">
        <f>ROUND(E2666*(1+F2666),2)</f>
        <v>17.00</v>
      </c>
      <c r="H2666" s="5">
        <f>ROUND(G2666*NOTAS!$B$2,2)</f>
        <v>12262.88</v>
      </c>
      <c r="I2666" s="6">
        <f>ROUND(G2666*NOTAS!$B$3,0)</f>
        <v>55231</v>
      </c>
      <c r="J2666" s="2" t="n">
        <v>3</v>
      </c>
    </row>
    <row r="2667">
      <c r="A2667" s="2" t="inlineStr">
        <is>
          <t>22212-26000</t>
        </is>
      </c>
      <c r="B2667" s="2" t="inlineStr"/>
      <c r="C2667" s="2" t="inlineStr">
        <is>
          <t>JUEGO VALVULAS ESCAPE HYUNDAI ACCENT</t>
        </is>
      </c>
      <c r="D2667" s="2" t="inlineStr">
        <is>
          <t>SHIN HAN</t>
        </is>
      </c>
      <c r="E2667" s="3" t="n">
        <v>13.0769</v>
      </c>
      <c r="F2667" s="4" t="n">
        <v>0.3</v>
      </c>
      <c r="G2667" s="5">
        <f>ROUND(E2667*(1+F2667),2)</f>
        <v>17.00</v>
      </c>
      <c r="H2667" s="5">
        <f>ROUND(G2667*NOTAS!$B$2,2)</f>
        <v>12262.88</v>
      </c>
      <c r="I2667" s="6">
        <f>ROUND(G2667*NOTAS!$B$3,0)</f>
        <v>55231</v>
      </c>
      <c r="J2667" s="2" t="n">
        <v>3</v>
      </c>
    </row>
    <row r="2668">
      <c r="A2668" s="2" t="inlineStr">
        <is>
          <t>S7944</t>
        </is>
      </c>
      <c r="B2668" s="2" t="inlineStr"/>
      <c r="C2668" s="2" t="inlineStr">
        <is>
          <t>JUEGO VALVULAS ESCAPE LANOS</t>
        </is>
      </c>
      <c r="D2668" s="2" t="inlineStr">
        <is>
          <t>TRW</t>
        </is>
      </c>
      <c r="E2668" s="3" t="n">
        <v>13.8462</v>
      </c>
      <c r="F2668" s="4" t="n">
        <v>0.3</v>
      </c>
      <c r="G2668" s="5">
        <f>ROUND(E2668*(1+F2668),2)</f>
        <v>18.00</v>
      </c>
      <c r="H2668" s="5">
        <f>ROUND(G2668*NOTAS!$B$2,2)</f>
        <v>12984.22</v>
      </c>
      <c r="I2668" s="6">
        <f>ROUND(G2668*NOTAS!$B$3,0)</f>
        <v>58480</v>
      </c>
      <c r="J2668" s="2" t="n">
        <v>6</v>
      </c>
    </row>
    <row r="2669">
      <c r="A2669" s="2" t="inlineStr">
        <is>
          <t>96182933</t>
        </is>
      </c>
      <c r="B2669" s="2" t="inlineStr"/>
      <c r="C2669" s="2" t="inlineStr">
        <is>
          <t>JUEGO VALVULAS ESCAPE LANOS</t>
        </is>
      </c>
      <c r="D2669" s="2" t="inlineStr">
        <is>
          <t>SHIN HAN</t>
        </is>
      </c>
      <c r="E2669" s="3" t="n">
        <v>13.8462</v>
      </c>
      <c r="F2669" s="4" t="n">
        <v>0.3</v>
      </c>
      <c r="G2669" s="5">
        <f>ROUND(E2669*(1+F2669),2)</f>
        <v>18.00</v>
      </c>
      <c r="H2669" s="5">
        <f>ROUND(G2669*NOTAS!$B$2,2)</f>
        <v>12984.22</v>
      </c>
      <c r="I2669" s="6">
        <f>ROUND(G2669*NOTAS!$B$3,0)</f>
        <v>58480</v>
      </c>
      <c r="J2669" s="2" t="n">
        <v>2</v>
      </c>
    </row>
    <row r="2670">
      <c r="A2670" s="2" t="inlineStr">
        <is>
          <t>96352793</t>
        </is>
      </c>
      <c r="B2670" s="2" t="inlineStr"/>
      <c r="C2670" s="2" t="inlineStr">
        <is>
          <t>JUEGO VALVULAS ESCAPE MATIZ/TICO</t>
        </is>
      </c>
      <c r="D2670" s="2" t="inlineStr">
        <is>
          <t>SHIN HAN</t>
        </is>
      </c>
      <c r="E2670" s="3" t="n">
        <v>11.5385</v>
      </c>
      <c r="F2670" s="4" t="n">
        <v>0.3</v>
      </c>
      <c r="G2670" s="5">
        <f>ROUND(E2670*(1+F2670),2)</f>
        <v>15.00</v>
      </c>
      <c r="H2670" s="5">
        <f>ROUND(G2670*NOTAS!$B$2,2)</f>
        <v>10820.18</v>
      </c>
      <c r="I2670" s="6">
        <f>ROUND(G2670*NOTAS!$B$3,0)</f>
        <v>48733</v>
      </c>
      <c r="J2670" s="2" t="n">
        <v>2</v>
      </c>
    </row>
    <row r="2671">
      <c r="A2671" s="2" t="inlineStr">
        <is>
          <t>S-7806</t>
        </is>
      </c>
      <c r="B2671" s="2" t="inlineStr"/>
      <c r="C2671" s="2" t="inlineStr">
        <is>
          <t>JUEGO VALVULAS ESCAPE OPTRA DESING</t>
        </is>
      </c>
      <c r="D2671" s="2" t="inlineStr">
        <is>
          <t>TRW</t>
        </is>
      </c>
      <c r="E2671" s="3" t="n">
        <v>15.3846</v>
      </c>
      <c r="F2671" s="4" t="n">
        <v>0.3</v>
      </c>
      <c r="G2671" s="5">
        <f>ROUND(E2671*(1+F2671),2)</f>
        <v>20.00</v>
      </c>
      <c r="H2671" s="5">
        <f>ROUND(G2671*NOTAS!$B$2,2)</f>
        <v>14426.91</v>
      </c>
      <c r="I2671" s="6">
        <f>ROUND(G2671*NOTAS!$B$3,0)</f>
        <v>64977</v>
      </c>
      <c r="J2671" s="2" t="n">
        <v>1</v>
      </c>
    </row>
    <row r="2672">
      <c r="A2672" s="2" t="inlineStr">
        <is>
          <t>S-7884</t>
        </is>
      </c>
      <c r="B2672" s="2" t="inlineStr"/>
      <c r="C2672" s="2" t="inlineStr">
        <is>
          <t>JUEGO VALVULAS ESCAPE OPTRA LIM/NUB</t>
        </is>
      </c>
      <c r="D2672" s="2" t="inlineStr">
        <is>
          <t>TRW</t>
        </is>
      </c>
      <c r="E2672" s="3" t="n">
        <v>15.3846</v>
      </c>
      <c r="F2672" s="4" t="n">
        <v>0.3</v>
      </c>
      <c r="G2672" s="5">
        <f>ROUND(E2672*(1+F2672),2)</f>
        <v>20.00</v>
      </c>
      <c r="H2672" s="5">
        <f>ROUND(G2672*NOTAS!$B$2,2)</f>
        <v>14426.91</v>
      </c>
      <c r="I2672" s="6">
        <f>ROUND(G2672*NOTAS!$B$3,0)</f>
        <v>64977</v>
      </c>
      <c r="J2672" s="2" t="n">
        <v>2</v>
      </c>
    </row>
    <row r="2673">
      <c r="A2673" s="2" t="inlineStr">
        <is>
          <t>2750Z</t>
        </is>
      </c>
      <c r="B2673" s="2" t="inlineStr"/>
      <c r="C2673" s="2" t="inlineStr">
        <is>
          <t>JUEGO VALVULAS ESCAPE R-18 1600</t>
        </is>
      </c>
      <c r="D2673" s="2" t="inlineStr">
        <is>
          <t>OSVAT</t>
        </is>
      </c>
      <c r="E2673" s="3" t="n">
        <v>13.0769</v>
      </c>
      <c r="F2673" s="4" t="n">
        <v>0.3</v>
      </c>
      <c r="G2673" s="5">
        <f>ROUND(E2673*(1+F2673),2)</f>
        <v>17.00</v>
      </c>
      <c r="H2673" s="5">
        <f>ROUND(G2673*NOTAS!$B$2,2)</f>
        <v>12262.88</v>
      </c>
      <c r="I2673" s="6">
        <f>ROUND(G2673*NOTAS!$B$3,0)</f>
        <v>55231</v>
      </c>
      <c r="J2673" s="2" t="n">
        <v>1</v>
      </c>
    </row>
    <row r="2674">
      <c r="A2674" s="2" t="inlineStr">
        <is>
          <t>S5170</t>
        </is>
      </c>
      <c r="B2674" s="2" t="inlineStr"/>
      <c r="C2674" s="2" t="inlineStr">
        <is>
          <t>JUEGO VALVULAS ESCAPE R-18/FUEGO/21</t>
        </is>
      </c>
      <c r="D2674" s="2" t="inlineStr">
        <is>
          <t>TRW</t>
        </is>
      </c>
      <c r="E2674" s="3" t="n">
        <v>13.8462</v>
      </c>
      <c r="F2674" s="4" t="n">
        <v>0.3</v>
      </c>
      <c r="G2674" s="5">
        <f>ROUND(E2674*(1+F2674),2)</f>
        <v>18.00</v>
      </c>
      <c r="H2674" s="5">
        <f>ROUND(G2674*NOTAS!$B$2,2)</f>
        <v>12984.22</v>
      </c>
      <c r="I2674" s="6">
        <f>ROUND(G2674*NOTAS!$B$3,0)</f>
        <v>58480</v>
      </c>
      <c r="J2674" s="2" t="n">
        <v>2</v>
      </c>
    </row>
    <row r="2675">
      <c r="A2675" s="2" t="inlineStr">
        <is>
          <t>S-7906</t>
        </is>
      </c>
      <c r="B2675" s="2" t="inlineStr"/>
      <c r="C2675" s="2" t="inlineStr">
        <is>
          <t>JUEGO VALVULAS ESCAPE R-19 1.4 2UNID</t>
        </is>
      </c>
      <c r="D2675" s="2" t="inlineStr">
        <is>
          <t>TRW</t>
        </is>
      </c>
      <c r="E2675" s="3" t="n">
        <v>10.7692</v>
      </c>
      <c r="F2675" s="4" t="n">
        <v>0.3</v>
      </c>
      <c r="G2675" s="5">
        <f>ROUND(E2675*(1+F2675),2)</f>
        <v>14.00</v>
      </c>
      <c r="H2675" s="5">
        <f>ROUND(G2675*NOTAS!$B$2,2)</f>
        <v>10098.84</v>
      </c>
      <c r="I2675" s="6">
        <f>ROUND(G2675*NOTAS!$B$3,0)</f>
        <v>45484</v>
      </c>
      <c r="J2675" s="2" t="n">
        <v>1</v>
      </c>
    </row>
    <row r="2676">
      <c r="A2676" s="2" t="inlineStr">
        <is>
          <t>78.062.FO</t>
        </is>
      </c>
      <c r="B2676" s="2" t="inlineStr"/>
      <c r="C2676" s="2" t="inlineStr">
        <is>
          <t>JUEGO VALVULAS ESCAPE R-19 1.7/1.8</t>
        </is>
      </c>
      <c r="D2676" s="2" t="inlineStr">
        <is>
          <t>TECNOSTAR</t>
        </is>
      </c>
      <c r="E2676" s="3" t="n">
        <v>13.8462</v>
      </c>
      <c r="F2676" s="4" t="n">
        <v>0.3</v>
      </c>
      <c r="G2676" s="5">
        <f>ROUND(E2676*(1+F2676),2)</f>
        <v>18.00</v>
      </c>
      <c r="H2676" s="5">
        <f>ROUND(G2676*NOTAS!$B$2,2)</f>
        <v>12984.22</v>
      </c>
      <c r="I2676" s="6">
        <f>ROUND(G2676*NOTAS!$B$3,0)</f>
        <v>58480</v>
      </c>
      <c r="J2676" s="2" t="n">
        <v>1</v>
      </c>
    </row>
    <row r="2677">
      <c r="A2677" s="2" t="inlineStr">
        <is>
          <t>S-7746</t>
        </is>
      </c>
      <c r="B2677" s="2" t="inlineStr"/>
      <c r="C2677" s="2" t="inlineStr">
        <is>
          <t>JUEGO VALVULAS ESCAPE R-CLIO II</t>
        </is>
      </c>
      <c r="D2677" s="2" t="inlineStr">
        <is>
          <t>TRW</t>
        </is>
      </c>
      <c r="E2677" s="3" t="n">
        <v>13.8462</v>
      </c>
      <c r="F2677" s="4" t="n">
        <v>0.3</v>
      </c>
      <c r="G2677" s="5">
        <f>ROUND(E2677*(1+F2677),2)</f>
        <v>18.00</v>
      </c>
      <c r="H2677" s="5">
        <f>ROUND(G2677*NOTAS!$B$2,2)</f>
        <v>12984.22</v>
      </c>
      <c r="I2677" s="6">
        <f>ROUND(G2677*NOTAS!$B$3,0)</f>
        <v>58480</v>
      </c>
      <c r="J2677" s="2" t="n">
        <v>4</v>
      </c>
    </row>
    <row r="2678">
      <c r="A2678" s="2" t="inlineStr">
        <is>
          <t>S-7908</t>
        </is>
      </c>
      <c r="B2678" s="2" t="inlineStr"/>
      <c r="C2678" s="2" t="inlineStr">
        <is>
          <t>JUEGO VALVULAS ESCAPE R-MEGANE/SCENIC</t>
        </is>
      </c>
      <c r="D2678" s="2" t="inlineStr">
        <is>
          <t>TRW</t>
        </is>
      </c>
      <c r="E2678" s="3" t="n">
        <v>15.3846</v>
      </c>
      <c r="F2678" s="4" t="n">
        <v>0.3</v>
      </c>
      <c r="G2678" s="5">
        <f>ROUND(E2678*(1+F2678),2)</f>
        <v>20.00</v>
      </c>
      <c r="H2678" s="5">
        <f>ROUND(G2678*NOTAS!$B$2,2)</f>
        <v>14426.91</v>
      </c>
      <c r="I2678" s="6">
        <f>ROUND(G2678*NOTAS!$B$3,0)</f>
        <v>64977</v>
      </c>
      <c r="J2678" s="2" t="n">
        <v>4</v>
      </c>
    </row>
    <row r="2679">
      <c r="A2679" s="2" t="inlineStr">
        <is>
          <t>S-9840</t>
        </is>
      </c>
      <c r="B2679" s="2" t="inlineStr"/>
      <c r="C2679" s="2" t="inlineStr">
        <is>
          <t>JUEGO VALVULAS ESCAPE R-SYMBOL/MEGANE 16V</t>
        </is>
      </c>
      <c r="D2679" s="2" t="inlineStr">
        <is>
          <t>TRW</t>
        </is>
      </c>
      <c r="E2679" s="3" t="n">
        <v>15.3846</v>
      </c>
      <c r="F2679" s="4" t="n">
        <v>0.3</v>
      </c>
      <c r="G2679" s="5">
        <f>ROUND(E2679*(1+F2679),2)</f>
        <v>20.00</v>
      </c>
      <c r="H2679" s="5">
        <f>ROUND(G2679*NOTAS!$B$2,2)</f>
        <v>14426.91</v>
      </c>
      <c r="I2679" s="6">
        <f>ROUND(G2679*NOTAS!$B$3,0)</f>
        <v>64977</v>
      </c>
      <c r="J2679" s="2" t="n">
        <v>2</v>
      </c>
    </row>
    <row r="2680">
      <c r="A2680" s="2" t="inlineStr">
        <is>
          <t>S-7910</t>
        </is>
      </c>
      <c r="B2680" s="2" t="inlineStr"/>
      <c r="C2680" s="2" t="inlineStr">
        <is>
          <t>JUEGO VALVULAS ESCAPE R-TWINGO 8V</t>
        </is>
      </c>
      <c r="D2680" s="2" t="inlineStr">
        <is>
          <t>TRW</t>
        </is>
      </c>
      <c r="E2680" s="3" t="n">
        <v>13.0769</v>
      </c>
      <c r="F2680" s="4" t="n">
        <v>0.3</v>
      </c>
      <c r="G2680" s="5">
        <f>ROUND(E2680*(1+F2680),2)</f>
        <v>17.00</v>
      </c>
      <c r="H2680" s="5">
        <f>ROUND(G2680*NOTAS!$B$2,2)</f>
        <v>12262.88</v>
      </c>
      <c r="I2680" s="6">
        <f>ROUND(G2680*NOTAS!$B$3,0)</f>
        <v>55231</v>
      </c>
      <c r="J2680" s="2" t="n">
        <v>5</v>
      </c>
    </row>
    <row r="2681">
      <c r="A2681" s="2" t="inlineStr">
        <is>
          <t>96352793</t>
        </is>
      </c>
      <c r="B2681" s="2" t="inlineStr"/>
      <c r="C2681" s="2" t="inlineStr">
        <is>
          <t>JUEGO VALVULAS ESCAPE SPARK</t>
        </is>
      </c>
      <c r="D2681" s="2" t="inlineStr">
        <is>
          <t>GM</t>
        </is>
      </c>
      <c r="E2681" s="3" t="n">
        <v>1.2</v>
      </c>
      <c r="F2681" s="4" t="n">
        <v>0.3</v>
      </c>
      <c r="G2681" s="5">
        <f>ROUND(E2681*(1+F2681),2)</f>
        <v>1.56</v>
      </c>
      <c r="H2681" s="5">
        <f>ROUND(G2681*NOTAS!$B$2,2)</f>
        <v>1125.30</v>
      </c>
      <c r="I2681" s="6">
        <f>ROUND(G2681*NOTAS!$B$3,0)</f>
        <v>5068</v>
      </c>
      <c r="J2681" s="2" t="n">
        <v>3</v>
      </c>
    </row>
    <row r="2682">
      <c r="A2682" s="2" t="inlineStr">
        <is>
          <t>96352793</t>
        </is>
      </c>
      <c r="B2682" s="2" t="inlineStr"/>
      <c r="C2682" s="2" t="inlineStr">
        <is>
          <t>JUEGO VALVULAS ESCAPE SPARK</t>
        </is>
      </c>
      <c r="D2682" s="2" t="inlineStr">
        <is>
          <t>GM</t>
        </is>
      </c>
      <c r="E2682" s="3" t="n">
        <v>13.0769</v>
      </c>
      <c r="F2682" s="4" t="n">
        <v>0.3</v>
      </c>
      <c r="G2682" s="5">
        <f>ROUND(E2682*(1+F2682),2)</f>
        <v>17.00</v>
      </c>
      <c r="H2682" s="5">
        <f>ROUND(G2682*NOTAS!$B$2,2)</f>
        <v>12262.88</v>
      </c>
      <c r="I2682" s="6">
        <f>ROUND(G2682*NOTAS!$B$3,0)</f>
        <v>55231</v>
      </c>
      <c r="J2682" s="2" t="n">
        <v>3</v>
      </c>
    </row>
    <row r="2683">
      <c r="A2683" s="2" t="inlineStr">
        <is>
          <t>K-866</t>
        </is>
      </c>
      <c r="B2683" s="2" t="inlineStr"/>
      <c r="C2683" s="2" t="inlineStr">
        <is>
          <t>KIT ASSEMBLY CORCEL 1.3</t>
        </is>
      </c>
      <c r="D2683" s="2" t="inlineStr">
        <is>
          <t>METAL LEVE</t>
        </is>
      </c>
      <c r="E2683" s="3" t="n">
        <v>10.7692</v>
      </c>
      <c r="F2683" s="4" t="n">
        <v>0.3</v>
      </c>
      <c r="G2683" s="5">
        <f>ROUND(E2683*(1+F2683),2)</f>
        <v>14.00</v>
      </c>
      <c r="H2683" s="5">
        <f>ROUND(G2683*NOTAS!$B$2,2)</f>
        <v>10098.84</v>
      </c>
      <c r="I2683" s="6">
        <f>ROUND(G2683*NOTAS!$B$3,0)</f>
        <v>45484</v>
      </c>
      <c r="J2683" s="2" t="n">
        <v>1</v>
      </c>
    </row>
    <row r="2684">
      <c r="A2684" s="2" t="inlineStr">
        <is>
          <t>K18510 STD</t>
        </is>
      </c>
      <c r="B2684" s="2" t="inlineStr"/>
      <c r="C2684" s="2" t="inlineStr">
        <is>
          <t>KIT ASSEMBLY R-11 1.4</t>
        </is>
      </c>
      <c r="D2684" s="2" t="inlineStr">
        <is>
          <t>MAHLE</t>
        </is>
      </c>
      <c r="E2684" s="3" t="n">
        <v>10.7692</v>
      </c>
      <c r="F2684" s="4" t="n">
        <v>0.3</v>
      </c>
      <c r="G2684" s="5">
        <f>ROUND(E2684*(1+F2684),2)</f>
        <v>14.00</v>
      </c>
      <c r="H2684" s="5">
        <f>ROUND(G2684*NOTAS!$B$2,2)</f>
        <v>10098.84</v>
      </c>
      <c r="I2684" s="6">
        <f>ROUND(G2684*NOTAS!$B$3,0)</f>
        <v>45484</v>
      </c>
      <c r="J2684" s="2" t="n">
        <v>1</v>
      </c>
    </row>
    <row r="2685">
      <c r="A2685" s="2" t="inlineStr">
        <is>
          <t>K18750 STD</t>
        </is>
      </c>
      <c r="B2685" s="2" t="inlineStr"/>
      <c r="C2685" s="2" t="inlineStr">
        <is>
          <t>KIT ASSEMBLY R-19 1.4</t>
        </is>
      </c>
      <c r="D2685" s="2" t="inlineStr">
        <is>
          <t>MAHLE</t>
        </is>
      </c>
      <c r="E2685" s="3" t="n">
        <v>10.7692</v>
      </c>
      <c r="F2685" s="4" t="n">
        <v>0.3</v>
      </c>
      <c r="G2685" s="5">
        <f>ROUND(E2685*(1+F2685),2)</f>
        <v>14.00</v>
      </c>
      <c r="H2685" s="5">
        <f>ROUND(G2685*NOTAS!$B$2,2)</f>
        <v>10098.84</v>
      </c>
      <c r="I2685" s="6">
        <f>ROUND(G2685*NOTAS!$B$3,0)</f>
        <v>45484</v>
      </c>
      <c r="J2685" s="2" t="n">
        <v>1</v>
      </c>
    </row>
    <row r="2686">
      <c r="A2686" s="2" t="inlineStr">
        <is>
          <t>K18730 STD</t>
        </is>
      </c>
      <c r="B2686" s="2" t="inlineStr"/>
      <c r="C2686" s="2" t="inlineStr">
        <is>
          <t>KIT ASSEMBLY R-5/12 1.3</t>
        </is>
      </c>
      <c r="D2686" s="2" t="inlineStr">
        <is>
          <t>MAHLE</t>
        </is>
      </c>
      <c r="E2686" s="3" t="n">
        <v>10.7692</v>
      </c>
      <c r="F2686" s="4" t="n">
        <v>0.3</v>
      </c>
      <c r="G2686" s="5">
        <f>ROUND(E2686*(1+F2686),2)</f>
        <v>14.00</v>
      </c>
      <c r="H2686" s="5">
        <f>ROUND(G2686*NOTAS!$B$2,2)</f>
        <v>10098.84</v>
      </c>
      <c r="I2686" s="6">
        <f>ROUND(G2686*NOTAS!$B$3,0)</f>
        <v>45484</v>
      </c>
      <c r="J2686" s="2" t="n">
        <v>2</v>
      </c>
    </row>
    <row r="2687">
      <c r="A2687" s="2" t="inlineStr">
        <is>
          <t>SK3018A</t>
        </is>
      </c>
      <c r="B2687" s="2" t="inlineStr"/>
      <c r="C2687" s="2" t="inlineStr">
        <is>
          <t>KIT BARRA ESTABILIZADORA CORSA</t>
        </is>
      </c>
      <c r="D2687" s="2" t="inlineStr">
        <is>
          <t>SAMPEL</t>
        </is>
      </c>
      <c r="E2687" s="3" t="n">
        <v>15.3846</v>
      </c>
      <c r="F2687" s="4" t="n">
        <v>0.3</v>
      </c>
      <c r="G2687" s="5">
        <f>ROUND(E2687*(1+F2687),2)</f>
        <v>20.00</v>
      </c>
      <c r="H2687" s="5">
        <f>ROUND(G2687*NOTAS!$B$2,2)</f>
        <v>14426.91</v>
      </c>
      <c r="I2687" s="6">
        <f>ROUND(G2687*NOTAS!$B$3,0)</f>
        <v>64977</v>
      </c>
      <c r="J2687" s="2" t="n">
        <v>8</v>
      </c>
    </row>
    <row r="2688">
      <c r="A2688" s="2" t="inlineStr">
        <is>
          <t>SK1301B</t>
        </is>
      </c>
      <c r="B2688" s="2" t="inlineStr"/>
      <c r="C2688" s="2" t="inlineStr">
        <is>
          <t>KIT BARRA ESTABILIZADORA DERECHA F-PALIO/SIENA</t>
        </is>
      </c>
      <c r="D2688" s="2" t="inlineStr">
        <is>
          <t>SAMPEL</t>
        </is>
      </c>
      <c r="E2688" s="3" t="n">
        <v>16.9231</v>
      </c>
      <c r="F2688" s="4" t="n">
        <v>0.3</v>
      </c>
      <c r="G2688" s="5">
        <f>ROUND(E2688*(1+F2688),2)</f>
        <v>22.00</v>
      </c>
      <c r="H2688" s="5">
        <f>ROUND(G2688*NOTAS!$B$2,2)</f>
        <v>15869.60</v>
      </c>
      <c r="I2688" s="6">
        <f>ROUND(G2688*NOTAS!$B$3,0)</f>
        <v>71475</v>
      </c>
      <c r="J2688" s="2" t="n">
        <v>1</v>
      </c>
    </row>
    <row r="2689">
      <c r="A2689" s="2" t="inlineStr">
        <is>
          <t>SK1301A</t>
        </is>
      </c>
      <c r="B2689" s="2" t="inlineStr"/>
      <c r="C2689" s="2" t="inlineStr">
        <is>
          <t>KIT BARRA ESTABILIZADORA IZQUIERDA F-PALIO/SIENA</t>
        </is>
      </c>
      <c r="D2689" s="2" t="inlineStr">
        <is>
          <t>SAMPEL</t>
        </is>
      </c>
      <c r="E2689" s="3" t="n">
        <v>16.9231</v>
      </c>
      <c r="F2689" s="4" t="n">
        <v>0.3</v>
      </c>
      <c r="G2689" s="5">
        <f>ROUND(E2689*(1+F2689),2)</f>
        <v>22.00</v>
      </c>
      <c r="H2689" s="5">
        <f>ROUND(G2689*NOTAS!$B$2,2)</f>
        <v>15869.60</v>
      </c>
      <c r="I2689" s="6">
        <f>ROUND(G2689*NOTAS!$B$3,0)</f>
        <v>71475</v>
      </c>
      <c r="J2689" s="2" t="n">
        <v>1</v>
      </c>
    </row>
    <row r="2690">
      <c r="A2690" s="2" t="inlineStr">
        <is>
          <t>04-01-040</t>
        </is>
      </c>
      <c r="B2690" s="2" t="inlineStr"/>
      <c r="C2690" s="2" t="inlineStr">
        <is>
          <t>KIT BARRA ESTABILIZADORA R-SYMBOL/LOGAN</t>
        </is>
      </c>
      <c r="D2690" s="2" t="inlineStr">
        <is>
          <t>SANFOR</t>
        </is>
      </c>
      <c r="E2690" s="3" t="n">
        <v>15.3846</v>
      </c>
      <c r="F2690" s="4" t="n">
        <v>0.3</v>
      </c>
      <c r="G2690" s="5">
        <f>ROUND(E2690*(1+F2690),2)</f>
        <v>20.00</v>
      </c>
      <c r="H2690" s="5">
        <f>ROUND(G2690*NOTAS!$B$2,2)</f>
        <v>14426.91</v>
      </c>
      <c r="I2690" s="6">
        <f>ROUND(G2690*NOTAS!$B$3,0)</f>
        <v>64977</v>
      </c>
      <c r="J2690" s="2" t="n">
        <v>3</v>
      </c>
    </row>
    <row r="2691">
      <c r="A2691" s="2" t="inlineStr">
        <is>
          <t>87120</t>
        </is>
      </c>
      <c r="B2691" s="2" t="inlineStr"/>
      <c r="C2691" s="2" t="inlineStr">
        <is>
          <t>KIT BASE PALANCA CAMBIO F-PALIO/SIENA</t>
        </is>
      </c>
      <c r="D2691" s="2" t="inlineStr">
        <is>
          <t>AJE</t>
        </is>
      </c>
      <c r="E2691" s="3" t="n">
        <v>13.8462</v>
      </c>
      <c r="F2691" s="4" t="n">
        <v>0.3</v>
      </c>
      <c r="G2691" s="5">
        <f>ROUND(E2691*(1+F2691),2)</f>
        <v>18.00</v>
      </c>
      <c r="H2691" s="5">
        <f>ROUND(G2691*NOTAS!$B$2,2)</f>
        <v>12984.22</v>
      </c>
      <c r="I2691" s="6">
        <f>ROUND(G2691*NOTAS!$B$3,0)</f>
        <v>58480</v>
      </c>
      <c r="J2691" s="2" t="n">
        <v>7</v>
      </c>
    </row>
    <row r="2692">
      <c r="A2692" s="2" t="inlineStr">
        <is>
          <t>132058</t>
        </is>
      </c>
      <c r="B2692" s="2" t="inlineStr"/>
      <c r="C2692" s="2" t="inlineStr">
        <is>
          <t>KIT BASE PALANCA CAMBIO F-PALIO/SIENA</t>
        </is>
      </c>
      <c r="D2692" s="2" t="inlineStr">
        <is>
          <t>SPARE KITS</t>
        </is>
      </c>
      <c r="E2692" s="3" t="n">
        <v>13.8462</v>
      </c>
      <c r="F2692" s="4" t="n">
        <v>0.3</v>
      </c>
      <c r="G2692" s="5">
        <f>ROUND(E2692*(1+F2692),2)</f>
        <v>18.00</v>
      </c>
      <c r="H2692" s="5">
        <f>ROUND(G2692*NOTAS!$B$2,2)</f>
        <v>12984.22</v>
      </c>
      <c r="I2692" s="6">
        <f>ROUND(G2692*NOTAS!$B$3,0)</f>
        <v>58480</v>
      </c>
      <c r="J2692" s="2" t="n">
        <v>2</v>
      </c>
    </row>
    <row r="2693">
      <c r="A2693" s="2" t="inlineStr">
        <is>
          <t>87119</t>
        </is>
      </c>
      <c r="B2693" s="2" t="inlineStr"/>
      <c r="C2693" s="2" t="inlineStr">
        <is>
          <t>KIT BASE PALANCA CAMBIO F-PALIO/SIENA OJO LISO</t>
        </is>
      </c>
      <c r="D2693" s="2" t="inlineStr">
        <is>
          <t>AJE</t>
        </is>
      </c>
      <c r="E2693" s="3" t="n">
        <v>13.8462</v>
      </c>
      <c r="F2693" s="4" t="n">
        <v>0.3</v>
      </c>
      <c r="G2693" s="5">
        <f>ROUND(E2693*(1+F2693),2)</f>
        <v>18.00</v>
      </c>
      <c r="H2693" s="5">
        <f>ROUND(G2693*NOTAS!$B$2,2)</f>
        <v>12984.22</v>
      </c>
      <c r="I2693" s="6">
        <f>ROUND(G2693*NOTAS!$B$3,0)</f>
        <v>58480</v>
      </c>
      <c r="J2693" s="2" t="n">
        <v>7</v>
      </c>
    </row>
    <row r="2694">
      <c r="A2694" s="2" t="inlineStr">
        <is>
          <t>403-0469</t>
        </is>
      </c>
      <c r="B2694" s="2" t="inlineStr"/>
      <c r="C2694" s="2" t="inlineStr">
        <is>
          <t>KIT BUJE CAJA DIRECCION F-UNO/PREMIO</t>
        </is>
      </c>
      <c r="D2694" s="2" t="inlineStr">
        <is>
          <t>KITSBOR</t>
        </is>
      </c>
      <c r="E2694" s="3" t="n">
        <v>9.2308</v>
      </c>
      <c r="F2694" s="4" t="n">
        <v>0.3</v>
      </c>
      <c r="G2694" s="5">
        <f>ROUND(E2694*(1+F2694),2)</f>
        <v>12.00</v>
      </c>
      <c r="H2694" s="5">
        <f>ROUND(G2694*NOTAS!$B$2,2)</f>
        <v>8656.15</v>
      </c>
      <c r="I2694" s="6">
        <f>ROUND(G2694*NOTAS!$B$3,0)</f>
        <v>38986</v>
      </c>
      <c r="J2694" s="2" t="n">
        <v>1</v>
      </c>
    </row>
    <row r="2695">
      <c r="A2695" s="2" t="inlineStr">
        <is>
          <t>G738</t>
        </is>
      </c>
      <c r="B2695" s="2" t="inlineStr"/>
      <c r="C2695" s="2" t="inlineStr">
        <is>
          <t>KIT BUJE VARILLAJE CORSA/CIELO</t>
        </is>
      </c>
      <c r="D2695" s="2" t="inlineStr">
        <is>
          <t>DHF</t>
        </is>
      </c>
      <c r="E2695" s="3" t="n">
        <v>9.2308</v>
      </c>
      <c r="F2695" s="4" t="n">
        <v>0.3</v>
      </c>
      <c r="G2695" s="5">
        <f>ROUND(E2695*(1+F2695),2)</f>
        <v>12.00</v>
      </c>
      <c r="H2695" s="5">
        <f>ROUND(G2695*NOTAS!$B$2,2)</f>
        <v>8656.15</v>
      </c>
      <c r="I2695" s="6">
        <f>ROUND(G2695*NOTAS!$B$3,0)</f>
        <v>38986</v>
      </c>
      <c r="J2695" s="2" t="n">
        <v>8</v>
      </c>
    </row>
    <row r="2696">
      <c r="A2696" s="2" t="inlineStr">
        <is>
          <t>4-09-012A</t>
        </is>
      </c>
      <c r="B2696" s="2" t="inlineStr"/>
      <c r="C2696" s="2" t="inlineStr">
        <is>
          <t>KIT BUJE VARILLAJE CORSA/CIELO</t>
        </is>
      </c>
      <c r="D2696" s="2" t="inlineStr">
        <is>
          <t>SANFOR</t>
        </is>
      </c>
      <c r="E2696" s="3" t="n">
        <v>9.2308</v>
      </c>
      <c r="F2696" s="4" t="n">
        <v>0.3</v>
      </c>
      <c r="G2696" s="5">
        <f>ROUND(E2696*(1+F2696),2)</f>
        <v>12.00</v>
      </c>
      <c r="H2696" s="5">
        <f>ROUND(G2696*NOTAS!$B$2,2)</f>
        <v>8656.15</v>
      </c>
      <c r="I2696" s="6">
        <f>ROUND(G2696*NOTAS!$B$3,0)</f>
        <v>38986</v>
      </c>
      <c r="J2696" s="2" t="n">
        <v>2</v>
      </c>
    </row>
    <row r="2697">
      <c r="A2697" s="2" t="inlineStr">
        <is>
          <t>AT-3080</t>
        </is>
      </c>
      <c r="B2697" s="2" t="inlineStr"/>
      <c r="C2697" s="2" t="inlineStr">
        <is>
          <t>KIT CADENA TIEMPO CORCEL</t>
        </is>
      </c>
      <c r="D2697" s="2" t="inlineStr">
        <is>
          <t>ANROI</t>
        </is>
      </c>
      <c r="E2697" s="3" t="n">
        <v>34.6154</v>
      </c>
      <c r="F2697" s="4" t="n">
        <v>0.3</v>
      </c>
      <c r="G2697" s="5">
        <f>ROUND(E2697*(1+F2697),2)</f>
        <v>45.00</v>
      </c>
      <c r="H2697" s="5">
        <f>ROUND(G2697*NOTAS!$B$2,2)</f>
        <v>32460.55</v>
      </c>
      <c r="I2697" s="6">
        <f>ROUND(G2697*NOTAS!$B$3,0)</f>
        <v>146199</v>
      </c>
      <c r="J2697" s="2" t="n">
        <v>2</v>
      </c>
    </row>
    <row r="2698">
      <c r="A2698" s="2" t="inlineStr">
        <is>
          <t>8021117</t>
        </is>
      </c>
      <c r="B2698" s="2" t="inlineStr"/>
      <c r="C2698" s="2" t="inlineStr">
        <is>
          <t>KIT CADENA TIEMPO CORCEL</t>
        </is>
      </c>
      <c r="D2698" s="2" t="inlineStr">
        <is>
          <t>EMASA</t>
        </is>
      </c>
      <c r="E2698" s="3" t="n">
        <v>20</v>
      </c>
      <c r="F2698" s="4" t="n">
        <v>0.3</v>
      </c>
      <c r="G2698" s="5">
        <f>ROUND(E2698*(1+F2698),2)</f>
        <v>26.00</v>
      </c>
      <c r="H2698" s="5">
        <f>ROUND(G2698*NOTAS!$B$2,2)</f>
        <v>18754.99</v>
      </c>
      <c r="I2698" s="6">
        <f>ROUND(G2698*NOTAS!$B$3,0)</f>
        <v>84471</v>
      </c>
      <c r="J2698" s="2" t="n">
        <v>1</v>
      </c>
    </row>
    <row r="2699">
      <c r="A2699" s="2" t="inlineStr">
        <is>
          <t>8021104</t>
        </is>
      </c>
      <c r="B2699" s="2" t="inlineStr"/>
      <c r="C2699" s="2" t="inlineStr">
        <is>
          <t>KIT CADENA TIEMPO FIESTA/KA 1.6</t>
        </is>
      </c>
      <c r="D2699" s="2" t="inlineStr">
        <is>
          <t>EMASA</t>
        </is>
      </c>
      <c r="E2699" s="3" t="n">
        <v>46</v>
      </c>
      <c r="F2699" s="4" t="n">
        <v>0.3</v>
      </c>
      <c r="G2699" s="5">
        <f>ROUND(E2699*(1+F2699),2)</f>
        <v>59.80</v>
      </c>
      <c r="H2699" s="5">
        <f>ROUND(G2699*NOTAS!$B$2,2)</f>
        <v>43136.47</v>
      </c>
      <c r="I2699" s="6">
        <f>ROUND(G2699*NOTAS!$B$3,0)</f>
        <v>194282</v>
      </c>
      <c r="J2699" s="2" t="n">
        <v>1</v>
      </c>
    </row>
    <row r="2700">
      <c r="A2700" s="2" t="inlineStr">
        <is>
          <t>40210</t>
        </is>
      </c>
      <c r="B2700" s="2" t="inlineStr"/>
      <c r="C2700" s="2" t="inlineStr">
        <is>
          <t>KIT CARBURADOR CHEVETTE 2BOCAS WEBER</t>
        </is>
      </c>
      <c r="D2700" s="2" t="inlineStr">
        <is>
          <t>AUTOLEX</t>
        </is>
      </c>
      <c r="E2700" s="3" t="n">
        <v>23.0769</v>
      </c>
      <c r="F2700" s="4" t="n">
        <v>0.3</v>
      </c>
      <c r="G2700" s="5">
        <f>ROUND(E2700*(1+F2700),2)</f>
        <v>30.00</v>
      </c>
      <c r="H2700" s="5">
        <f>ROUND(G2700*NOTAS!$B$2,2)</f>
        <v>21640.37</v>
      </c>
      <c r="I2700" s="6">
        <f>ROUND(G2700*NOTAS!$B$3,0)</f>
        <v>97466</v>
      </c>
      <c r="J2700" s="2" t="n">
        <v>4</v>
      </c>
    </row>
    <row r="2701">
      <c r="A2701" s="2" t="inlineStr">
        <is>
          <t>W240A-G</t>
        </is>
      </c>
      <c r="B2701" s="2" t="inlineStr"/>
      <c r="C2701" s="2" t="inlineStr">
        <is>
          <t>KIT CARBURADOR FIAT-PREMIO/REG AUT</t>
        </is>
      </c>
      <c r="D2701" s="2" t="inlineStr">
        <is>
          <t>MEAT DORIA</t>
        </is>
      </c>
      <c r="E2701" s="3" t="n">
        <v>23.0769</v>
      </c>
      <c r="F2701" s="4" t="n">
        <v>0.3</v>
      </c>
      <c r="G2701" s="5">
        <f>ROUND(E2701*(1+F2701),2)</f>
        <v>30.00</v>
      </c>
      <c r="H2701" s="5">
        <f>ROUND(G2701*NOTAS!$B$2,2)</f>
        <v>21640.37</v>
      </c>
      <c r="I2701" s="6">
        <f>ROUND(G2701*NOTAS!$B$3,0)</f>
        <v>97466</v>
      </c>
      <c r="J2701" s="2" t="n">
        <v>3</v>
      </c>
    </row>
    <row r="2702">
      <c r="A2702" s="2" t="inlineStr">
        <is>
          <t>W516-G</t>
        </is>
      </c>
      <c r="B2702" s="2" t="inlineStr"/>
      <c r="C2702" s="2" t="inlineStr">
        <is>
          <t>KIT CARBURADOR FIAT-REGATA 2.0</t>
        </is>
      </c>
      <c r="D2702" s="2" t="inlineStr">
        <is>
          <t>MEAT DORIA</t>
        </is>
      </c>
      <c r="E2702" s="3" t="n">
        <v>23.0769</v>
      </c>
      <c r="F2702" s="4" t="n">
        <v>0.3</v>
      </c>
      <c r="G2702" s="5">
        <f>ROUND(E2702*(1+F2702),2)</f>
        <v>30.00</v>
      </c>
      <c r="H2702" s="5">
        <f>ROUND(G2702*NOTAS!$B$2,2)</f>
        <v>21640.37</v>
      </c>
      <c r="I2702" s="6">
        <f>ROUND(G2702*NOTAS!$B$3,0)</f>
        <v>97466</v>
      </c>
      <c r="J2702" s="2" t="n">
        <v>2</v>
      </c>
    </row>
    <row r="2703">
      <c r="A2703" s="2" t="inlineStr">
        <is>
          <t>W544-G</t>
        </is>
      </c>
      <c r="B2703" s="2" t="inlineStr"/>
      <c r="C2703" s="2" t="inlineStr">
        <is>
          <t>KIT CARBURADOR FIAT-TEMPRA 1.6</t>
        </is>
      </c>
      <c r="D2703" s="2" t="inlineStr">
        <is>
          <t>MEAT DORIA</t>
        </is>
      </c>
      <c r="E2703" s="3" t="n">
        <v>23.0769</v>
      </c>
      <c r="F2703" s="4" t="n">
        <v>0.3</v>
      </c>
      <c r="G2703" s="5">
        <f>ROUND(E2703*(1+F2703),2)</f>
        <v>30.00</v>
      </c>
      <c r="H2703" s="5">
        <f>ROUND(G2703*NOTAS!$B$2,2)</f>
        <v>21640.37</v>
      </c>
      <c r="I2703" s="6">
        <f>ROUND(G2703*NOTAS!$B$3,0)</f>
        <v>97466</v>
      </c>
      <c r="J2703" s="2" t="n">
        <v>2</v>
      </c>
    </row>
    <row r="2704">
      <c r="A2704" s="2" t="inlineStr">
        <is>
          <t>W542-G</t>
        </is>
      </c>
      <c r="B2704" s="2" t="inlineStr"/>
      <c r="C2704" s="2" t="inlineStr">
        <is>
          <t>KIT CARBURADOR FIAT-UNO MIO PREMIO 2BOCAS</t>
        </is>
      </c>
      <c r="D2704" s="2" t="inlineStr">
        <is>
          <t>MEAT DORIA</t>
        </is>
      </c>
      <c r="E2704" s="3" t="n">
        <v>21.5385</v>
      </c>
      <c r="F2704" s="4" t="n">
        <v>0.3</v>
      </c>
      <c r="G2704" s="5">
        <f>ROUND(E2704*(1+F2704),2)</f>
        <v>28.00</v>
      </c>
      <c r="H2704" s="5">
        <f>ROUND(G2704*NOTAS!$B$2,2)</f>
        <v>20197.68</v>
      </c>
      <c r="I2704" s="6">
        <f>ROUND(G2704*NOTAS!$B$3,0)</f>
        <v>90968</v>
      </c>
      <c r="J2704" s="2" t="n">
        <v>18</v>
      </c>
    </row>
    <row r="2705">
      <c r="A2705" s="2" t="inlineStr">
        <is>
          <t>W564-G</t>
        </is>
      </c>
      <c r="B2705" s="2" t="inlineStr"/>
      <c r="C2705" s="2" t="inlineStr">
        <is>
          <t>KIT CARBURADOR FIAT-UNO/PREMIO 1.6</t>
        </is>
      </c>
      <c r="D2705" s="2" t="inlineStr">
        <is>
          <t>MEAT DORIA</t>
        </is>
      </c>
      <c r="E2705" s="3" t="n">
        <v>21.5385</v>
      </c>
      <c r="F2705" s="4" t="n">
        <v>0.3</v>
      </c>
      <c r="G2705" s="5">
        <f>ROUND(E2705*(1+F2705),2)</f>
        <v>28.00</v>
      </c>
      <c r="H2705" s="5">
        <f>ROUND(G2705*NOTAS!$B$2,2)</f>
        <v>20197.68</v>
      </c>
      <c r="I2705" s="6">
        <f>ROUND(G2705*NOTAS!$B$3,0)</f>
        <v>90968</v>
      </c>
      <c r="J2705" s="2" t="n">
        <v>3</v>
      </c>
    </row>
    <row r="2706">
      <c r="A2706" s="2" t="inlineStr">
        <is>
          <t>W536-1</t>
        </is>
      </c>
      <c r="B2706" s="2" t="inlineStr"/>
      <c r="C2706" s="2" t="inlineStr">
        <is>
          <t>KIT CARBURADOR FIAT-UNO/PREMIO 1.6</t>
        </is>
      </c>
      <c r="D2706" s="2" t="inlineStr">
        <is>
          <t>PIMAX</t>
        </is>
      </c>
      <c r="E2706" s="3" t="n">
        <v>21.5385</v>
      </c>
      <c r="F2706" s="4" t="n">
        <v>0.3</v>
      </c>
      <c r="G2706" s="5">
        <f>ROUND(E2706*(1+F2706),2)</f>
        <v>28.00</v>
      </c>
      <c r="H2706" s="5">
        <f>ROUND(G2706*NOTAS!$B$2,2)</f>
        <v>20197.68</v>
      </c>
      <c r="I2706" s="6">
        <f>ROUND(G2706*NOTAS!$B$3,0)</f>
        <v>90968</v>
      </c>
      <c r="J2706" s="2" t="n">
        <v>1</v>
      </c>
    </row>
    <row r="2707">
      <c r="A2707" s="2" t="inlineStr">
        <is>
          <t>176801</t>
        </is>
      </c>
      <c r="B2707" s="2" t="inlineStr"/>
      <c r="C2707" s="2" t="inlineStr">
        <is>
          <t>KIT CARBURADOR MONZA 2.0</t>
        </is>
      </c>
      <c r="D2707" s="2" t="inlineStr">
        <is>
          <t>BROSOL</t>
        </is>
      </c>
      <c r="E2707" s="3" t="n">
        <v>23.0769</v>
      </c>
      <c r="F2707" s="4" t="n">
        <v>0.3</v>
      </c>
      <c r="G2707" s="5">
        <f>ROUND(E2707*(1+F2707),2)</f>
        <v>30.00</v>
      </c>
      <c r="H2707" s="5">
        <f>ROUND(G2707*NOTAS!$B$2,2)</f>
        <v>21640.37</v>
      </c>
      <c r="I2707" s="6">
        <f>ROUND(G2707*NOTAS!$B$3,0)</f>
        <v>97466</v>
      </c>
      <c r="J2707" s="2" t="n">
        <v>2</v>
      </c>
    </row>
    <row r="2708">
      <c r="A2708" s="2" t="inlineStr">
        <is>
          <t>W161/1</t>
        </is>
      </c>
      <c r="B2708" s="2" t="inlineStr"/>
      <c r="C2708" s="2" t="inlineStr">
        <is>
          <t>KIT CARBURADOR R-11</t>
        </is>
      </c>
      <c r="D2708" s="2" t="inlineStr">
        <is>
          <t>PIMAX</t>
        </is>
      </c>
      <c r="E2708" s="3" t="n">
        <v>21.5385</v>
      </c>
      <c r="F2708" s="4" t="n">
        <v>0.3</v>
      </c>
      <c r="G2708" s="5">
        <f>ROUND(E2708*(1+F2708),2)</f>
        <v>28.00</v>
      </c>
      <c r="H2708" s="5">
        <f>ROUND(G2708*NOTAS!$B$2,2)</f>
        <v>20197.68</v>
      </c>
      <c r="I2708" s="6">
        <f>ROUND(G2708*NOTAS!$B$3,0)</f>
        <v>90968</v>
      </c>
      <c r="J2708" s="2" t="n">
        <v>2</v>
      </c>
    </row>
    <row r="2709">
      <c r="A2709" s="2" t="inlineStr">
        <is>
          <t>W527AVG</t>
        </is>
      </c>
      <c r="B2709" s="2" t="inlineStr"/>
      <c r="C2709" s="2" t="inlineStr">
        <is>
          <t>KIT CARBURADOR R-11</t>
        </is>
      </c>
      <c r="D2709" s="2" t="inlineStr">
        <is>
          <t>MEAT DORIA</t>
        </is>
      </c>
      <c r="E2709" s="3" t="n">
        <v>21.5385</v>
      </c>
      <c r="F2709" s="4" t="n">
        <v>0.3</v>
      </c>
      <c r="G2709" s="5">
        <f>ROUND(E2709*(1+F2709),2)</f>
        <v>28.00</v>
      </c>
      <c r="H2709" s="5">
        <f>ROUND(G2709*NOTAS!$B$2,2)</f>
        <v>20197.68</v>
      </c>
      <c r="I2709" s="6">
        <f>ROUND(G2709*NOTAS!$B$3,0)</f>
        <v>90968</v>
      </c>
      <c r="J2709" s="2" t="n">
        <v>25</v>
      </c>
    </row>
    <row r="2710">
      <c r="A2710" s="2" t="inlineStr">
        <is>
          <t>S229/1</t>
        </is>
      </c>
      <c r="B2710" s="2" t="inlineStr"/>
      <c r="C2710" s="2" t="inlineStr">
        <is>
          <t>KIT CARBURADOR R-21</t>
        </is>
      </c>
      <c r="D2710" s="2" t="inlineStr">
        <is>
          <t>PIMAX</t>
        </is>
      </c>
      <c r="E2710" s="3" t="n">
        <v>23.0769</v>
      </c>
      <c r="F2710" s="4" t="n">
        <v>0.3</v>
      </c>
      <c r="G2710" s="5">
        <f>ROUND(E2710*(1+F2710),2)</f>
        <v>30.00</v>
      </c>
      <c r="H2710" s="5">
        <f>ROUND(G2710*NOTAS!$B$2,2)</f>
        <v>21640.37</v>
      </c>
      <c r="I2710" s="6">
        <f>ROUND(G2710*NOTAS!$B$3,0)</f>
        <v>97466</v>
      </c>
      <c r="J2710" s="2" t="n">
        <v>1</v>
      </c>
    </row>
    <row r="2711">
      <c r="A2711" s="2" t="inlineStr">
        <is>
          <t>32176-24A10</t>
        </is>
      </c>
      <c r="B2711" s="2" t="inlineStr"/>
      <c r="C2711" s="2" t="inlineStr">
        <is>
          <t>KIT CARBURADOR SWIFT 1.3</t>
        </is>
      </c>
      <c r="D2711" s="2" t="inlineStr">
        <is>
          <t>CHEVROLET</t>
        </is>
      </c>
      <c r="E2711" s="3" t="n">
        <v>21.5385</v>
      </c>
      <c r="F2711" s="4" t="n">
        <v>0.3</v>
      </c>
      <c r="G2711" s="5">
        <f>ROUND(E2711*(1+F2711),2)</f>
        <v>28.00</v>
      </c>
      <c r="H2711" s="5">
        <f>ROUND(G2711*NOTAS!$B$2,2)</f>
        <v>20197.68</v>
      </c>
      <c r="I2711" s="6">
        <f>ROUND(G2711*NOTAS!$B$3,0)</f>
        <v>90968</v>
      </c>
      <c r="J2711" s="2" t="n">
        <v>5</v>
      </c>
    </row>
    <row r="2712">
      <c r="A2712" s="2" t="inlineStr">
        <is>
          <t>N224E</t>
        </is>
      </c>
      <c r="B2712" s="2" t="inlineStr"/>
      <c r="C2712" s="2" t="inlineStr">
        <is>
          <t>KIT CARBURADOR SWIFT 1.3</t>
        </is>
      </c>
      <c r="D2712" s="2" t="inlineStr">
        <is>
          <t>MEAT DORIA</t>
        </is>
      </c>
      <c r="E2712" s="3" t="n">
        <v>21.5385</v>
      </c>
      <c r="F2712" s="4" t="n">
        <v>0.3</v>
      </c>
      <c r="G2712" s="5">
        <f>ROUND(E2712*(1+F2712),2)</f>
        <v>28.00</v>
      </c>
      <c r="H2712" s="5">
        <f>ROUND(G2712*NOTAS!$B$2,2)</f>
        <v>20197.68</v>
      </c>
      <c r="I2712" s="6">
        <f>ROUND(G2712*NOTAS!$B$3,0)</f>
        <v>90968</v>
      </c>
      <c r="J2712" s="2" t="n">
        <v>1</v>
      </c>
    </row>
    <row r="2713">
      <c r="A2713" s="2" t="inlineStr">
        <is>
          <t>K-610</t>
        </is>
      </c>
      <c r="B2713" s="2" t="inlineStr"/>
      <c r="C2713" s="2" t="inlineStr">
        <is>
          <t>KIT CARBURADOR SWIFT 1.6</t>
        </is>
      </c>
      <c r="D2713" s="2" t="inlineStr">
        <is>
          <t>KEYSTER</t>
        </is>
      </c>
      <c r="E2713" s="3" t="n">
        <v>21.5385</v>
      </c>
      <c r="F2713" s="4" t="n">
        <v>0.3</v>
      </c>
      <c r="G2713" s="5">
        <f>ROUND(E2713*(1+F2713),2)</f>
        <v>28.00</v>
      </c>
      <c r="H2713" s="5">
        <f>ROUND(G2713*NOTAS!$B$2,2)</f>
        <v>20197.68</v>
      </c>
      <c r="I2713" s="6">
        <f>ROUND(G2713*NOTAS!$B$3,0)</f>
        <v>90968</v>
      </c>
      <c r="J2713" s="2" t="n">
        <v>1</v>
      </c>
    </row>
    <row r="2714">
      <c r="A2714" s="2" t="inlineStr">
        <is>
          <t>KD029</t>
        </is>
      </c>
      <c r="B2714" s="2" t="inlineStr"/>
      <c r="C2714" s="2" t="inlineStr">
        <is>
          <t>KIT CORREA DE TIEMPO CORSA/CIELO/LANOS 111DT</t>
        </is>
      </c>
      <c r="D2714" s="2" t="inlineStr">
        <is>
          <t>BWB</t>
        </is>
      </c>
      <c r="E2714" s="3" t="n">
        <v>20</v>
      </c>
      <c r="F2714" s="4" t="n">
        <v>0.3</v>
      </c>
      <c r="G2714" s="5">
        <f>ROUND(E2714*(1+F2714),2)</f>
        <v>26.00</v>
      </c>
      <c r="H2714" s="5">
        <f>ROUND(G2714*NOTAS!$B$2,2)</f>
        <v>18754.99</v>
      </c>
      <c r="I2714" s="6">
        <f>ROUND(G2714*NOTAS!$B$3,0)</f>
        <v>84471</v>
      </c>
      <c r="J2714" s="2" t="n">
        <v>2</v>
      </c>
    </row>
    <row r="2715">
      <c r="A2715" s="2" t="inlineStr">
        <is>
          <t>KTC775776</t>
        </is>
      </c>
      <c r="B2715" s="2" t="inlineStr"/>
      <c r="C2715" s="2" t="inlineStr">
        <is>
          <t>KIT CORREA DE TIEMPO OPTRA LIMITED 169DT</t>
        </is>
      </c>
      <c r="D2715" s="2" t="inlineStr">
        <is>
          <t>EUROBERING</t>
        </is>
      </c>
      <c r="E2715" s="3" t="n">
        <v>64</v>
      </c>
      <c r="F2715" s="4" t="n">
        <v>0.3</v>
      </c>
      <c r="G2715" s="5">
        <f>ROUND(E2715*(1+F2715),2)</f>
        <v>83.20</v>
      </c>
      <c r="H2715" s="5">
        <f>ROUND(G2715*NOTAS!$B$2,2)</f>
        <v>60015.95</v>
      </c>
      <c r="I2715" s="6">
        <f>ROUND(G2715*NOTAS!$B$3,0)</f>
        <v>270306</v>
      </c>
      <c r="J2715" s="2" t="n">
        <v>1</v>
      </c>
    </row>
    <row r="2716">
      <c r="A2716" s="2" t="inlineStr">
        <is>
          <t>93744706</t>
        </is>
      </c>
      <c r="B2716" s="2" t="inlineStr"/>
      <c r="C2716" s="2" t="inlineStr">
        <is>
          <t>KIT CORREA DE TIEMPO OPTRA LIMITED 169DT</t>
        </is>
      </c>
      <c r="D2716" s="2" t="inlineStr">
        <is>
          <t>GM</t>
        </is>
      </c>
      <c r="E2716" s="3" t="n">
        <v>80</v>
      </c>
      <c r="F2716" s="4" t="n">
        <v>0.3</v>
      </c>
      <c r="G2716" s="5">
        <f>ROUND(E2716*(1+F2716),2)</f>
        <v>104.00</v>
      </c>
      <c r="H2716" s="5">
        <f>ROUND(G2716*NOTAS!$B$2,2)</f>
        <v>75019.94</v>
      </c>
      <c r="I2716" s="6">
        <f>ROUND(G2716*NOTAS!$B$3,0)</f>
        <v>337882</v>
      </c>
      <c r="J2716" s="2" t="n">
        <v>1</v>
      </c>
    </row>
    <row r="2717">
      <c r="A2717" s="2" t="inlineStr">
        <is>
          <t>93174261</t>
        </is>
      </c>
      <c r="B2717" s="2" t="inlineStr"/>
      <c r="C2717" s="2" t="inlineStr">
        <is>
          <t>KIT CORREA DE TIEMPO OPTRA LIMITED 169DT</t>
        </is>
      </c>
      <c r="D2717" s="2" t="inlineStr">
        <is>
          <t>GM</t>
        </is>
      </c>
      <c r="E2717" s="3" t="n">
        <v>80</v>
      </c>
      <c r="F2717" s="4" t="n">
        <v>0.3</v>
      </c>
      <c r="G2717" s="5">
        <f>ROUND(E2717*(1+F2717),2)</f>
        <v>104.00</v>
      </c>
      <c r="H2717" s="5">
        <f>ROUND(G2717*NOTAS!$B$2,2)</f>
        <v>75019.94</v>
      </c>
      <c r="I2717" s="6">
        <f>ROUND(G2717*NOTAS!$B$3,0)</f>
        <v>337882</v>
      </c>
      <c r="J2717" s="2" t="n">
        <v>1</v>
      </c>
    </row>
    <row r="2718">
      <c r="A2718" s="2" t="inlineStr">
        <is>
          <t>KTC702</t>
        </is>
      </c>
      <c r="B2718" s="2" t="inlineStr"/>
      <c r="C2718" s="2" t="inlineStr">
        <is>
          <t>KIT CORREA DE TIEMPO R-19 1.4 ENERGY 95DT</t>
        </is>
      </c>
      <c r="D2718" s="2" t="inlineStr">
        <is>
          <t>EUROBERING</t>
        </is>
      </c>
      <c r="E2718" s="3" t="n">
        <v>30</v>
      </c>
      <c r="F2718" s="4" t="n">
        <v>0.3</v>
      </c>
      <c r="G2718" s="5">
        <f>ROUND(E2718*(1+F2718),2)</f>
        <v>39.00</v>
      </c>
      <c r="H2718" s="5">
        <f>ROUND(G2718*NOTAS!$B$2,2)</f>
        <v>28132.48</v>
      </c>
      <c r="I2718" s="6">
        <f>ROUND(G2718*NOTAS!$B$3,0)</f>
        <v>126706</v>
      </c>
      <c r="J2718" s="2" t="n">
        <v>6</v>
      </c>
    </row>
    <row r="2719">
      <c r="A2719" s="2" t="inlineStr">
        <is>
          <t>ATK1117</t>
        </is>
      </c>
      <c r="B2719" s="2" t="inlineStr"/>
      <c r="C2719" s="2" t="inlineStr">
        <is>
          <t>KIT CORREA DE TIEMPO R-SYMBOL/LOGAN 8V 96DT</t>
        </is>
      </c>
      <c r="D2719" s="2" t="inlineStr">
        <is>
          <t>AUTOMOTOR</t>
        </is>
      </c>
      <c r="E2719" s="3" t="n">
        <v>40</v>
      </c>
      <c r="F2719" s="4" t="n">
        <v>0.3</v>
      </c>
      <c r="G2719" s="5">
        <f>ROUND(E2719*(1+F2719),2)</f>
        <v>52.00</v>
      </c>
      <c r="H2719" s="5">
        <f>ROUND(G2719*NOTAS!$B$2,2)</f>
        <v>37509.97</v>
      </c>
      <c r="I2719" s="6">
        <f>ROUND(G2719*NOTAS!$B$3,0)</f>
        <v>168941</v>
      </c>
      <c r="J2719" s="2" t="n">
        <v>1</v>
      </c>
    </row>
    <row r="2720">
      <c r="A2720" s="2" t="inlineStr">
        <is>
          <t>KTC702.87</t>
        </is>
      </c>
      <c r="B2720" s="2" t="inlineStr"/>
      <c r="C2720" s="2" t="inlineStr">
        <is>
          <t>KIT CORREA DE TIEMPO R-TWINGO 8V 87DT</t>
        </is>
      </c>
      <c r="D2720" s="2" t="inlineStr">
        <is>
          <t>EUROBERING</t>
        </is>
      </c>
      <c r="E2720" s="3" t="n">
        <v>36</v>
      </c>
      <c r="F2720" s="4" t="n">
        <v>0.3</v>
      </c>
      <c r="G2720" s="5">
        <f>ROUND(E2720*(1+F2720),2)</f>
        <v>46.80</v>
      </c>
      <c r="H2720" s="5">
        <f>ROUND(G2720*NOTAS!$B$2,2)</f>
        <v>33758.97</v>
      </c>
      <c r="I2720" s="6">
        <f>ROUND(G2720*NOTAS!$B$3,0)</f>
        <v>152047</v>
      </c>
      <c r="J2720" s="2" t="n">
        <v>1</v>
      </c>
    </row>
    <row r="2721">
      <c r="A2721" s="2" t="inlineStr">
        <is>
          <t>ATK1061</t>
        </is>
      </c>
      <c r="B2721" s="2" t="inlineStr"/>
      <c r="C2721" s="2" t="inlineStr">
        <is>
          <t>KIT CORREA DE TIEMPO R-TWINGO 8V 87DT</t>
        </is>
      </c>
      <c r="D2721" s="2" t="inlineStr">
        <is>
          <t>AUTOMOTOR</t>
        </is>
      </c>
      <c r="E2721" s="3" t="n">
        <v>40</v>
      </c>
      <c r="F2721" s="4" t="n">
        <v>0.3</v>
      </c>
      <c r="G2721" s="5">
        <f>ROUND(E2721*(1+F2721),2)</f>
        <v>52.00</v>
      </c>
      <c r="H2721" s="5">
        <f>ROUND(G2721*NOTAS!$B$2,2)</f>
        <v>37509.97</v>
      </c>
      <c r="I2721" s="6">
        <f>ROUND(G2721*NOTAS!$B$3,0)</f>
        <v>168941</v>
      </c>
      <c r="J2721" s="2" t="n">
        <v>1</v>
      </c>
    </row>
    <row r="2722">
      <c r="A2722" s="2" t="inlineStr">
        <is>
          <t>KDBK-109YU25</t>
        </is>
      </c>
      <c r="B2722" s="2" t="inlineStr"/>
      <c r="C2722" s="2" t="inlineStr">
        <is>
          <t>KIT CORREA DE TIEMPO SPARK 109DT</t>
        </is>
      </c>
      <c r="D2722" s="2" t="inlineStr">
        <is>
          <t>PARTS-MALL</t>
        </is>
      </c>
      <c r="E2722" s="3" t="n">
        <v>21.07</v>
      </c>
      <c r="F2722" s="4" t="n">
        <v>0.3</v>
      </c>
      <c r="G2722" s="5">
        <f>ROUND(E2722*(1+F2722),2)</f>
        <v>27.39</v>
      </c>
      <c r="H2722" s="5">
        <f>ROUND(G2722*NOTAS!$B$2,2)</f>
        <v>19757.66</v>
      </c>
      <c r="I2722" s="6">
        <f>ROUND(G2722*NOTAS!$B$3,0)</f>
        <v>88987</v>
      </c>
      <c r="J2722" s="2" t="n">
        <v>1</v>
      </c>
    </row>
    <row r="2723">
      <c r="A2723" s="2" t="inlineStr">
        <is>
          <t>620.2086.00</t>
        </is>
      </c>
      <c r="B2723" s="2" t="inlineStr"/>
      <c r="C2723" s="2" t="inlineStr">
        <is>
          <t>KIT DE EMBRAGUE AVEO 1.6</t>
        </is>
      </c>
      <c r="D2723" s="2" t="inlineStr">
        <is>
          <t>LUK</t>
        </is>
      </c>
      <c r="E2723" s="3" t="n">
        <v>110</v>
      </c>
      <c r="F2723" s="4" t="n">
        <v>0.3</v>
      </c>
      <c r="G2723" s="5">
        <f>ROUND(E2723*(1+F2723),2)</f>
        <v>143.00</v>
      </c>
      <c r="H2723" s="5">
        <f>ROUND(G2723*NOTAS!$B$2,2)</f>
        <v>103152.42</v>
      </c>
      <c r="I2723" s="6">
        <f>ROUND(G2723*NOTAS!$B$3,0)</f>
        <v>464588</v>
      </c>
      <c r="J2723" s="2" t="n">
        <v>11</v>
      </c>
    </row>
    <row r="2724">
      <c r="A2724" s="2" t="inlineStr">
        <is>
          <t>ACD000049</t>
        </is>
      </c>
      <c r="B2724" s="2" t="inlineStr"/>
      <c r="C2724" s="2" t="inlineStr">
        <is>
          <t>KIT DE EMBRAGUE AVEO 1.6</t>
        </is>
      </c>
      <c r="D2724" s="2" t="inlineStr">
        <is>
          <t>ACDELCO</t>
        </is>
      </c>
      <c r="E2724" s="3" t="n">
        <v>90</v>
      </c>
      <c r="F2724" s="4" t="n">
        <v>0.3</v>
      </c>
      <c r="G2724" s="5">
        <f>ROUND(E2724*(1+F2724),2)</f>
        <v>117.00</v>
      </c>
      <c r="H2724" s="5">
        <f>ROUND(G2724*NOTAS!$B$2,2)</f>
        <v>84397.44</v>
      </c>
      <c r="I2724" s="6">
        <f>ROUND(G2724*NOTAS!$B$3,0)</f>
        <v>380118</v>
      </c>
      <c r="J2724" s="2" t="n">
        <v>2</v>
      </c>
    </row>
    <row r="2725">
      <c r="A2725" s="2" t="inlineStr">
        <is>
          <t>620.3026.00</t>
        </is>
      </c>
      <c r="B2725" s="2" t="inlineStr"/>
      <c r="C2725" s="2" t="inlineStr">
        <is>
          <t>KIT DE EMBRAGUE CHEVETTE</t>
        </is>
      </c>
      <c r="D2725" s="2" t="inlineStr">
        <is>
          <t>LUK</t>
        </is>
      </c>
      <c r="E2725" s="3" t="n">
        <v>100</v>
      </c>
      <c r="F2725" s="4" t="n">
        <v>0.3</v>
      </c>
      <c r="G2725" s="5">
        <f>ROUND(E2725*(1+F2725),2)</f>
        <v>130.00</v>
      </c>
      <c r="H2725" s="5">
        <f>ROUND(G2725*NOTAS!$B$2,2)</f>
        <v>93774.93</v>
      </c>
      <c r="I2725" s="6">
        <f>ROUND(G2725*NOTAS!$B$3,0)</f>
        <v>422353</v>
      </c>
      <c r="J2725" s="2" t="n">
        <v>11</v>
      </c>
    </row>
    <row r="2726">
      <c r="A2726" s="2" t="inlineStr">
        <is>
          <t>DWK-004</t>
        </is>
      </c>
      <c r="B2726" s="2" t="inlineStr"/>
      <c r="C2726" s="2" t="inlineStr">
        <is>
          <t>KIT DE EMBRAGUE CIELO/LANOS 1.5 disco oxidado</t>
        </is>
      </c>
      <c r="D2726" s="2" t="inlineStr">
        <is>
          <t>PHC VALEO</t>
        </is>
      </c>
      <c r="E2726" s="3" t="n">
        <v>120</v>
      </c>
      <c r="F2726" s="4" t="n">
        <v>0.3</v>
      </c>
      <c r="G2726" s="5">
        <f>ROUND(E2726*(1+F2726),2)</f>
        <v>156.00</v>
      </c>
      <c r="H2726" s="5">
        <f>ROUND(G2726*NOTAS!$B$2,2)</f>
        <v>112529.91</v>
      </c>
      <c r="I2726" s="6">
        <f>ROUND(G2726*NOTAS!$B$3,0)</f>
        <v>506824</v>
      </c>
      <c r="J2726" s="2" t="n">
        <v>27</v>
      </c>
    </row>
    <row r="2727">
      <c r="A2727" s="2" t="inlineStr">
        <is>
          <t>620.3236.00</t>
        </is>
      </c>
      <c r="B2727" s="2" t="inlineStr"/>
      <c r="C2727" s="2" t="inlineStr">
        <is>
          <t>KIT DE EMBRAGUE CORSA 1.3/1.4</t>
        </is>
      </c>
      <c r="D2727" s="2" t="inlineStr">
        <is>
          <t>LUK</t>
        </is>
      </c>
      <c r="E2727" s="3" t="n">
        <v>110</v>
      </c>
      <c r="F2727" s="4" t="n">
        <v>0.3</v>
      </c>
      <c r="G2727" s="5">
        <f>ROUND(E2727*(1+F2727),2)</f>
        <v>143.00</v>
      </c>
      <c r="H2727" s="5">
        <f>ROUND(G2727*NOTAS!$B$2,2)</f>
        <v>103152.42</v>
      </c>
      <c r="I2727" s="6">
        <f>ROUND(G2727*NOTAS!$B$3,0)</f>
        <v>464588</v>
      </c>
      <c r="J2727" s="2" t="n">
        <v>1</v>
      </c>
    </row>
    <row r="2728">
      <c r="A2728" s="2" t="inlineStr">
        <is>
          <t>620.3027.00</t>
        </is>
      </c>
      <c r="B2728" s="2" t="inlineStr"/>
      <c r="C2728" s="2" t="inlineStr">
        <is>
          <t>KIT DE EMBRAGUE CORSA 1.6</t>
        </is>
      </c>
      <c r="D2728" s="2" t="inlineStr">
        <is>
          <t>LUK</t>
        </is>
      </c>
      <c r="E2728" s="3" t="n">
        <v>110</v>
      </c>
      <c r="F2728" s="4" t="n">
        <v>0.3</v>
      </c>
      <c r="G2728" s="5">
        <f>ROUND(E2728*(1+F2728),2)</f>
        <v>143.00</v>
      </c>
      <c r="H2728" s="5">
        <f>ROUND(G2728*NOTAS!$B$2,2)</f>
        <v>103152.42</v>
      </c>
      <c r="I2728" s="6">
        <f>ROUND(G2728*NOTAS!$B$3,0)</f>
        <v>464588</v>
      </c>
      <c r="J2728" s="2" t="n">
        <v>23</v>
      </c>
    </row>
    <row r="2729">
      <c r="A2729" s="2" t="inlineStr">
        <is>
          <t>19103292</t>
        </is>
      </c>
      <c r="B2729" s="2" t="inlineStr"/>
      <c r="C2729" s="2" t="inlineStr">
        <is>
          <t>KIT DE EMBRAGUE CORSA 1.6</t>
        </is>
      </c>
      <c r="D2729" s="2" t="inlineStr">
        <is>
          <t>ACDELCO</t>
        </is>
      </c>
      <c r="E2729" s="3" t="n">
        <v>90</v>
      </c>
      <c r="F2729" s="4" t="n">
        <v>0.3</v>
      </c>
      <c r="G2729" s="5">
        <f>ROUND(E2729*(1+F2729),2)</f>
        <v>117.00</v>
      </c>
      <c r="H2729" s="5">
        <f>ROUND(G2729*NOTAS!$B$2,2)</f>
        <v>84397.44</v>
      </c>
      <c r="I2729" s="6">
        <f>ROUND(G2729*NOTAS!$B$3,0)</f>
        <v>380118</v>
      </c>
      <c r="J2729" s="2" t="n">
        <v>1</v>
      </c>
    </row>
    <row r="2730">
      <c r="A2730" s="2" t="inlineStr">
        <is>
          <t>9324287-1.6</t>
        </is>
      </c>
      <c r="B2730" s="2" t="inlineStr"/>
      <c r="C2730" s="2" t="inlineStr">
        <is>
          <t>KIT DE EMBRAGUE CORSA 1.6</t>
        </is>
      </c>
      <c r="D2730" s="2" t="inlineStr">
        <is>
          <t>KAPARS</t>
        </is>
      </c>
      <c r="E2730" s="3" t="n">
        <v>70</v>
      </c>
      <c r="F2730" s="4" t="n">
        <v>0.3</v>
      </c>
      <c r="G2730" s="5">
        <f>ROUND(E2730*(1+F2730),2)</f>
        <v>91.00</v>
      </c>
      <c r="H2730" s="5">
        <f>ROUND(G2730*NOTAS!$B$2,2)</f>
        <v>65642.45</v>
      </c>
      <c r="I2730" s="6">
        <f>ROUND(G2730*NOTAS!$B$3,0)</f>
        <v>295647</v>
      </c>
      <c r="J2730" s="2" t="n">
        <v>1</v>
      </c>
    </row>
    <row r="2731">
      <c r="A2731" s="2" t="inlineStr">
        <is>
          <t>K9568-01</t>
        </is>
      </c>
      <c r="B2731" s="2" t="inlineStr"/>
      <c r="C2731" s="2" t="inlineStr">
        <is>
          <t>KIT DE EMBRAGUE ECOSPORT 2.0</t>
        </is>
      </c>
      <c r="D2731" s="2" t="inlineStr">
        <is>
          <t>SACHS</t>
        </is>
      </c>
      <c r="E2731" s="3" t="n">
        <v>110</v>
      </c>
      <c r="F2731" s="4" t="n">
        <v>0.3</v>
      </c>
      <c r="G2731" s="5">
        <f>ROUND(E2731*(1+F2731),2)</f>
        <v>143.00</v>
      </c>
      <c r="H2731" s="5">
        <f>ROUND(G2731*NOTAS!$B$2,2)</f>
        <v>103152.42</v>
      </c>
      <c r="I2731" s="6">
        <f>ROUND(G2731*NOTAS!$B$3,0)</f>
        <v>464588</v>
      </c>
      <c r="J2731" s="2" t="n">
        <v>2</v>
      </c>
    </row>
    <row r="2732">
      <c r="A2732" s="2" t="inlineStr">
        <is>
          <t>618.3011.00</t>
        </is>
      </c>
      <c r="B2732" s="2" t="inlineStr"/>
      <c r="C2732" s="2" t="inlineStr">
        <is>
          <t>KIT DE EMBRAGUE F-147/UNO 1.3</t>
        </is>
      </c>
      <c r="D2732" s="2" t="inlineStr">
        <is>
          <t>LUK</t>
        </is>
      </c>
      <c r="E2732" s="3" t="n">
        <v>85</v>
      </c>
      <c r="F2732" s="4" t="n">
        <v>0.3</v>
      </c>
      <c r="G2732" s="5">
        <f>ROUND(E2732*(1+F2732),2)</f>
        <v>110.50</v>
      </c>
      <c r="H2732" s="5">
        <f>ROUND(G2732*NOTAS!$B$2,2)</f>
        <v>79708.69</v>
      </c>
      <c r="I2732" s="6">
        <f>ROUND(G2732*NOTAS!$B$3,0)</f>
        <v>359000</v>
      </c>
      <c r="J2732" s="2" t="n">
        <v>8</v>
      </c>
    </row>
    <row r="2733">
      <c r="A2733" s="2" t="inlineStr">
        <is>
          <t>618.3012.00</t>
        </is>
      </c>
      <c r="B2733" s="2" t="inlineStr"/>
      <c r="C2733" s="2" t="inlineStr">
        <is>
          <t>KIT DE EMBRAGUE F-147/UNO 1.3</t>
        </is>
      </c>
      <c r="D2733" s="2" t="inlineStr">
        <is>
          <t>LUK</t>
        </is>
      </c>
      <c r="E2733" s="3" t="n">
        <v>85</v>
      </c>
      <c r="F2733" s="4" t="n">
        <v>0.3</v>
      </c>
      <c r="G2733" s="5">
        <f>ROUND(E2733*(1+F2733),2)</f>
        <v>110.50</v>
      </c>
      <c r="H2733" s="5">
        <f>ROUND(G2733*NOTAS!$B$2,2)</f>
        <v>79708.69</v>
      </c>
      <c r="I2733" s="6">
        <f>ROUND(G2733*NOTAS!$B$3,0)</f>
        <v>359000</v>
      </c>
      <c r="J2733" s="2" t="n">
        <v>7</v>
      </c>
    </row>
    <row r="2734">
      <c r="A2734" s="2" t="inlineStr">
        <is>
          <t>620.3100.33</t>
        </is>
      </c>
      <c r="B2734" s="2" t="inlineStr"/>
      <c r="C2734" s="2" t="inlineStr">
        <is>
          <t xml:space="preserve">KIT DE EMBRAGUE FIESTA/KA 1.6 </t>
        </is>
      </c>
      <c r="D2734" s="2" t="inlineStr">
        <is>
          <t>LUK</t>
        </is>
      </c>
      <c r="E2734" s="3" t="n">
        <v>150</v>
      </c>
      <c r="F2734" s="4" t="n">
        <v>0.3</v>
      </c>
      <c r="G2734" s="5">
        <f>ROUND(E2734*(1+F2734),2)</f>
        <v>195.00</v>
      </c>
      <c r="H2734" s="5">
        <f>ROUND(G2734*NOTAS!$B$2,2)</f>
        <v>140662.39</v>
      </c>
      <c r="I2734" s="6">
        <f>ROUND(G2734*NOTAS!$B$3,0)</f>
        <v>633530</v>
      </c>
      <c r="J2734" s="2" t="n">
        <v>9</v>
      </c>
    </row>
    <row r="2735">
      <c r="A2735" s="2" t="inlineStr">
        <is>
          <t>K1121SC-01</t>
        </is>
      </c>
      <c r="B2735" s="2" t="inlineStr"/>
      <c r="C2735" s="2" t="inlineStr">
        <is>
          <t>KIT DE EMBRAGUE FIESTA/KA 1.6 PLATO Y DISCO</t>
        </is>
      </c>
      <c r="D2735" s="2" t="inlineStr">
        <is>
          <t>SACHS</t>
        </is>
      </c>
      <c r="E2735" s="3" t="n">
        <v>90</v>
      </c>
      <c r="F2735" s="4" t="n">
        <v>0.3</v>
      </c>
      <c r="G2735" s="5">
        <f>ROUND(E2735*(1+F2735),2)</f>
        <v>117.00</v>
      </c>
      <c r="H2735" s="5">
        <f>ROUND(G2735*NOTAS!$B$2,2)</f>
        <v>84397.44</v>
      </c>
      <c r="I2735" s="6">
        <f>ROUND(G2735*NOTAS!$B$3,0)</f>
        <v>380118</v>
      </c>
      <c r="J2735" s="2" t="n">
        <v>3</v>
      </c>
    </row>
    <row r="2736">
      <c r="A2736" s="2" t="inlineStr">
        <is>
          <t>1094785</t>
        </is>
      </c>
      <c r="B2736" s="2" t="inlineStr">
        <is>
          <t>XS617540AB</t>
        </is>
      </c>
      <c r="C2736" s="2" t="inlineStr">
        <is>
          <t>KIT DE EMBRAGUE FIESTA/KA 1.6 PLATO Y DISCO</t>
        </is>
      </c>
      <c r="D2736" s="2" t="inlineStr">
        <is>
          <t>FORD</t>
        </is>
      </c>
      <c r="E2736" s="3" t="n">
        <v>90</v>
      </c>
      <c r="F2736" s="4" t="n">
        <v>0.3</v>
      </c>
      <c r="G2736" s="5">
        <f>ROUND(E2736*(1+F2736),2)</f>
        <v>117.00</v>
      </c>
      <c r="H2736" s="5">
        <f>ROUND(G2736*NOTAS!$B$2,2)</f>
        <v>84397.44</v>
      </c>
      <c r="I2736" s="6">
        <f>ROUND(G2736*NOTAS!$B$3,0)</f>
        <v>380118</v>
      </c>
      <c r="J2736" s="2" t="n">
        <v>2</v>
      </c>
    </row>
    <row r="2737">
      <c r="A2737" s="2" t="inlineStr">
        <is>
          <t>620.3032.00</t>
        </is>
      </c>
      <c r="B2737" s="2" t="inlineStr"/>
      <c r="C2737" s="2" t="inlineStr">
        <is>
          <t>KIT DE EMBRAGUE F-PALIO/SIENA 1.6 16V</t>
        </is>
      </c>
      <c r="D2737" s="2" t="inlineStr">
        <is>
          <t>LUK</t>
        </is>
      </c>
      <c r="E2737" s="3" t="n">
        <v>110</v>
      </c>
      <c r="F2737" s="4" t="n">
        <v>0.3</v>
      </c>
      <c r="G2737" s="5">
        <f>ROUND(E2737*(1+F2737),2)</f>
        <v>143.00</v>
      </c>
      <c r="H2737" s="5">
        <f>ROUND(G2737*NOTAS!$B$2,2)</f>
        <v>103152.42</v>
      </c>
      <c r="I2737" s="6">
        <f>ROUND(G2737*NOTAS!$B$3,0)</f>
        <v>464588</v>
      </c>
      <c r="J2737" s="2" t="n">
        <v>3</v>
      </c>
    </row>
    <row r="2738">
      <c r="A2738" s="2" t="inlineStr">
        <is>
          <t>6053</t>
        </is>
      </c>
      <c r="B2738" s="2" t="inlineStr"/>
      <c r="C2738" s="2" t="inlineStr">
        <is>
          <t>KIT DE EMBRAGUE F-PALIO/SIENA 1.6 16V</t>
        </is>
      </c>
      <c r="D2738" s="2" t="inlineStr">
        <is>
          <t>SACHS</t>
        </is>
      </c>
      <c r="E2738" s="3" t="n">
        <v>110</v>
      </c>
      <c r="F2738" s="4" t="n">
        <v>0.3</v>
      </c>
      <c r="G2738" s="5">
        <f>ROUND(E2738*(1+F2738),2)</f>
        <v>143.00</v>
      </c>
      <c r="H2738" s="5">
        <f>ROUND(G2738*NOTAS!$B$2,2)</f>
        <v>103152.42</v>
      </c>
      <c r="I2738" s="6">
        <f>ROUND(G2738*NOTAS!$B$3,0)</f>
        <v>464588</v>
      </c>
      <c r="J2738" s="2" t="n">
        <v>1</v>
      </c>
    </row>
    <row r="2739">
      <c r="A2739" s="2" t="inlineStr"/>
      <c r="B2739" s="2" t="inlineStr"/>
      <c r="C2739" s="2" t="inlineStr">
        <is>
          <t>KIT DE EMBRAGUE F-PALIO/SIENA 1.6 16V SIN COLLARIN SIN CAJA</t>
        </is>
      </c>
      <c r="D2739" s="2" t="inlineStr">
        <is>
          <t>SACHS</t>
        </is>
      </c>
      <c r="E2739" s="3" t="n">
        <v>80</v>
      </c>
      <c r="F2739" s="4" t="n">
        <v>0.3</v>
      </c>
      <c r="G2739" s="5">
        <f>ROUND(E2739*(1+F2739),2)</f>
        <v>104.00</v>
      </c>
      <c r="H2739" s="5">
        <f>ROUND(G2739*NOTAS!$B$2,2)</f>
        <v>75019.94</v>
      </c>
      <c r="I2739" s="6">
        <f>ROUND(G2739*NOTAS!$B$3,0)</f>
        <v>337882</v>
      </c>
      <c r="J2739" s="2" t="n">
        <v>1</v>
      </c>
    </row>
    <row r="2740">
      <c r="A2740" s="2" t="inlineStr">
        <is>
          <t>621.3036.33</t>
        </is>
      </c>
      <c r="B2740" s="2" t="inlineStr"/>
      <c r="C2740" s="2" t="inlineStr">
        <is>
          <t>KIT DE EMBRAGUE F-PALIO/SIENA 1.8</t>
        </is>
      </c>
      <c r="D2740" s="2" t="inlineStr">
        <is>
          <t>LUK</t>
        </is>
      </c>
      <c r="E2740" s="3" t="n">
        <v>200</v>
      </c>
      <c r="F2740" s="4" t="n">
        <v>0.3</v>
      </c>
      <c r="G2740" s="5">
        <f>ROUND(E2740*(1+F2740),2)</f>
        <v>260.00</v>
      </c>
      <c r="H2740" s="5">
        <f>ROUND(G2740*NOTAS!$B$2,2)</f>
        <v>187549.86</v>
      </c>
      <c r="I2740" s="6">
        <f>ROUND(G2740*NOTAS!$B$3,0)</f>
        <v>844706</v>
      </c>
      <c r="J2740" s="2" t="n">
        <v>1</v>
      </c>
    </row>
    <row r="2741">
      <c r="A2741" s="2" t="inlineStr">
        <is>
          <t>619.3011.00</t>
        </is>
      </c>
      <c r="B2741" s="2" t="inlineStr"/>
      <c r="C2741" s="2" t="inlineStr">
        <is>
          <t xml:space="preserve">KIT DE EMBRAGUE F-TEMPRA/PALIO/SIENA 1.6 </t>
        </is>
      </c>
      <c r="D2741" s="2" t="inlineStr">
        <is>
          <t>LUK</t>
        </is>
      </c>
      <c r="E2741" s="3" t="n">
        <v>100</v>
      </c>
      <c r="F2741" s="4" t="n">
        <v>0.3</v>
      </c>
      <c r="G2741" s="5">
        <f>ROUND(E2741*(1+F2741),2)</f>
        <v>130.00</v>
      </c>
      <c r="H2741" s="5">
        <f>ROUND(G2741*NOTAS!$B$2,2)</f>
        <v>93774.93</v>
      </c>
      <c r="I2741" s="6">
        <f>ROUND(G2741*NOTAS!$B$3,0)</f>
        <v>422353</v>
      </c>
      <c r="J2741" s="2" t="n">
        <v>3</v>
      </c>
    </row>
    <row r="2742">
      <c r="A2742" s="2" t="inlineStr">
        <is>
          <t>KIK-017</t>
        </is>
      </c>
      <c r="B2742" s="2" t="inlineStr"/>
      <c r="C2742" s="2" t="inlineStr">
        <is>
          <t xml:space="preserve">KIT DE EMBRAGUE KIA RIO 1.5 </t>
        </is>
      </c>
      <c r="D2742" s="2" t="inlineStr">
        <is>
          <t>PHC VALEO</t>
        </is>
      </c>
      <c r="E2742" s="3" t="n">
        <v>130</v>
      </c>
      <c r="F2742" s="4" t="n">
        <v>0.3</v>
      </c>
      <c r="G2742" s="5">
        <f>ROUND(E2742*(1+F2742),2)</f>
        <v>169.00</v>
      </c>
      <c r="H2742" s="5">
        <f>ROUND(G2742*NOTAS!$B$2,2)</f>
        <v>121907.41</v>
      </c>
      <c r="I2742" s="6">
        <f>ROUND(G2742*NOTAS!$B$3,0)</f>
        <v>549059</v>
      </c>
      <c r="J2742" s="2" t="n">
        <v>2</v>
      </c>
    </row>
    <row r="2743">
      <c r="A2743" s="2" t="inlineStr">
        <is>
          <t>DWK-019</t>
        </is>
      </c>
      <c r="B2743" s="2" t="inlineStr"/>
      <c r="C2743" s="2" t="inlineStr">
        <is>
          <t>KIT DE EMBRAGUE OPTRA 1.8</t>
        </is>
      </c>
      <c r="D2743" s="2" t="inlineStr">
        <is>
          <t>PHC VALEO</t>
        </is>
      </c>
      <c r="E2743" s="3" t="n">
        <v>120</v>
      </c>
      <c r="F2743" s="4" t="n">
        <v>0.3</v>
      </c>
      <c r="G2743" s="5">
        <f>ROUND(E2743*(1+F2743),2)</f>
        <v>156.00</v>
      </c>
      <c r="H2743" s="5">
        <f>ROUND(G2743*NOTAS!$B$2,2)</f>
        <v>112529.91</v>
      </c>
      <c r="I2743" s="6">
        <f>ROUND(G2743*NOTAS!$B$3,0)</f>
        <v>506824</v>
      </c>
      <c r="J2743" s="2" t="n">
        <v>2</v>
      </c>
    </row>
    <row r="2744">
      <c r="A2744" s="2" t="inlineStr">
        <is>
          <t>180400</t>
        </is>
      </c>
      <c r="B2744" s="2" t="inlineStr"/>
      <c r="C2744" s="2" t="inlineStr">
        <is>
          <t>KIT DE EMBRAGUE R-11/19 1.4</t>
        </is>
      </c>
      <c r="D2744" s="2" t="inlineStr">
        <is>
          <t>MAPA</t>
        </is>
      </c>
      <c r="E2744" s="3" t="n">
        <v>80</v>
      </c>
      <c r="F2744" s="4" t="n">
        <v>0.3</v>
      </c>
      <c r="G2744" s="5">
        <f>ROUND(E2744*(1+F2744),2)</f>
        <v>104.00</v>
      </c>
      <c r="H2744" s="5">
        <f>ROUND(G2744*NOTAS!$B$2,2)</f>
        <v>75019.94</v>
      </c>
      <c r="I2744" s="6">
        <f>ROUND(G2744*NOTAS!$B$3,0)</f>
        <v>337882</v>
      </c>
      <c r="J2744" s="2" t="n">
        <v>1</v>
      </c>
    </row>
    <row r="2745">
      <c r="A2745" s="2" t="inlineStr">
        <is>
          <t>7711130002</t>
        </is>
      </c>
      <c r="B2745" s="2" t="inlineStr"/>
      <c r="C2745" s="2" t="inlineStr">
        <is>
          <t>KIT DE EMBRAGUE R-11/19 1.4</t>
        </is>
      </c>
      <c r="D2745" s="2" t="inlineStr">
        <is>
          <t>RENAULT</t>
        </is>
      </c>
      <c r="E2745" s="3" t="n">
        <v>110</v>
      </c>
      <c r="F2745" s="4" t="n">
        <v>0.3</v>
      </c>
      <c r="G2745" s="5">
        <f>ROUND(E2745*(1+F2745),2)</f>
        <v>143.00</v>
      </c>
      <c r="H2745" s="5">
        <f>ROUND(G2745*NOTAS!$B$2,2)</f>
        <v>103152.42</v>
      </c>
      <c r="I2745" s="6">
        <f>ROUND(G2745*NOTAS!$B$3,0)</f>
        <v>464588</v>
      </c>
      <c r="J2745" s="2" t="n">
        <v>1</v>
      </c>
    </row>
    <row r="2746">
      <c r="A2746" s="2" t="inlineStr">
        <is>
          <t>618.3015.00</t>
        </is>
      </c>
      <c r="B2746" s="2" t="inlineStr"/>
      <c r="C2746" s="2" t="inlineStr">
        <is>
          <t>KIT DE EMBRAGUE R-11/19 1.4</t>
        </is>
      </c>
      <c r="D2746" s="2" t="inlineStr">
        <is>
          <t>LUK</t>
        </is>
      </c>
      <c r="E2746" s="3" t="n">
        <v>110</v>
      </c>
      <c r="F2746" s="4" t="n">
        <v>0.3</v>
      </c>
      <c r="G2746" s="5">
        <f>ROUND(E2746*(1+F2746),2)</f>
        <v>143.00</v>
      </c>
      <c r="H2746" s="5">
        <f>ROUND(G2746*NOTAS!$B$2,2)</f>
        <v>103152.42</v>
      </c>
      <c r="I2746" s="6">
        <f>ROUND(G2746*NOTAS!$B$3,0)</f>
        <v>464588</v>
      </c>
      <c r="J2746" s="2" t="n">
        <v>3</v>
      </c>
    </row>
    <row r="2747">
      <c r="A2747" s="2" t="inlineStr">
        <is>
          <t>510044B</t>
        </is>
      </c>
      <c r="B2747" s="2" t="inlineStr"/>
      <c r="C2747" s="2" t="inlineStr">
        <is>
          <t>KIT DE EMBRAGUE R-11/19 1.4</t>
        </is>
      </c>
      <c r="D2747" s="2" t="inlineStr">
        <is>
          <t>BWB</t>
        </is>
      </c>
      <c r="E2747" s="3" t="n">
        <v>100</v>
      </c>
      <c r="F2747" s="4" t="n">
        <v>0.3</v>
      </c>
      <c r="G2747" s="5">
        <f>ROUND(E2747*(1+F2747),2)</f>
        <v>130.00</v>
      </c>
      <c r="H2747" s="5">
        <f>ROUND(G2747*NOTAS!$B$2,2)</f>
        <v>93774.93</v>
      </c>
      <c r="I2747" s="6">
        <f>ROUND(G2747*NOTAS!$B$3,0)</f>
        <v>422353</v>
      </c>
      <c r="J2747" s="2" t="n">
        <v>10</v>
      </c>
    </row>
    <row r="2748">
      <c r="A2748" s="2" t="inlineStr">
        <is>
          <t>622.2244.00</t>
        </is>
      </c>
      <c r="B2748" s="2" t="inlineStr"/>
      <c r="C2748" s="2" t="inlineStr">
        <is>
          <t>KIT DE EMBRAGUE R-18/FUEGO/21</t>
        </is>
      </c>
      <c r="D2748" s="2" t="inlineStr">
        <is>
          <t>LUK</t>
        </is>
      </c>
      <c r="E2748" s="3" t="n">
        <v>100</v>
      </c>
      <c r="F2748" s="4" t="n">
        <v>0.3</v>
      </c>
      <c r="G2748" s="5">
        <f>ROUND(E2748*(1+F2748),2)</f>
        <v>130.00</v>
      </c>
      <c r="H2748" s="5">
        <f>ROUND(G2748*NOTAS!$B$2,2)</f>
        <v>93774.93</v>
      </c>
      <c r="I2748" s="6">
        <f>ROUND(G2748*NOTAS!$B$3,0)</f>
        <v>422353</v>
      </c>
      <c r="J2748" s="2" t="n">
        <v>3</v>
      </c>
    </row>
    <row r="2749">
      <c r="A2749" s="2" t="inlineStr">
        <is>
          <t>620.2236.00</t>
        </is>
      </c>
      <c r="B2749" s="2" t="inlineStr"/>
      <c r="C2749" s="2" t="inlineStr">
        <is>
          <t>KIT DE EMBRAGUE R-19 1.7/1.8</t>
        </is>
      </c>
      <c r="D2749" s="2" t="inlineStr">
        <is>
          <t>LUK</t>
        </is>
      </c>
      <c r="E2749" s="3" t="n">
        <v>90</v>
      </c>
      <c r="F2749" s="4" t="n">
        <v>0.3</v>
      </c>
      <c r="G2749" s="5">
        <f>ROUND(E2749*(1+F2749),2)</f>
        <v>117.00</v>
      </c>
      <c r="H2749" s="5">
        <f>ROUND(G2749*NOTAS!$B$2,2)</f>
        <v>84397.44</v>
      </c>
      <c r="I2749" s="6">
        <f>ROUND(G2749*NOTAS!$B$3,0)</f>
        <v>380118</v>
      </c>
      <c r="J2749" s="2" t="n">
        <v>4</v>
      </c>
    </row>
    <row r="2750">
      <c r="A2750" s="2" t="inlineStr">
        <is>
          <t>180200</t>
        </is>
      </c>
      <c r="B2750" s="2" t="inlineStr"/>
      <c r="C2750" s="2" t="inlineStr">
        <is>
          <t>KIT DE EMBRAGUE R-5 1.3</t>
        </is>
      </c>
      <c r="D2750" s="2" t="inlineStr">
        <is>
          <t>MAPA</t>
        </is>
      </c>
      <c r="E2750" s="3" t="n">
        <v>70</v>
      </c>
      <c r="F2750" s="4" t="n">
        <v>0.3</v>
      </c>
      <c r="G2750" s="5">
        <f>ROUND(E2750*(1+F2750),2)</f>
        <v>91.00</v>
      </c>
      <c r="H2750" s="5">
        <f>ROUND(G2750*NOTAS!$B$2,2)</f>
        <v>65642.45</v>
      </c>
      <c r="I2750" s="6">
        <f>ROUND(G2750*NOTAS!$B$3,0)</f>
        <v>295647</v>
      </c>
      <c r="J2750" s="2" t="n">
        <v>1</v>
      </c>
    </row>
    <row r="2751">
      <c r="A2751" s="2" t="inlineStr">
        <is>
          <t>510050B</t>
        </is>
      </c>
      <c r="B2751" s="2" t="inlineStr"/>
      <c r="C2751" s="2" t="inlineStr">
        <is>
          <t>KIT DE EMBRAGUE R-MEGANE/SCENIC 1.6</t>
        </is>
      </c>
      <c r="D2751" s="2" t="inlineStr">
        <is>
          <t>BWB</t>
        </is>
      </c>
      <c r="E2751" s="3" t="n">
        <v>100</v>
      </c>
      <c r="F2751" s="4" t="n">
        <v>0.3</v>
      </c>
      <c r="G2751" s="5">
        <f>ROUND(E2751*(1+F2751),2)</f>
        <v>130.00</v>
      </c>
      <c r="H2751" s="5">
        <f>ROUND(G2751*NOTAS!$B$2,2)</f>
        <v>93774.93</v>
      </c>
      <c r="I2751" s="6">
        <f>ROUND(G2751*NOTAS!$B$3,0)</f>
        <v>422353</v>
      </c>
      <c r="J2751" s="2" t="n">
        <v>1</v>
      </c>
    </row>
    <row r="2752">
      <c r="A2752" s="2" t="inlineStr">
        <is>
          <t>6001548020</t>
        </is>
      </c>
      <c r="B2752" s="2" t="inlineStr"/>
      <c r="C2752" s="2" t="inlineStr">
        <is>
          <t>KIT DE EMBRAGUE R-SYMBOL/LOGAN</t>
        </is>
      </c>
      <c r="D2752" s="2" t="inlineStr">
        <is>
          <t>XD</t>
        </is>
      </c>
      <c r="E2752" s="3" t="n">
        <v>60</v>
      </c>
      <c r="F2752" s="4" t="n">
        <v>0.3</v>
      </c>
      <c r="G2752" s="5">
        <f>ROUND(E2752*(1+F2752),2)</f>
        <v>78.00</v>
      </c>
      <c r="H2752" s="5">
        <f>ROUND(G2752*NOTAS!$B$2,2)</f>
        <v>56264.96</v>
      </c>
      <c r="I2752" s="6">
        <f>ROUND(G2752*NOTAS!$B$3,0)</f>
        <v>253412</v>
      </c>
      <c r="J2752" s="2" t="n">
        <v>1</v>
      </c>
    </row>
    <row r="2753">
      <c r="A2753" s="2" t="inlineStr">
        <is>
          <t>3200300</t>
        </is>
      </c>
      <c r="B2753" s="2" t="inlineStr"/>
      <c r="C2753" s="2" t="inlineStr">
        <is>
          <t>KIT DE EMBRAGUE R-SYMBOL/LOGAN</t>
        </is>
      </c>
      <c r="D2753" s="2" t="inlineStr">
        <is>
          <t>MAPA</t>
        </is>
      </c>
      <c r="E2753" s="3" t="n">
        <v>70</v>
      </c>
      <c r="F2753" s="4" t="n">
        <v>0.3</v>
      </c>
      <c r="G2753" s="5">
        <f>ROUND(E2753*(1+F2753),2)</f>
        <v>91.00</v>
      </c>
      <c r="H2753" s="5">
        <f>ROUND(G2753*NOTAS!$B$2,2)</f>
        <v>65642.45</v>
      </c>
      <c r="I2753" s="6">
        <f>ROUND(G2753*NOTAS!$B$3,0)</f>
        <v>295647</v>
      </c>
      <c r="J2753" s="2" t="n">
        <v>2</v>
      </c>
    </row>
    <row r="2754">
      <c r="A2754" s="2" t="inlineStr">
        <is>
          <t>510018B</t>
        </is>
      </c>
      <c r="B2754" s="2" t="inlineStr"/>
      <c r="C2754" s="2" t="inlineStr">
        <is>
          <t>KIT DE EMBRAGUE R-SYMBOL/LOGAN</t>
        </is>
      </c>
      <c r="D2754" s="2" t="inlineStr">
        <is>
          <t>BWB</t>
        </is>
      </c>
      <c r="E2754" s="3" t="n">
        <v>100</v>
      </c>
      <c r="F2754" s="4" t="n">
        <v>0.3</v>
      </c>
      <c r="G2754" s="5">
        <f>ROUND(E2754*(1+F2754),2)</f>
        <v>130.00</v>
      </c>
      <c r="H2754" s="5">
        <f>ROUND(G2754*NOTAS!$B$2,2)</f>
        <v>93774.93</v>
      </c>
      <c r="I2754" s="6">
        <f>ROUND(G2754*NOTAS!$B$3,0)</f>
        <v>422353</v>
      </c>
      <c r="J2754" s="2" t="n">
        <v>2</v>
      </c>
    </row>
    <row r="2755">
      <c r="A2755" s="2" t="inlineStr">
        <is>
          <t>510049B</t>
        </is>
      </c>
      <c r="B2755" s="2" t="inlineStr"/>
      <c r="C2755" s="2" t="inlineStr">
        <is>
          <t>KIT DE EMBRAGUE R-SYMBOL/LOGAN</t>
        </is>
      </c>
      <c r="D2755" s="2" t="inlineStr">
        <is>
          <t>BWB</t>
        </is>
      </c>
      <c r="E2755" s="3" t="n">
        <v>100</v>
      </c>
      <c r="F2755" s="4" t="n">
        <v>0.3</v>
      </c>
      <c r="G2755" s="5">
        <f>ROUND(E2755*(1+F2755),2)</f>
        <v>130.00</v>
      </c>
      <c r="H2755" s="5">
        <f>ROUND(G2755*NOTAS!$B$2,2)</f>
        <v>93774.93</v>
      </c>
      <c r="I2755" s="6">
        <f>ROUND(G2755*NOTAS!$B$3,0)</f>
        <v>422353</v>
      </c>
      <c r="J2755" s="2" t="n">
        <v>7</v>
      </c>
    </row>
    <row r="2756">
      <c r="A2756" s="2" t="inlineStr">
        <is>
          <t>620.3089.00</t>
        </is>
      </c>
      <c r="B2756" s="2" t="inlineStr"/>
      <c r="C2756" s="2" t="inlineStr">
        <is>
          <t>KIT DE EMBRAGUE R-SYMBOL/LOGAN</t>
        </is>
      </c>
      <c r="D2756" s="2" t="inlineStr">
        <is>
          <t>LUK</t>
        </is>
      </c>
      <c r="E2756" s="3" t="n">
        <v>115</v>
      </c>
      <c r="F2756" s="4" t="n">
        <v>0.3</v>
      </c>
      <c r="G2756" s="5">
        <f>ROUND(E2756*(1+F2756),2)</f>
        <v>149.50</v>
      </c>
      <c r="H2756" s="5">
        <f>ROUND(G2756*NOTAS!$B$2,2)</f>
        <v>107841.17</v>
      </c>
      <c r="I2756" s="6">
        <f>ROUND(G2756*NOTAS!$B$3,0)</f>
        <v>485706</v>
      </c>
      <c r="J2756" s="2" t="n">
        <v>6</v>
      </c>
    </row>
    <row r="2757">
      <c r="A2757" s="2" t="inlineStr">
        <is>
          <t>620.3041.00</t>
        </is>
      </c>
      <c r="B2757" s="2" t="inlineStr"/>
      <c r="C2757" s="2" t="inlineStr">
        <is>
          <t>KIT DE EMBRAGUE R-SYMBOL/LOGAN</t>
        </is>
      </c>
      <c r="D2757" s="2" t="inlineStr">
        <is>
          <t>LUK</t>
        </is>
      </c>
      <c r="E2757" s="3" t="n">
        <v>115</v>
      </c>
      <c r="F2757" s="4" t="n">
        <v>0.3</v>
      </c>
      <c r="G2757" s="5">
        <f>ROUND(E2757*(1+F2757),2)</f>
        <v>149.50</v>
      </c>
      <c r="H2757" s="5">
        <f>ROUND(G2757*NOTAS!$B$2,2)</f>
        <v>107841.17</v>
      </c>
      <c r="I2757" s="6">
        <f>ROUND(G2757*NOTAS!$B$3,0)</f>
        <v>485706</v>
      </c>
      <c r="J2757" s="2" t="n">
        <v>13</v>
      </c>
    </row>
    <row r="2758">
      <c r="A2758" s="2" t="inlineStr">
        <is>
          <t>620.3089.00</t>
        </is>
      </c>
      <c r="B2758" s="2" t="inlineStr"/>
      <c r="C2758" s="2" t="inlineStr">
        <is>
          <t>KIT DE EMBRAGUE R-SYMBOL/LOGAN OXIDADOS</t>
        </is>
      </c>
      <c r="D2758" s="2" t="inlineStr">
        <is>
          <t>LUK</t>
        </is>
      </c>
      <c r="E2758" s="3" t="n">
        <v>100</v>
      </c>
      <c r="F2758" s="4" t="n">
        <v>0.3</v>
      </c>
      <c r="G2758" s="5">
        <f>ROUND(E2758*(1+F2758),2)</f>
        <v>130.00</v>
      </c>
      <c r="H2758" s="5">
        <f>ROUND(G2758*NOTAS!$B$2,2)</f>
        <v>93774.93</v>
      </c>
      <c r="I2758" s="6">
        <f>ROUND(G2758*NOTAS!$B$3,0)</f>
        <v>422353</v>
      </c>
      <c r="J2758" s="2" t="n">
        <v>7</v>
      </c>
    </row>
    <row r="2759">
      <c r="A2759" s="2" t="inlineStr">
        <is>
          <t>510049</t>
        </is>
      </c>
      <c r="B2759" s="2" t="inlineStr"/>
      <c r="C2759" s="2" t="inlineStr">
        <is>
          <t>KIT DE EMBRAGUE R-SYMBOL/LOGAN PLATO Y DISCO</t>
        </is>
      </c>
      <c r="D2759" s="2" t="inlineStr">
        <is>
          <t>BWB</t>
        </is>
      </c>
      <c r="E2759" s="3" t="n">
        <v>80</v>
      </c>
      <c r="F2759" s="4" t="n">
        <v>0.3</v>
      </c>
      <c r="G2759" s="5">
        <f>ROUND(E2759*(1+F2759),2)</f>
        <v>104.00</v>
      </c>
      <c r="H2759" s="5">
        <f>ROUND(G2759*NOTAS!$B$2,2)</f>
        <v>75019.94</v>
      </c>
      <c r="I2759" s="6">
        <f>ROUND(G2759*NOTAS!$B$3,0)</f>
        <v>337882</v>
      </c>
      <c r="J2759" s="2" t="n">
        <v>2</v>
      </c>
    </row>
    <row r="2760">
      <c r="A2760" s="2" t="inlineStr">
        <is>
          <t>620.3089.00</t>
        </is>
      </c>
      <c r="B2760" s="2" t="inlineStr"/>
      <c r="C2760" s="2" t="inlineStr">
        <is>
          <t>KIT DE EMBRAGUE R-SYMBOL/LOGAN PLATO Y DISCO SIN CAJA</t>
        </is>
      </c>
      <c r="D2760" s="2" t="inlineStr">
        <is>
          <t>LUK</t>
        </is>
      </c>
      <c r="E2760" s="3" t="n">
        <v>110</v>
      </c>
      <c r="F2760" s="4" t="n">
        <v>0.3</v>
      </c>
      <c r="G2760" s="5">
        <f>ROUND(E2760*(1+F2760),2)</f>
        <v>143.00</v>
      </c>
      <c r="H2760" s="5">
        <f>ROUND(G2760*NOTAS!$B$2,2)</f>
        <v>103152.42</v>
      </c>
      <c r="I2760" s="6">
        <f>ROUND(G2760*NOTAS!$B$3,0)</f>
        <v>464588</v>
      </c>
      <c r="J2760" s="2" t="n">
        <v>1</v>
      </c>
    </row>
    <row r="2761">
      <c r="A2761" s="2" t="inlineStr">
        <is>
          <t>619.3056.00</t>
        </is>
      </c>
      <c r="B2761" s="2" t="inlineStr"/>
      <c r="C2761" s="2" t="inlineStr">
        <is>
          <t>KIT DE EMBRAGUE SPARK</t>
        </is>
      </c>
      <c r="D2761" s="2" t="inlineStr">
        <is>
          <t>LUK</t>
        </is>
      </c>
      <c r="E2761" s="3" t="n">
        <v>100</v>
      </c>
      <c r="F2761" s="4" t="n">
        <v>0.3</v>
      </c>
      <c r="G2761" s="5">
        <f>ROUND(E2761*(1+F2761),2)</f>
        <v>130.00</v>
      </c>
      <c r="H2761" s="5">
        <f>ROUND(G2761*NOTAS!$B$2,2)</f>
        <v>93774.93</v>
      </c>
      <c r="I2761" s="6">
        <f>ROUND(G2761*NOTAS!$B$3,0)</f>
        <v>422353</v>
      </c>
      <c r="J2761" s="2" t="n">
        <v>8</v>
      </c>
    </row>
    <row r="2762">
      <c r="A2762" s="2" t="inlineStr">
        <is>
          <t>SZK-016</t>
        </is>
      </c>
      <c r="B2762" s="2" t="inlineStr"/>
      <c r="C2762" s="2" t="inlineStr">
        <is>
          <t>KIT DE EMBRAGUE SWIFT 1.6</t>
        </is>
      </c>
      <c r="D2762" s="2" t="inlineStr">
        <is>
          <t>PHC VALEO</t>
        </is>
      </c>
      <c r="E2762" s="3" t="n">
        <v>100</v>
      </c>
      <c r="F2762" s="4" t="n">
        <v>0.3</v>
      </c>
      <c r="G2762" s="5">
        <f>ROUND(E2762*(1+F2762),2)</f>
        <v>130.00</v>
      </c>
      <c r="H2762" s="5">
        <f>ROUND(G2762*NOTAS!$B$2,2)</f>
        <v>93774.93</v>
      </c>
      <c r="I2762" s="6">
        <f>ROUND(G2762*NOTAS!$B$3,0)</f>
        <v>422353</v>
      </c>
      <c r="J2762" s="2" t="n">
        <v>1</v>
      </c>
    </row>
    <row r="2763">
      <c r="A2763" s="2" t="inlineStr">
        <is>
          <t>FL-KGT-14</t>
        </is>
      </c>
      <c r="B2763" s="2" t="inlineStr"/>
      <c r="C2763" s="2" t="inlineStr">
        <is>
          <t>KIT GOMA TRIPOIDE LADO CAJA AVEO</t>
        </is>
      </c>
      <c r="D2763" s="2" t="inlineStr">
        <is>
          <t>FLOAP</t>
        </is>
      </c>
      <c r="E2763" s="3" t="n">
        <v>13.8462</v>
      </c>
      <c r="F2763" s="4" t="n">
        <v>0.3</v>
      </c>
      <c r="G2763" s="5">
        <f>ROUND(E2763*(1+F2763),2)</f>
        <v>18.00</v>
      </c>
      <c r="H2763" s="5">
        <f>ROUND(G2763*NOTAS!$B$2,2)</f>
        <v>12984.22</v>
      </c>
      <c r="I2763" s="6">
        <f>ROUND(G2763*NOTAS!$B$3,0)</f>
        <v>58480</v>
      </c>
      <c r="J2763" s="2" t="n">
        <v>6</v>
      </c>
    </row>
    <row r="2764">
      <c r="A2764" s="2" t="inlineStr">
        <is>
          <t>FL-KGT-32</t>
        </is>
      </c>
      <c r="B2764" s="2" t="inlineStr"/>
      <c r="C2764" s="2" t="inlineStr">
        <is>
          <t>KIT GOMA TRIPOIDE LADO CAJA IZQUIERDA R-LOGAN</t>
        </is>
      </c>
      <c r="D2764" s="2" t="inlineStr">
        <is>
          <t>FLOAP</t>
        </is>
      </c>
      <c r="E2764" s="3" t="n">
        <v>13.8462</v>
      </c>
      <c r="F2764" s="4" t="n">
        <v>0.3</v>
      </c>
      <c r="G2764" s="5">
        <f>ROUND(E2764*(1+F2764),2)</f>
        <v>18.00</v>
      </c>
      <c r="H2764" s="5">
        <f>ROUND(G2764*NOTAS!$B$2,2)</f>
        <v>12984.22</v>
      </c>
      <c r="I2764" s="6">
        <f>ROUND(G2764*NOTAS!$B$3,0)</f>
        <v>58480</v>
      </c>
      <c r="J2764" s="2" t="n">
        <v>2</v>
      </c>
    </row>
    <row r="2765">
      <c r="A2765" s="2" t="inlineStr">
        <is>
          <t>FL-KGT-18</t>
        </is>
      </c>
      <c r="B2765" s="2" t="inlineStr"/>
      <c r="C2765" s="2" t="inlineStr">
        <is>
          <t>KIT GOMA TRIPOIDE LADO CAJA OPTRA</t>
        </is>
      </c>
      <c r="D2765" s="2" t="inlineStr">
        <is>
          <t>FLOAP</t>
        </is>
      </c>
      <c r="E2765" s="3" t="n">
        <v>13.8462</v>
      </c>
      <c r="F2765" s="4" t="n">
        <v>0.3</v>
      </c>
      <c r="G2765" s="5">
        <f>ROUND(E2765*(1+F2765),2)</f>
        <v>18.00</v>
      </c>
      <c r="H2765" s="5">
        <f>ROUND(G2765*NOTAS!$B$2,2)</f>
        <v>12984.22</v>
      </c>
      <c r="I2765" s="6">
        <f>ROUND(G2765*NOTAS!$B$3,0)</f>
        <v>58480</v>
      </c>
      <c r="J2765" s="2" t="n">
        <v>9</v>
      </c>
    </row>
    <row r="2766">
      <c r="A2766" s="2" t="inlineStr">
        <is>
          <t>FL-KGT1</t>
        </is>
      </c>
      <c r="B2766" s="2" t="inlineStr"/>
      <c r="C2766" s="2" t="inlineStr">
        <is>
          <t>KIT GOMA TRIPOIDE LADO RUEDA CORSA</t>
        </is>
      </c>
      <c r="D2766" s="2" t="inlineStr">
        <is>
          <t>FLOAP</t>
        </is>
      </c>
      <c r="E2766" s="3" t="n">
        <v>13.8462</v>
      </c>
      <c r="F2766" s="4" t="n">
        <v>0.3</v>
      </c>
      <c r="G2766" s="5">
        <f>ROUND(E2766*(1+F2766),2)</f>
        <v>18.00</v>
      </c>
      <c r="H2766" s="5">
        <f>ROUND(G2766*NOTAS!$B$2,2)</f>
        <v>12984.22</v>
      </c>
      <c r="I2766" s="6">
        <f>ROUND(G2766*NOTAS!$B$3,0)</f>
        <v>58480</v>
      </c>
      <c r="J2766" s="2" t="n">
        <v>5</v>
      </c>
    </row>
    <row r="2767">
      <c r="A2767" s="2" t="inlineStr">
        <is>
          <t>SK3903</t>
        </is>
      </c>
      <c r="B2767" s="2" t="inlineStr"/>
      <c r="C2767" s="2" t="inlineStr">
        <is>
          <t>KIT GOMA TRIPOIDE LADO RUEDA CORSA</t>
        </is>
      </c>
      <c r="D2767" s="2" t="inlineStr">
        <is>
          <t>SAMPEL</t>
        </is>
      </c>
      <c r="E2767" s="3" t="n">
        <v>13.8462</v>
      </c>
      <c r="F2767" s="4" t="n">
        <v>0.3</v>
      </c>
      <c r="G2767" s="5">
        <f>ROUND(E2767*(1+F2767),2)</f>
        <v>18.00</v>
      </c>
      <c r="H2767" s="5">
        <f>ROUND(G2767*NOTAS!$B$2,2)</f>
        <v>12984.22</v>
      </c>
      <c r="I2767" s="6">
        <f>ROUND(G2767*NOTAS!$B$3,0)</f>
        <v>58480</v>
      </c>
      <c r="J2767" s="2" t="n">
        <v>8</v>
      </c>
    </row>
    <row r="2768">
      <c r="A2768" s="2" t="inlineStr">
        <is>
          <t>FL-KGT-09</t>
        </is>
      </c>
      <c r="B2768" s="2" t="inlineStr"/>
      <c r="C2768" s="2" t="inlineStr">
        <is>
          <t>KIT GOMA TRIPOIDE LADO RUEDA OPTRA</t>
        </is>
      </c>
      <c r="D2768" s="2" t="inlineStr">
        <is>
          <t>FLOAP</t>
        </is>
      </c>
      <c r="E2768" s="3" t="n">
        <v>13.8462</v>
      </c>
      <c r="F2768" s="4" t="n">
        <v>0.3</v>
      </c>
      <c r="G2768" s="5">
        <f>ROUND(E2768*(1+F2768),2)</f>
        <v>18.00</v>
      </c>
      <c r="H2768" s="5">
        <f>ROUND(G2768*NOTAS!$B$2,2)</f>
        <v>12984.22</v>
      </c>
      <c r="I2768" s="6">
        <f>ROUND(G2768*NOTAS!$B$3,0)</f>
        <v>58480</v>
      </c>
      <c r="J2768" s="2" t="n">
        <v>5</v>
      </c>
    </row>
    <row r="2769">
      <c r="A2769" s="2" t="inlineStr">
        <is>
          <t>FL-KGT-06</t>
        </is>
      </c>
      <c r="B2769" s="2" t="inlineStr"/>
      <c r="C2769" s="2" t="inlineStr">
        <is>
          <t>KIT GOMA TRIPOIDE LADO RUEDA R-LOGAN</t>
        </is>
      </c>
      <c r="D2769" s="2" t="inlineStr">
        <is>
          <t>FLOAP</t>
        </is>
      </c>
      <c r="E2769" s="3" t="n">
        <v>13.8462</v>
      </c>
      <c r="F2769" s="4" t="n">
        <v>0.3</v>
      </c>
      <c r="G2769" s="5">
        <f>ROUND(E2769*(1+F2769),2)</f>
        <v>18.00</v>
      </c>
      <c r="H2769" s="5">
        <f>ROUND(G2769*NOTAS!$B$2,2)</f>
        <v>12984.22</v>
      </c>
      <c r="I2769" s="6">
        <f>ROUND(G2769*NOTAS!$B$3,0)</f>
        <v>58480</v>
      </c>
      <c r="J2769" s="2" t="n">
        <v>3</v>
      </c>
    </row>
    <row r="2770">
      <c r="A2770" s="2" t="inlineStr">
        <is>
          <t>SK1403</t>
        </is>
      </c>
      <c r="B2770" s="2" t="inlineStr"/>
      <c r="C2770" s="2" t="inlineStr">
        <is>
          <t>KIT GUARDAPOLVO CAJA DIRECCION F-UNO/PREMIO</t>
        </is>
      </c>
      <c r="D2770" s="2" t="inlineStr">
        <is>
          <t>SAMPEL</t>
        </is>
      </c>
      <c r="E2770" s="3" t="n">
        <v>11.5385</v>
      </c>
      <c r="F2770" s="4" t="n">
        <v>0.3</v>
      </c>
      <c r="G2770" s="5">
        <f>ROUND(E2770*(1+F2770),2)</f>
        <v>15.00</v>
      </c>
      <c r="H2770" s="5">
        <f>ROUND(G2770*NOTAS!$B$2,2)</f>
        <v>10820.18</v>
      </c>
      <c r="I2770" s="6">
        <f>ROUND(G2770*NOTAS!$B$3,0)</f>
        <v>48733</v>
      </c>
      <c r="J2770" s="2" t="n">
        <v>3</v>
      </c>
    </row>
    <row r="2771">
      <c r="A2771" s="2" t="inlineStr">
        <is>
          <t>K015HP</t>
        </is>
      </c>
      <c r="B2771" s="2" t="inlineStr"/>
      <c r="C2771" s="2" t="inlineStr">
        <is>
          <t xml:space="preserve">KIT INYECTORES AVEO/OPTRA  </t>
        </is>
      </c>
      <c r="D2771" s="2" t="inlineStr">
        <is>
          <t>MEGA MOTRIZ</t>
        </is>
      </c>
      <c r="E2771" s="3" t="n">
        <v>92.3077</v>
      </c>
      <c r="F2771" s="4" t="n">
        <v>0.3</v>
      </c>
      <c r="G2771" s="5">
        <f>ROUND(E2771*(1+F2771),2)</f>
        <v>120.00</v>
      </c>
      <c r="H2771" s="5">
        <f>ROUND(G2771*NOTAS!$B$2,2)</f>
        <v>86561.47</v>
      </c>
      <c r="I2771" s="6">
        <f>ROUND(G2771*NOTAS!$B$3,0)</f>
        <v>389864</v>
      </c>
      <c r="J2771" s="2" t="n">
        <v>15</v>
      </c>
    </row>
    <row r="2772">
      <c r="A2772" s="2" t="inlineStr">
        <is>
          <t>K044HP</t>
        </is>
      </c>
      <c r="B2772" s="2" t="inlineStr"/>
      <c r="C2772" s="2" t="inlineStr">
        <is>
          <t>KIT INYECTORES AVEO/OPTRA CON PUNTAS</t>
        </is>
      </c>
      <c r="D2772" s="2" t="inlineStr">
        <is>
          <t>MEGA MOTRIZ</t>
        </is>
      </c>
      <c r="E2772" s="3" t="n">
        <v>100</v>
      </c>
      <c r="F2772" s="4" t="n">
        <v>0.3</v>
      </c>
      <c r="G2772" s="5">
        <f>ROUND(E2772*(1+F2772),2)</f>
        <v>130.00</v>
      </c>
      <c r="H2772" s="5">
        <f>ROUND(G2772*NOTAS!$B$2,2)</f>
        <v>93774.93</v>
      </c>
      <c r="I2772" s="6">
        <f>ROUND(G2772*NOTAS!$B$3,0)</f>
        <v>422353</v>
      </c>
      <c r="J2772" s="2" t="n">
        <v>3</v>
      </c>
    </row>
    <row r="2773">
      <c r="A2773" s="2" t="inlineStr">
        <is>
          <t>K002HP</t>
        </is>
      </c>
      <c r="B2773" s="2" t="inlineStr"/>
      <c r="C2773" s="2" t="inlineStr">
        <is>
          <t>KIT INYECTORES CORSA</t>
        </is>
      </c>
      <c r="D2773" s="2" t="inlineStr">
        <is>
          <t>MEGA MOTRIZ</t>
        </is>
      </c>
      <c r="E2773" s="3" t="n">
        <v>76.92310000000001</v>
      </c>
      <c r="F2773" s="4" t="n">
        <v>0.3</v>
      </c>
      <c r="G2773" s="5">
        <f>ROUND(E2773*(1+F2773),2)</f>
        <v>100.00</v>
      </c>
      <c r="H2773" s="5">
        <f>ROUND(G2773*NOTAS!$B$2,2)</f>
        <v>72134.56</v>
      </c>
      <c r="I2773" s="6">
        <f>ROUND(G2773*NOTAS!$B$3,0)</f>
        <v>324887</v>
      </c>
      <c r="J2773" s="2" t="n">
        <v>25</v>
      </c>
    </row>
    <row r="2774">
      <c r="A2774" s="2" t="inlineStr"/>
      <c r="B2774" s="2" t="inlineStr"/>
      <c r="C2774" s="2" t="inlineStr">
        <is>
          <t>KIT INYECTORES CORSA</t>
        </is>
      </c>
      <c r="D2774" s="2" t="inlineStr"/>
      <c r="E2774" s="3" t="n">
        <v>76.92310000000001</v>
      </c>
      <c r="F2774" s="4" t="n">
        <v>0.3</v>
      </c>
      <c r="G2774" s="5">
        <f>ROUND(E2774*(1+F2774),2)</f>
        <v>100.00</v>
      </c>
      <c r="H2774" s="5">
        <f>ROUND(G2774*NOTAS!$B$2,2)</f>
        <v>72134.56</v>
      </c>
      <c r="I2774" s="6">
        <f>ROUND(G2774*NOTAS!$B$3,0)</f>
        <v>324887</v>
      </c>
      <c r="J2774" s="2" t="n">
        <v>11</v>
      </c>
    </row>
    <row r="2775">
      <c r="A2775" s="2" t="inlineStr">
        <is>
          <t>K006HP</t>
        </is>
      </c>
      <c r="B2775" s="2" t="inlineStr"/>
      <c r="C2775" s="2" t="inlineStr">
        <is>
          <t>KIT INYECTORES F-PAL/SIE</t>
        </is>
      </c>
      <c r="D2775" s="2" t="inlineStr">
        <is>
          <t>MEGA MOTRIZ</t>
        </is>
      </c>
      <c r="E2775" s="3" t="n">
        <v>76.92310000000001</v>
      </c>
      <c r="F2775" s="4" t="n">
        <v>0.3</v>
      </c>
      <c r="G2775" s="5">
        <f>ROUND(E2775*(1+F2775),2)</f>
        <v>100.00</v>
      </c>
      <c r="H2775" s="5">
        <f>ROUND(G2775*NOTAS!$B$2,2)</f>
        <v>72134.56</v>
      </c>
      <c r="I2775" s="6">
        <f>ROUND(G2775*NOTAS!$B$3,0)</f>
        <v>324887</v>
      </c>
      <c r="J2775" s="2" t="n">
        <v>18</v>
      </c>
    </row>
    <row r="2776">
      <c r="A2776" s="2" t="inlineStr">
        <is>
          <t>K065HP</t>
        </is>
      </c>
      <c r="B2776" s="2" t="inlineStr"/>
      <c r="C2776" s="2" t="inlineStr">
        <is>
          <t>KIT ORING INYECTORES F-PAL/SIE 1.8</t>
        </is>
      </c>
      <c r="D2776" s="2" t="inlineStr">
        <is>
          <t>MEGA MOTRIZ</t>
        </is>
      </c>
      <c r="E2776" s="3" t="n">
        <v>11.5385</v>
      </c>
      <c r="F2776" s="4" t="n">
        <v>0.3</v>
      </c>
      <c r="G2776" s="5">
        <f>ROUND(E2776*(1+F2776),2)</f>
        <v>15.00</v>
      </c>
      <c r="H2776" s="5">
        <f>ROUND(G2776*NOTAS!$B$2,2)</f>
        <v>10820.18</v>
      </c>
      <c r="I2776" s="6">
        <f>ROUND(G2776*NOTAS!$B$3,0)</f>
        <v>48733</v>
      </c>
      <c r="J2776" s="2" t="n">
        <v>3</v>
      </c>
    </row>
    <row r="2777">
      <c r="A2777" s="2" t="inlineStr">
        <is>
          <t>04.02.021</t>
        </is>
      </c>
      <c r="B2777" s="2" t="inlineStr"/>
      <c r="C2777" s="2" t="inlineStr">
        <is>
          <t>KIT PALANCA CAMBIO AVEO</t>
        </is>
      </c>
      <c r="D2777" s="2" t="inlineStr">
        <is>
          <t>SANFOR</t>
        </is>
      </c>
      <c r="E2777" s="3" t="n">
        <v>15.3846</v>
      </c>
      <c r="F2777" s="4" t="n">
        <v>0.3</v>
      </c>
      <c r="G2777" s="5">
        <f>ROUND(E2777*(1+F2777),2)</f>
        <v>20.00</v>
      </c>
      <c r="H2777" s="5">
        <f>ROUND(G2777*NOTAS!$B$2,2)</f>
        <v>14426.91</v>
      </c>
      <c r="I2777" s="6">
        <f>ROUND(G2777*NOTAS!$B$3,0)</f>
        <v>64977</v>
      </c>
      <c r="J2777" s="2" t="n">
        <v>2</v>
      </c>
    </row>
    <row r="2778">
      <c r="A2778" s="2" t="inlineStr">
        <is>
          <t>DHF80543</t>
        </is>
      </c>
      <c r="B2778" s="2" t="inlineStr"/>
      <c r="C2778" s="2" t="inlineStr">
        <is>
          <t>KIT PALANCA CAMBIO F-UNO/PREMIO</t>
        </is>
      </c>
      <c r="D2778" s="2" t="inlineStr">
        <is>
          <t>DHF</t>
        </is>
      </c>
      <c r="E2778" s="3" t="n">
        <v>13.8462</v>
      </c>
      <c r="F2778" s="4" t="n">
        <v>0.3</v>
      </c>
      <c r="G2778" s="5">
        <f>ROUND(E2778*(1+F2778),2)</f>
        <v>18.00</v>
      </c>
      <c r="H2778" s="5">
        <f>ROUND(G2778*NOTAS!$B$2,2)</f>
        <v>12984.22</v>
      </c>
      <c r="I2778" s="6">
        <f>ROUND(G2778*NOTAS!$B$3,0)</f>
        <v>58480</v>
      </c>
      <c r="J2778" s="2" t="n">
        <v>9</v>
      </c>
    </row>
    <row r="2779">
      <c r="A2779" s="2" t="inlineStr">
        <is>
          <t>7701464137</t>
        </is>
      </c>
      <c r="B2779" s="2" t="inlineStr"/>
      <c r="C2779" s="2" t="inlineStr">
        <is>
          <t>KIT PALANCA CAMBIO R-21</t>
        </is>
      </c>
      <c r="D2779" s="2" t="inlineStr">
        <is>
          <t>RENAULT</t>
        </is>
      </c>
      <c r="E2779" s="3" t="n">
        <v>15.3846</v>
      </c>
      <c r="F2779" s="4" t="n">
        <v>0.3</v>
      </c>
      <c r="G2779" s="5">
        <f>ROUND(E2779*(1+F2779),2)</f>
        <v>20.00</v>
      </c>
      <c r="H2779" s="5">
        <f>ROUND(G2779*NOTAS!$B$2,2)</f>
        <v>14426.91</v>
      </c>
      <c r="I2779" s="6">
        <f>ROUND(G2779*NOTAS!$B$3,0)</f>
        <v>64977</v>
      </c>
      <c r="J2779" s="2" t="n">
        <v>2</v>
      </c>
    </row>
    <row r="2780">
      <c r="A2780" s="2" t="inlineStr">
        <is>
          <t>A130192</t>
        </is>
      </c>
      <c r="B2780" s="2" t="inlineStr"/>
      <c r="C2780" s="2" t="inlineStr">
        <is>
          <t>KIT PASADOR FRENOS DELANTERO CIELO</t>
        </is>
      </c>
      <c r="D2780" s="2" t="inlineStr">
        <is>
          <t>NPR</t>
        </is>
      </c>
      <c r="E2780" s="3" t="n">
        <v>6.1538</v>
      </c>
      <c r="F2780" s="4" t="n">
        <v>0.3</v>
      </c>
      <c r="G2780" s="5">
        <f>ROUND(E2780*(1+F2780),2)</f>
        <v>8.00</v>
      </c>
      <c r="H2780" s="5">
        <f>ROUND(G2780*NOTAS!$B$2,2)</f>
        <v>5770.76</v>
      </c>
      <c r="I2780" s="6">
        <f>ROUND(G2780*NOTAS!$B$3,0)</f>
        <v>25991</v>
      </c>
      <c r="J2780" s="2" t="n">
        <v>2</v>
      </c>
    </row>
    <row r="2781">
      <c r="A2781" s="2" t="inlineStr">
        <is>
          <t>R79447</t>
        </is>
      </c>
      <c r="B2781" s="2" t="inlineStr"/>
      <c r="C2781" s="2" t="inlineStr">
        <is>
          <t>KIT RACHE R-11/19</t>
        </is>
      </c>
      <c r="D2781" s="2" t="inlineStr">
        <is>
          <t>TAKSIM GROUP</t>
        </is>
      </c>
      <c r="E2781" s="3" t="n">
        <v>6.5</v>
      </c>
      <c r="F2781" s="4" t="n">
        <v>0.3</v>
      </c>
      <c r="G2781" s="5">
        <f>ROUND(E2781*(1+F2781),2)</f>
        <v>8.45</v>
      </c>
      <c r="H2781" s="5">
        <f>ROUND(G2781*NOTAS!$B$2,2)</f>
        <v>6095.37</v>
      </c>
      <c r="I2781" s="6">
        <f>ROUND(G2781*NOTAS!$B$3,0)</f>
        <v>27453</v>
      </c>
      <c r="J2781" s="2" t="n">
        <v>1</v>
      </c>
    </row>
    <row r="2782">
      <c r="A2782" s="2" t="inlineStr">
        <is>
          <t>4376</t>
        </is>
      </c>
      <c r="B2782" s="2" t="inlineStr"/>
      <c r="C2782" s="2" t="inlineStr">
        <is>
          <t>KIT RACHE R-21</t>
        </is>
      </c>
      <c r="D2782" s="2" t="inlineStr">
        <is>
          <t>ORIGINAL BIRTH</t>
        </is>
      </c>
      <c r="E2782" s="3" t="n">
        <v>11.5385</v>
      </c>
      <c r="F2782" s="4" t="n">
        <v>0.3</v>
      </c>
      <c r="G2782" s="5">
        <f>ROUND(E2782*(1+F2782),2)</f>
        <v>15.00</v>
      </c>
      <c r="H2782" s="5">
        <f>ROUND(G2782*NOTAS!$B$2,2)</f>
        <v>10820.18</v>
      </c>
      <c r="I2782" s="6">
        <f>ROUND(G2782*NOTAS!$B$3,0)</f>
        <v>48733</v>
      </c>
      <c r="J2782" s="2" t="n">
        <v>3</v>
      </c>
    </row>
    <row r="2783">
      <c r="A2783" s="2" t="inlineStr">
        <is>
          <t>7701470150</t>
        </is>
      </c>
      <c r="B2783" s="2" t="inlineStr"/>
      <c r="C2783" s="2" t="inlineStr">
        <is>
          <t>KIT RACHE R-SYMBOL</t>
        </is>
      </c>
      <c r="D2783" s="2" t="inlineStr">
        <is>
          <t>AMERICAN ROAD</t>
        </is>
      </c>
      <c r="E2783" s="3" t="n">
        <v>8.25</v>
      </c>
      <c r="F2783" s="4" t="n">
        <v>0.3</v>
      </c>
      <c r="G2783" s="5">
        <f>ROUND(E2783*(1+F2783),2)</f>
        <v>10.73</v>
      </c>
      <c r="H2783" s="5">
        <f>ROUND(G2783*NOTAS!$B$2,2)</f>
        <v>7740.04</v>
      </c>
      <c r="I2783" s="6">
        <f>ROUND(G2783*NOTAS!$B$3,0)</f>
        <v>34860</v>
      </c>
      <c r="J2783" s="2" t="n">
        <v>1</v>
      </c>
    </row>
    <row r="2784">
      <c r="A2784" s="2" t="inlineStr">
        <is>
          <t>553563</t>
        </is>
      </c>
      <c r="B2784" s="2" t="inlineStr"/>
      <c r="C2784" s="2" t="inlineStr">
        <is>
          <t>KIT REPARACION CAJA DIRECCION F-UNO/PALIO/SIENA</t>
        </is>
      </c>
      <c r="D2784" s="2" t="inlineStr">
        <is>
          <t>WOLF</t>
        </is>
      </c>
      <c r="E2784" s="3" t="n">
        <v>17.5</v>
      </c>
      <c r="F2784" s="4" t="n">
        <v>0.3</v>
      </c>
      <c r="G2784" s="5">
        <f>ROUND(E2784*(1+F2784),2)</f>
        <v>22.75</v>
      </c>
      <c r="H2784" s="5">
        <f>ROUND(G2784*NOTAS!$B$2,2)</f>
        <v>16410.61</v>
      </c>
      <c r="I2784" s="6">
        <f>ROUND(G2784*NOTAS!$B$3,0)</f>
        <v>73912</v>
      </c>
      <c r="J2784" s="2" t="n">
        <v>1</v>
      </c>
    </row>
    <row r="2785">
      <c r="A2785" s="2" t="inlineStr">
        <is>
          <t>40020/1</t>
        </is>
      </c>
      <c r="B2785" s="2" t="inlineStr"/>
      <c r="C2785" s="2" t="inlineStr">
        <is>
          <t>KIT REPARACION MESETA TRASERA FIAT PALIO WEEKEND</t>
        </is>
      </c>
      <c r="D2785" s="2" t="inlineStr">
        <is>
          <t>IMPERGOM</t>
        </is>
      </c>
      <c r="E2785" s="3" t="n">
        <v>15.3846</v>
      </c>
      <c r="F2785" s="4" t="n">
        <v>0.3</v>
      </c>
      <c r="G2785" s="5">
        <f>ROUND(E2785*(1+F2785),2)</f>
        <v>20.00</v>
      </c>
      <c r="H2785" s="5">
        <f>ROUND(G2785*NOTAS!$B$2,2)</f>
        <v>14426.91</v>
      </c>
      <c r="I2785" s="6">
        <f>ROUND(G2785*NOTAS!$B$3,0)</f>
        <v>64977</v>
      </c>
      <c r="J2785" s="2" t="n">
        <v>1</v>
      </c>
    </row>
    <row r="2786">
      <c r="A2786" s="2" t="inlineStr">
        <is>
          <t>K7073</t>
        </is>
      </c>
      <c r="B2786" s="2" t="inlineStr"/>
      <c r="C2786" s="2" t="inlineStr">
        <is>
          <t>KIT RESORTES BANDAS FRENO TRASERA F-PALIO/SIENA</t>
        </is>
      </c>
      <c r="D2786" s="2" t="inlineStr">
        <is>
          <t>UNIPARTS</t>
        </is>
      </c>
      <c r="E2786" s="3" t="n">
        <v>9.2308</v>
      </c>
      <c r="F2786" s="4" t="n">
        <v>0.3</v>
      </c>
      <c r="G2786" s="5">
        <f>ROUND(E2786*(1+F2786),2)</f>
        <v>12.00</v>
      </c>
      <c r="H2786" s="5">
        <f>ROUND(G2786*NOTAS!$B$2,2)</f>
        <v>8656.15</v>
      </c>
      <c r="I2786" s="6">
        <f>ROUND(G2786*NOTAS!$B$3,0)</f>
        <v>38986</v>
      </c>
      <c r="J2786" s="2" t="n">
        <v>1</v>
      </c>
    </row>
    <row r="2787">
      <c r="A2787" s="2" t="inlineStr">
        <is>
          <t>PL-7458</t>
        </is>
      </c>
      <c r="B2787" s="2" t="inlineStr"/>
      <c r="C2787" s="2" t="inlineStr">
        <is>
          <t>KIT RETEN ARO SINCRONICO 1RA Y 2DA CHEVETTE</t>
        </is>
      </c>
      <c r="D2787" s="2" t="inlineStr">
        <is>
          <t>PLATINUM</t>
        </is>
      </c>
      <c r="E2787" s="3" t="n">
        <v>13.8462</v>
      </c>
      <c r="F2787" s="4" t="n">
        <v>0.3</v>
      </c>
      <c r="G2787" s="5">
        <f>ROUND(E2787*(1+F2787),2)</f>
        <v>18.00</v>
      </c>
      <c r="H2787" s="5">
        <f>ROUND(G2787*NOTAS!$B$2,2)</f>
        <v>12984.22</v>
      </c>
      <c r="I2787" s="6">
        <f>ROUND(G2787*NOTAS!$B$3,0)</f>
        <v>58480</v>
      </c>
      <c r="J2787" s="2" t="n">
        <v>3</v>
      </c>
    </row>
    <row r="2788">
      <c r="A2788" s="2" t="inlineStr">
        <is>
          <t>K6014</t>
        </is>
      </c>
      <c r="B2788" s="2" t="inlineStr"/>
      <c r="C2788" s="2" t="inlineStr">
        <is>
          <t>KIT RETEN ARO SINCRONICO 1RA Y 2DA CORCEL</t>
        </is>
      </c>
      <c r="D2788" s="2" t="inlineStr">
        <is>
          <t>UNI-PARTS</t>
        </is>
      </c>
      <c r="E2788" s="3" t="n">
        <v>13.8462</v>
      </c>
      <c r="F2788" s="4" t="n">
        <v>0.3</v>
      </c>
      <c r="G2788" s="5">
        <f>ROUND(E2788*(1+F2788),2)</f>
        <v>18.00</v>
      </c>
      <c r="H2788" s="5">
        <f>ROUND(G2788*NOTAS!$B$2,2)</f>
        <v>12984.22</v>
      </c>
      <c r="I2788" s="6">
        <f>ROUND(G2788*NOTAS!$B$3,0)</f>
        <v>58480</v>
      </c>
      <c r="J2788" s="2" t="n">
        <v>4</v>
      </c>
    </row>
    <row r="2789">
      <c r="A2789" s="2" t="inlineStr"/>
      <c r="B2789" s="2" t="inlineStr"/>
      <c r="C2789" s="2" t="inlineStr">
        <is>
          <t>KIT RETEN ARO SINCRONICO 1RA Y 2DA CORCEL</t>
        </is>
      </c>
      <c r="D2789" s="2" t="inlineStr">
        <is>
          <t>PLATINUM</t>
        </is>
      </c>
      <c r="E2789" s="3" t="n">
        <v>13.8462</v>
      </c>
      <c r="F2789" s="4" t="n">
        <v>0.3</v>
      </c>
      <c r="G2789" s="5">
        <f>ROUND(E2789*(1+F2789),2)</f>
        <v>18.00</v>
      </c>
      <c r="H2789" s="5">
        <f>ROUND(G2789*NOTAS!$B$2,2)</f>
        <v>12984.22</v>
      </c>
      <c r="I2789" s="6">
        <f>ROUND(G2789*NOTAS!$B$3,0)</f>
        <v>58480</v>
      </c>
      <c r="J2789" s="2" t="n">
        <v>1</v>
      </c>
    </row>
    <row r="2790">
      <c r="A2790" s="2" t="inlineStr">
        <is>
          <t>WBK0003</t>
        </is>
      </c>
      <c r="B2790" s="2" t="inlineStr"/>
      <c r="C2790" s="2" t="inlineStr">
        <is>
          <t>KIT ROLINERA TRASERA CORSA/CIELO/LANOS</t>
        </is>
      </c>
      <c r="D2790" s="2" t="inlineStr">
        <is>
          <t>FAG</t>
        </is>
      </c>
      <c r="E2790" s="3" t="n">
        <v>10</v>
      </c>
      <c r="F2790" s="4" t="n">
        <v>0.3</v>
      </c>
      <c r="G2790" s="5">
        <f>ROUND(E2790*(1+F2790),2)</f>
        <v>13.00</v>
      </c>
      <c r="H2790" s="5">
        <f>ROUND(G2790*NOTAS!$B$2,2)</f>
        <v>9377.49</v>
      </c>
      <c r="I2790" s="6">
        <f>ROUND(G2790*NOTAS!$B$3,0)</f>
        <v>42235</v>
      </c>
      <c r="J2790" s="2" t="n">
        <v>13</v>
      </c>
    </row>
    <row r="2791">
      <c r="A2791" s="2" t="inlineStr">
        <is>
          <t>VKBA4544</t>
        </is>
      </c>
      <c r="B2791" s="2" t="inlineStr"/>
      <c r="C2791" s="2" t="inlineStr">
        <is>
          <t>KIT ROLINERA TRASERA CORSA/CIELO/LANOS</t>
        </is>
      </c>
      <c r="D2791" s="2" t="inlineStr">
        <is>
          <t>SKF</t>
        </is>
      </c>
      <c r="E2791" s="3" t="n">
        <v>10</v>
      </c>
      <c r="F2791" s="4" t="n">
        <v>0.3</v>
      </c>
      <c r="G2791" s="5">
        <f>ROUND(E2791*(1+F2791),2)</f>
        <v>13.00</v>
      </c>
      <c r="H2791" s="5">
        <f>ROUND(G2791*NOTAS!$B$2,2)</f>
        <v>9377.49</v>
      </c>
      <c r="I2791" s="6">
        <f>ROUND(G2791*NOTAS!$B$3,0)</f>
        <v>42235</v>
      </c>
      <c r="J2791" s="2" t="n">
        <v>93</v>
      </c>
    </row>
    <row r="2792">
      <c r="A2792" s="2" t="inlineStr">
        <is>
          <t>1137830</t>
        </is>
      </c>
      <c r="B2792" s="2" t="inlineStr">
        <is>
          <t>96FX1A049AB</t>
        </is>
      </c>
      <c r="C2792" s="2" t="inlineStr">
        <is>
          <t>KIT ROLINERA TRASERA FIESTA/KA</t>
        </is>
      </c>
      <c r="D2792" s="2" t="inlineStr">
        <is>
          <t>FORD</t>
        </is>
      </c>
      <c r="E2792" s="3" t="n">
        <v>15</v>
      </c>
      <c r="F2792" s="4" t="n">
        <v>0.3</v>
      </c>
      <c r="G2792" s="5">
        <f>ROUND(E2792*(1+F2792),2)</f>
        <v>19.50</v>
      </c>
      <c r="H2792" s="5">
        <f>ROUND(G2792*NOTAS!$B$2,2)</f>
        <v>14066.24</v>
      </c>
      <c r="I2792" s="6">
        <f>ROUND(G2792*NOTAS!$B$3,0)</f>
        <v>63353</v>
      </c>
      <c r="J2792" s="2" t="n">
        <v>11</v>
      </c>
    </row>
    <row r="2793">
      <c r="A2793" s="2" t="inlineStr">
        <is>
          <t>VKBA4533</t>
        </is>
      </c>
      <c r="B2793" s="2" t="inlineStr"/>
      <c r="C2793" s="2" t="inlineStr">
        <is>
          <t>KIT ROLINERA TRASERA FIESTA/KA</t>
        </is>
      </c>
      <c r="D2793" s="2" t="inlineStr">
        <is>
          <t>SKF</t>
        </is>
      </c>
      <c r="E2793" s="3" t="n">
        <v>15</v>
      </c>
      <c r="F2793" s="4" t="n">
        <v>0.3</v>
      </c>
      <c r="G2793" s="5">
        <f>ROUND(E2793*(1+F2793),2)</f>
        <v>19.50</v>
      </c>
      <c r="H2793" s="5">
        <f>ROUND(G2793*NOTAS!$B$2,2)</f>
        <v>14066.24</v>
      </c>
      <c r="I2793" s="6">
        <f>ROUND(G2793*NOTAS!$B$3,0)</f>
        <v>63353</v>
      </c>
      <c r="J2793" s="2" t="n">
        <v>6</v>
      </c>
    </row>
    <row r="2794">
      <c r="A2794" s="2" t="inlineStr">
        <is>
          <t>WBK0005</t>
        </is>
      </c>
      <c r="B2794" s="2" t="inlineStr"/>
      <c r="C2794" s="2" t="inlineStr">
        <is>
          <t>KIT ROLINERA TRASERA FIESTA/KA</t>
        </is>
      </c>
      <c r="D2794" s="2" t="inlineStr">
        <is>
          <t>FAG</t>
        </is>
      </c>
      <c r="E2794" s="3" t="n">
        <v>15</v>
      </c>
      <c r="F2794" s="4" t="n">
        <v>0.3</v>
      </c>
      <c r="G2794" s="5">
        <f>ROUND(E2794*(1+F2794),2)</f>
        <v>19.50</v>
      </c>
      <c r="H2794" s="5">
        <f>ROUND(G2794*NOTAS!$B$2,2)</f>
        <v>14066.24</v>
      </c>
      <c r="I2794" s="6">
        <f>ROUND(G2794*NOTAS!$B$3,0)</f>
        <v>63353</v>
      </c>
      <c r="J2794" s="2" t="n">
        <v>5</v>
      </c>
    </row>
    <row r="2795">
      <c r="A2795" s="2" t="inlineStr">
        <is>
          <t>04-01-020A</t>
        </is>
      </c>
      <c r="B2795" s="2" t="inlineStr"/>
      <c r="C2795" s="2" t="inlineStr">
        <is>
          <t>KIT SELECTOR VARILLAJE R-11</t>
        </is>
      </c>
      <c r="D2795" s="2" t="inlineStr">
        <is>
          <t>SANFOR</t>
        </is>
      </c>
      <c r="E2795" s="3" t="n">
        <v>11.5385</v>
      </c>
      <c r="F2795" s="4" t="n">
        <v>0.3</v>
      </c>
      <c r="G2795" s="5">
        <f>ROUND(E2795*(1+F2795),2)</f>
        <v>15.00</v>
      </c>
      <c r="H2795" s="5">
        <f>ROUND(G2795*NOTAS!$B$2,2)</f>
        <v>10820.18</v>
      </c>
      <c r="I2795" s="6">
        <f>ROUND(G2795*NOTAS!$B$3,0)</f>
        <v>48733</v>
      </c>
      <c r="J2795" s="2" t="n">
        <v>1</v>
      </c>
    </row>
    <row r="2796">
      <c r="A2796" s="2" t="inlineStr">
        <is>
          <t>93328876</t>
        </is>
      </c>
      <c r="B2796" s="2" t="inlineStr"/>
      <c r="C2796" s="2" t="inlineStr">
        <is>
          <t>KIT TAPA CORREA TIEMPO CORSA</t>
        </is>
      </c>
      <c r="D2796" s="2" t="inlineStr">
        <is>
          <t>GM</t>
        </is>
      </c>
      <c r="E2796" s="3" t="n">
        <v>11.5385</v>
      </c>
      <c r="F2796" s="4" t="n">
        <v>0.3</v>
      </c>
      <c r="G2796" s="5">
        <f>ROUND(E2796*(1+F2796),2)</f>
        <v>15.00</v>
      </c>
      <c r="H2796" s="5">
        <f>ROUND(G2796*NOTAS!$B$2,2)</f>
        <v>10820.18</v>
      </c>
      <c r="I2796" s="6">
        <f>ROUND(G2796*NOTAS!$B$3,0)</f>
        <v>48733</v>
      </c>
      <c r="J2796" s="2" t="n">
        <v>1</v>
      </c>
    </row>
    <row r="2797">
      <c r="A2797" s="2" t="inlineStr">
        <is>
          <t>ET1676K</t>
        </is>
      </c>
      <c r="B2797" s="2" t="inlineStr"/>
      <c r="C2797" s="2" t="inlineStr">
        <is>
          <t>KIT TERMOSTATO FIAT-UNO INY/PAL 1.3</t>
        </is>
      </c>
      <c r="D2797" s="2" t="inlineStr">
        <is>
          <t>AUTOGAMMA</t>
        </is>
      </c>
      <c r="E2797" s="3" t="n">
        <v>9.2308</v>
      </c>
      <c r="F2797" s="4" t="n">
        <v>0.3</v>
      </c>
      <c r="G2797" s="5">
        <f>ROUND(E2797*(1+F2797),2)</f>
        <v>12.00</v>
      </c>
      <c r="H2797" s="5">
        <f>ROUND(G2797*NOTAS!$B$2,2)</f>
        <v>8656.15</v>
      </c>
      <c r="I2797" s="6">
        <f>ROUND(G2797*NOTAS!$B$3,0)</f>
        <v>38986</v>
      </c>
      <c r="J2797" s="2" t="n">
        <v>2</v>
      </c>
    </row>
    <row r="2798">
      <c r="A2798" s="2" t="inlineStr">
        <is>
          <t>39091</t>
        </is>
      </c>
      <c r="B2798" s="2" t="inlineStr"/>
      <c r="C2798" s="2" t="inlineStr">
        <is>
          <t>KIT VARILLAJE CIELO LANOS</t>
        </is>
      </c>
      <c r="D2798" s="2" t="inlineStr">
        <is>
          <t>SANFOR</t>
        </is>
      </c>
      <c r="E2798" s="3" t="n">
        <v>11.5385</v>
      </c>
      <c r="F2798" s="4" t="n">
        <v>0.3</v>
      </c>
      <c r="G2798" s="5">
        <f>ROUND(E2798*(1+F2798),2)</f>
        <v>15.00</v>
      </c>
      <c r="H2798" s="5">
        <f>ROUND(G2798*NOTAS!$B$2,2)</f>
        <v>10820.18</v>
      </c>
      <c r="I2798" s="6">
        <f>ROUND(G2798*NOTAS!$B$3,0)</f>
        <v>48733</v>
      </c>
      <c r="J2798" s="2" t="n">
        <v>1</v>
      </c>
    </row>
    <row r="2799">
      <c r="A2799" s="2" t="inlineStr">
        <is>
          <t>ZZ-1052-119</t>
        </is>
      </c>
      <c r="B2799" s="2" t="inlineStr"/>
      <c r="C2799" s="2" t="inlineStr">
        <is>
          <t>KIT VARILLAJE CIELO LANOS</t>
        </is>
      </c>
      <c r="D2799" s="2" t="inlineStr">
        <is>
          <t>KOREA</t>
        </is>
      </c>
      <c r="E2799" s="3" t="n">
        <v>11.5385</v>
      </c>
      <c r="F2799" s="4" t="n">
        <v>0.3</v>
      </c>
      <c r="G2799" s="5">
        <f>ROUND(E2799*(1+F2799),2)</f>
        <v>15.00</v>
      </c>
      <c r="H2799" s="5">
        <f>ROUND(G2799*NOTAS!$B$2,2)</f>
        <v>10820.18</v>
      </c>
      <c r="I2799" s="6">
        <f>ROUND(G2799*NOTAS!$B$3,0)</f>
        <v>48733</v>
      </c>
      <c r="J2799" s="2" t="n">
        <v>8</v>
      </c>
    </row>
    <row r="2800">
      <c r="A2800" s="2" t="inlineStr">
        <is>
          <t>PL-8142</t>
        </is>
      </c>
      <c r="B2800" s="2" t="inlineStr"/>
      <c r="C2800" s="2" t="inlineStr">
        <is>
          <t>KIT VARILLAJE CORCEL</t>
        </is>
      </c>
      <c r="D2800" s="2" t="inlineStr">
        <is>
          <t>PLATINUM</t>
        </is>
      </c>
      <c r="E2800" s="3" t="n">
        <v>11.5385</v>
      </c>
      <c r="F2800" s="4" t="n">
        <v>0.3</v>
      </c>
      <c r="G2800" s="5">
        <f>ROUND(E2800*(1+F2800),2)</f>
        <v>15.00</v>
      </c>
      <c r="H2800" s="5">
        <f>ROUND(G2800*NOTAS!$B$2,2)</f>
        <v>10820.18</v>
      </c>
      <c r="I2800" s="6">
        <f>ROUND(G2800*NOTAS!$B$3,0)</f>
        <v>48733</v>
      </c>
      <c r="J2800" s="2" t="n">
        <v>2</v>
      </c>
    </row>
    <row r="2801">
      <c r="A2801" s="2" t="inlineStr">
        <is>
          <t>90578709-1</t>
        </is>
      </c>
      <c r="B2801" s="2" t="inlineStr"/>
      <c r="C2801" s="2" t="inlineStr">
        <is>
          <t>KIT VARILLAJE CORSA</t>
        </is>
      </c>
      <c r="D2801" s="2" t="inlineStr">
        <is>
          <t>GM</t>
        </is>
      </c>
      <c r="E2801" s="3" t="n">
        <v>11.5385</v>
      </c>
      <c r="F2801" s="4" t="n">
        <v>0.3</v>
      </c>
      <c r="G2801" s="5">
        <f>ROUND(E2801*(1+F2801),2)</f>
        <v>15.00</v>
      </c>
      <c r="H2801" s="5">
        <f>ROUND(G2801*NOTAS!$B$2,2)</f>
        <v>10820.18</v>
      </c>
      <c r="I2801" s="6">
        <f>ROUND(G2801*NOTAS!$B$3,0)</f>
        <v>48733</v>
      </c>
      <c r="J2801" s="2" t="n">
        <v>8</v>
      </c>
    </row>
    <row r="2802">
      <c r="A2802" s="2" t="inlineStr">
        <is>
          <t>04.02..019</t>
        </is>
      </c>
      <c r="B2802" s="2" t="inlineStr"/>
      <c r="C2802" s="2" t="inlineStr">
        <is>
          <t>KIT VARILLAJE CORSA</t>
        </is>
      </c>
      <c r="D2802" s="2" t="inlineStr">
        <is>
          <t>SANFOR</t>
        </is>
      </c>
      <c r="E2802" s="3" t="n">
        <v>7</v>
      </c>
      <c r="F2802" s="4" t="n">
        <v>0.3</v>
      </c>
      <c r="G2802" s="5">
        <f>ROUND(E2802*(1+F2802),2)</f>
        <v>9.10</v>
      </c>
      <c r="H2802" s="5">
        <f>ROUND(G2802*NOTAS!$B$2,2)</f>
        <v>6564.24</v>
      </c>
      <c r="I2802" s="6">
        <f>ROUND(G2802*NOTAS!$B$3,0)</f>
        <v>29565</v>
      </c>
      <c r="J2802" s="2" t="n">
        <v>5</v>
      </c>
    </row>
    <row r="2803">
      <c r="A2803" s="2" t="inlineStr">
        <is>
          <t>PL-7655</t>
        </is>
      </c>
      <c r="B2803" s="2" t="inlineStr"/>
      <c r="C2803" s="2" t="inlineStr">
        <is>
          <t>KIT VARILLAJE CORSA</t>
        </is>
      </c>
      <c r="D2803" s="2" t="inlineStr">
        <is>
          <t>PLATINUM</t>
        </is>
      </c>
      <c r="E2803" s="3" t="n">
        <v>11.5385</v>
      </c>
      <c r="F2803" s="4" t="n">
        <v>0.3</v>
      </c>
      <c r="G2803" s="5">
        <f>ROUND(E2803*(1+F2803),2)</f>
        <v>15.00</v>
      </c>
      <c r="H2803" s="5">
        <f>ROUND(G2803*NOTAS!$B$2,2)</f>
        <v>10820.18</v>
      </c>
      <c r="I2803" s="6">
        <f>ROUND(G2803*NOTAS!$B$3,0)</f>
        <v>48733</v>
      </c>
      <c r="J2803" s="2" t="n">
        <v>5</v>
      </c>
    </row>
    <row r="2804">
      <c r="A2804" s="2" t="inlineStr">
        <is>
          <t>27402</t>
        </is>
      </c>
      <c r="B2804" s="2" t="inlineStr"/>
      <c r="C2804" s="2" t="inlineStr">
        <is>
          <t>KIT VARILLAJE F-UNO/PREMIO</t>
        </is>
      </c>
      <c r="D2804" s="2" t="inlineStr">
        <is>
          <t>IMPERGOM</t>
        </is>
      </c>
      <c r="E2804" s="3" t="n">
        <v>11.5385</v>
      </c>
      <c r="F2804" s="4" t="n">
        <v>0.3</v>
      </c>
      <c r="G2804" s="5">
        <f>ROUND(E2804*(1+F2804),2)</f>
        <v>15.00</v>
      </c>
      <c r="H2804" s="5">
        <f>ROUND(G2804*NOTAS!$B$2,2)</f>
        <v>10820.18</v>
      </c>
      <c r="I2804" s="6">
        <f>ROUND(G2804*NOTAS!$B$3,0)</f>
        <v>48733</v>
      </c>
      <c r="J2804" s="2" t="n">
        <v>4</v>
      </c>
    </row>
    <row r="2805">
      <c r="A2805" s="2" t="inlineStr">
        <is>
          <t>4094</t>
        </is>
      </c>
      <c r="B2805" s="2" t="inlineStr"/>
      <c r="C2805" s="2" t="inlineStr">
        <is>
          <t>KIT VARILLAJE F-UNO/PREMIO</t>
        </is>
      </c>
      <c r="D2805" s="2" t="inlineStr">
        <is>
          <t>ORIGINAL BIRTH</t>
        </is>
      </c>
      <c r="E2805" s="3" t="n">
        <v>11.5385</v>
      </c>
      <c r="F2805" s="4" t="n">
        <v>0.3</v>
      </c>
      <c r="G2805" s="5">
        <f>ROUND(E2805*(1+F2805),2)</f>
        <v>15.00</v>
      </c>
      <c r="H2805" s="5">
        <f>ROUND(G2805*NOTAS!$B$2,2)</f>
        <v>10820.18</v>
      </c>
      <c r="I2805" s="6">
        <f>ROUND(G2805*NOTAS!$B$3,0)</f>
        <v>48733</v>
      </c>
      <c r="J2805" s="2" t="n">
        <v>1</v>
      </c>
    </row>
    <row r="2806">
      <c r="A2806" s="2" t="inlineStr">
        <is>
          <t>15067</t>
        </is>
      </c>
      <c r="B2806" s="2" t="inlineStr"/>
      <c r="C2806" s="2" t="inlineStr">
        <is>
          <t>KIT VARILLAJE R-21</t>
        </is>
      </c>
      <c r="D2806" s="2" t="inlineStr">
        <is>
          <t>RENAULT</t>
        </is>
      </c>
      <c r="E2806" s="3" t="n">
        <v>11.5385</v>
      </c>
      <c r="F2806" s="4" t="n">
        <v>0.3</v>
      </c>
      <c r="G2806" s="5">
        <f>ROUND(E2806*(1+F2806),2)</f>
        <v>15.00</v>
      </c>
      <c r="H2806" s="5">
        <f>ROUND(G2806*NOTAS!$B$2,2)</f>
        <v>10820.18</v>
      </c>
      <c r="I2806" s="6">
        <f>ROUND(G2806*NOTAS!$B$3,0)</f>
        <v>48733</v>
      </c>
      <c r="J2806" s="2" t="n">
        <v>1</v>
      </c>
    </row>
    <row r="2807">
      <c r="A2807" s="2" t="inlineStr"/>
      <c r="B2807" s="2" t="inlineStr"/>
      <c r="C2807" s="2" t="inlineStr">
        <is>
          <t>LAPIZ BOMBA GASOLINA F-147/UNO 1.3</t>
        </is>
      </c>
      <c r="D2807" s="2" t="inlineStr">
        <is>
          <t>WOLF</t>
        </is>
      </c>
      <c r="E2807" s="3" t="n">
        <v>0.83</v>
      </c>
      <c r="F2807" s="4" t="n">
        <v>0.3</v>
      </c>
      <c r="G2807" s="5">
        <f>ROUND(E2807*(1+F2807),2)</f>
        <v>1.08</v>
      </c>
      <c r="H2807" s="5">
        <f>ROUND(G2807*NOTAS!$B$2,2)</f>
        <v>779.05</v>
      </c>
      <c r="I2807" s="6">
        <f>ROUND(G2807*NOTAS!$B$3,0)</f>
        <v>3509</v>
      </c>
      <c r="J2807" s="2" t="n">
        <v>4</v>
      </c>
    </row>
    <row r="2808">
      <c r="A2808" s="2" t="inlineStr">
        <is>
          <t>6L2Z5K484BA</t>
        </is>
      </c>
      <c r="B2808" s="2" t="inlineStr"/>
      <c r="C2808" s="2" t="inlineStr">
        <is>
          <t>LAPIZ GEMELOS BARRA ESTABILIXADOR TRASERO EXPLORER 06/11</t>
        </is>
      </c>
      <c r="D2808" s="2" t="inlineStr">
        <is>
          <t>MOTORCRAFT</t>
        </is>
      </c>
      <c r="E2808" s="3" t="n">
        <v>15</v>
      </c>
      <c r="F2808" s="4" t="n">
        <v>0.3</v>
      </c>
      <c r="G2808" s="5">
        <f>ROUND(E2808*(1+F2808),2)</f>
        <v>19.50</v>
      </c>
      <c r="H2808" s="5">
        <f>ROUND(G2808*NOTAS!$B$2,2)</f>
        <v>14066.24</v>
      </c>
      <c r="I2808" s="6">
        <f>ROUND(G2808*NOTAS!$B$3,0)</f>
        <v>63353</v>
      </c>
      <c r="J2808" s="2" t="n">
        <v>2</v>
      </c>
    </row>
    <row r="2809">
      <c r="A2809" s="2" t="inlineStr">
        <is>
          <t>93266991</t>
        </is>
      </c>
      <c r="B2809" s="2" t="inlineStr"/>
      <c r="C2809" s="2" t="inlineStr">
        <is>
          <t>MANGUERA</t>
        </is>
      </c>
      <c r="D2809" s="2" t="inlineStr">
        <is>
          <t>GM</t>
        </is>
      </c>
      <c r="E2809" s="3" t="n">
        <v>2</v>
      </c>
      <c r="F2809" s="4" t="n">
        <v>0.3</v>
      </c>
      <c r="G2809" s="5">
        <f>ROUND(E2809*(1+F2809),2)</f>
        <v>2.60</v>
      </c>
      <c r="H2809" s="5">
        <f>ROUND(G2809*NOTAS!$B$2,2)</f>
        <v>1875.50</v>
      </c>
      <c r="I2809" s="6">
        <f>ROUND(G2809*NOTAS!$B$3,0)</f>
        <v>8447</v>
      </c>
      <c r="J2809" s="2" t="n">
        <v>5</v>
      </c>
    </row>
    <row r="2810">
      <c r="A2810" s="2" t="inlineStr">
        <is>
          <t>TX0361</t>
        </is>
      </c>
      <c r="B2810" s="2" t="inlineStr"/>
      <c r="C2810" s="2" t="inlineStr">
        <is>
          <t>MANGUERA BOMBA AGUA CALEFACION OPTRA LIMITED</t>
        </is>
      </c>
      <c r="D2810" s="2" t="inlineStr">
        <is>
          <t>TORFLEX</t>
        </is>
      </c>
      <c r="E2810" s="3" t="n">
        <v>6.2</v>
      </c>
      <c r="F2810" s="4" t="n">
        <v>0.3</v>
      </c>
      <c r="G2810" s="5">
        <f>ROUND(E2810*(1+F2810),2)</f>
        <v>8.06</v>
      </c>
      <c r="H2810" s="5">
        <f>ROUND(G2810*NOTAS!$B$2,2)</f>
        <v>5814.05</v>
      </c>
      <c r="I2810" s="6">
        <f>ROUND(G2810*NOTAS!$B$3,0)</f>
        <v>26186</v>
      </c>
      <c r="J2810" s="2" t="n">
        <v>1</v>
      </c>
    </row>
    <row r="2811">
      <c r="A2811" s="2" t="inlineStr">
        <is>
          <t>1104236</t>
        </is>
      </c>
      <c r="B2811" s="2" t="inlineStr">
        <is>
          <t>97FB18K359DC</t>
        </is>
      </c>
      <c r="C2811" s="2" t="inlineStr">
        <is>
          <t>MANGUERA CALEFACION FIESTA 1.25</t>
        </is>
      </c>
      <c r="D2811" s="2" t="inlineStr">
        <is>
          <t>FORD</t>
        </is>
      </c>
      <c r="E2811" s="3" t="n">
        <v>30</v>
      </c>
      <c r="F2811" s="4" t="n">
        <v>0.3</v>
      </c>
      <c r="G2811" s="5">
        <f>ROUND(E2811*(1+F2811),2)</f>
        <v>39.00</v>
      </c>
      <c r="H2811" s="5">
        <f>ROUND(G2811*NOTAS!$B$2,2)</f>
        <v>28132.48</v>
      </c>
      <c r="I2811" s="6">
        <f>ROUND(G2811*NOTAS!$B$3,0)</f>
        <v>126706</v>
      </c>
      <c r="J2811" s="2" t="n">
        <v>1</v>
      </c>
    </row>
    <row r="2812">
      <c r="A2812" s="2" t="inlineStr">
        <is>
          <t>93399621</t>
        </is>
      </c>
      <c r="B2812" s="2" t="inlineStr"/>
      <c r="C2812" s="2" t="inlineStr">
        <is>
          <t>MANGUERA CODO GASES CORSA/CIELO/LANOS</t>
        </is>
      </c>
      <c r="D2812" s="2" t="inlineStr">
        <is>
          <t>GM</t>
        </is>
      </c>
      <c r="E2812" s="3" t="n">
        <v>2</v>
      </c>
      <c r="F2812" s="4" t="n">
        <v>0.3</v>
      </c>
      <c r="G2812" s="5">
        <f>ROUND(E2812*(1+F2812),2)</f>
        <v>2.60</v>
      </c>
      <c r="H2812" s="5">
        <f>ROUND(G2812*NOTAS!$B$2,2)</f>
        <v>1875.50</v>
      </c>
      <c r="I2812" s="6">
        <f>ROUND(G2812*NOTAS!$B$3,0)</f>
        <v>8447</v>
      </c>
      <c r="J2812" s="2" t="n">
        <v>54</v>
      </c>
    </row>
    <row r="2813">
      <c r="A2813" s="2" t="inlineStr">
        <is>
          <t>20883</t>
        </is>
      </c>
      <c r="B2813" s="2" t="inlineStr"/>
      <c r="C2813" s="2" t="inlineStr">
        <is>
          <t>MANGUERA DEPOSITO RESERVORIO AGUA A RADIADOR CORSA</t>
        </is>
      </c>
      <c r="D2813" s="2" t="inlineStr">
        <is>
          <t>GATES</t>
        </is>
      </c>
      <c r="E2813" s="3" t="n">
        <v>6.1538</v>
      </c>
      <c r="F2813" s="4" t="n">
        <v>0.3</v>
      </c>
      <c r="G2813" s="5">
        <f>ROUND(E2813*(1+F2813),2)</f>
        <v>8.00</v>
      </c>
      <c r="H2813" s="5">
        <f>ROUND(G2813*NOTAS!$B$2,2)</f>
        <v>5770.76</v>
      </c>
      <c r="I2813" s="6">
        <f>ROUND(G2813*NOTAS!$B$3,0)</f>
        <v>25991</v>
      </c>
      <c r="J2813" s="2" t="n">
        <v>4</v>
      </c>
    </row>
    <row r="2814">
      <c r="A2814" s="2" t="inlineStr">
        <is>
          <t>940432</t>
        </is>
      </c>
      <c r="B2814" s="2" t="inlineStr">
        <is>
          <t>YS618B081BB</t>
        </is>
      </c>
      <c r="C2814" s="2" t="inlineStr">
        <is>
          <t>MANGUERA DEPOSITO RESERVORIO AGUA A TERMOSTATO FIESTA 00/03-KA</t>
        </is>
      </c>
      <c r="D2814" s="2" t="inlineStr">
        <is>
          <t>FORD</t>
        </is>
      </c>
      <c r="E2814" s="3" t="n">
        <v>10</v>
      </c>
      <c r="F2814" s="4" t="n">
        <v>0.3</v>
      </c>
      <c r="G2814" s="5">
        <f>ROUND(E2814*(1+F2814),2)</f>
        <v>13.00</v>
      </c>
      <c r="H2814" s="5">
        <f>ROUND(G2814*NOTAS!$B$2,2)</f>
        <v>9377.49</v>
      </c>
      <c r="I2814" s="6">
        <f>ROUND(G2814*NOTAS!$B$3,0)</f>
        <v>42235</v>
      </c>
      <c r="J2814" s="2" t="n">
        <v>2</v>
      </c>
    </row>
    <row r="2815">
      <c r="A2815" s="2" t="inlineStr">
        <is>
          <t>3R3030</t>
        </is>
      </c>
      <c r="B2815" s="2" t="inlineStr"/>
      <c r="C2815" s="2" t="inlineStr">
        <is>
          <t>MANGUERA DEPOSITO RESERVORIO AGUA A TUBO AGUA CORSA</t>
        </is>
      </c>
      <c r="D2815" s="2" t="inlineStr">
        <is>
          <t>BRAZIL</t>
        </is>
      </c>
      <c r="E2815" s="3" t="n">
        <v>6</v>
      </c>
      <c r="F2815" s="4" t="n">
        <v>0.3</v>
      </c>
      <c r="G2815" s="5">
        <f>ROUND(E2815*(1+F2815),2)</f>
        <v>7.80</v>
      </c>
      <c r="H2815" s="5">
        <f>ROUND(G2815*NOTAS!$B$2,2)</f>
        <v>5626.50</v>
      </c>
      <c r="I2815" s="6">
        <f>ROUND(G2815*NOTAS!$B$3,0)</f>
        <v>25341</v>
      </c>
      <c r="J2815" s="2" t="n">
        <v>1</v>
      </c>
    </row>
    <row r="2816">
      <c r="A2816" s="2" t="inlineStr">
        <is>
          <t>371</t>
        </is>
      </c>
      <c r="B2816" s="2" t="inlineStr"/>
      <c r="C2816" s="2" t="inlineStr">
        <is>
          <t>MANGUERA DEPOSITO RESERVORIO AGUA A TUBO AGUA OPTRA DESIGN</t>
        </is>
      </c>
      <c r="D2816" s="2" t="inlineStr">
        <is>
          <t>TORFLEX</t>
        </is>
      </c>
      <c r="E2816" s="3" t="n">
        <v>6</v>
      </c>
      <c r="F2816" s="4" t="n">
        <v>0.3</v>
      </c>
      <c r="G2816" s="5">
        <f>ROUND(E2816*(1+F2816),2)</f>
        <v>7.80</v>
      </c>
      <c r="H2816" s="5">
        <f>ROUND(G2816*NOTAS!$B$2,2)</f>
        <v>5626.50</v>
      </c>
      <c r="I2816" s="6">
        <f>ROUND(G2816*NOTAS!$B$3,0)</f>
        <v>25341</v>
      </c>
      <c r="J2816" s="2" t="n">
        <v>1</v>
      </c>
    </row>
    <row r="2817">
      <c r="A2817" s="2" t="inlineStr">
        <is>
          <t>96536531</t>
        </is>
      </c>
      <c r="B2817" s="2" t="inlineStr"/>
      <c r="C2817" s="2" t="inlineStr">
        <is>
          <t>MANGUERA DEPOSITO RESERVORIO AGUA AVEO</t>
        </is>
      </c>
      <c r="D2817" s="2" t="inlineStr">
        <is>
          <t>GM</t>
        </is>
      </c>
      <c r="E2817" s="3" t="n">
        <v>10</v>
      </c>
      <c r="F2817" s="4" t="n">
        <v>0.3</v>
      </c>
      <c r="G2817" s="5">
        <f>ROUND(E2817*(1+F2817),2)</f>
        <v>13.00</v>
      </c>
      <c r="H2817" s="5">
        <f>ROUND(G2817*NOTAS!$B$2,2)</f>
        <v>9377.49</v>
      </c>
      <c r="I2817" s="6">
        <f>ROUND(G2817*NOTAS!$B$3,0)</f>
        <v>42235</v>
      </c>
      <c r="J2817" s="2" t="n">
        <v>1</v>
      </c>
    </row>
    <row r="2818">
      <c r="A2818" s="2" t="inlineStr">
        <is>
          <t>XS618K276AA</t>
        </is>
      </c>
      <c r="B2818" s="2" t="inlineStr"/>
      <c r="C2818" s="2" t="inlineStr">
        <is>
          <t>MANGUERA DEPOSITO RESERVORIO AGUA FIESTA 00/03</t>
        </is>
      </c>
      <c r="D2818" s="2" t="inlineStr">
        <is>
          <t>FORD</t>
        </is>
      </c>
      <c r="E2818" s="3" t="n">
        <v>15</v>
      </c>
      <c r="F2818" s="4" t="n">
        <v>0.3</v>
      </c>
      <c r="G2818" s="5">
        <f>ROUND(E2818*(1+F2818),2)</f>
        <v>19.50</v>
      </c>
      <c r="H2818" s="5">
        <f>ROUND(G2818*NOTAS!$B$2,2)</f>
        <v>14066.24</v>
      </c>
      <c r="I2818" s="6">
        <f>ROUND(G2818*NOTAS!$B$3,0)</f>
        <v>63353</v>
      </c>
      <c r="J2818" s="2" t="n">
        <v>1</v>
      </c>
    </row>
    <row r="2819">
      <c r="A2819" s="2" t="inlineStr">
        <is>
          <t>503</t>
        </is>
      </c>
      <c r="B2819" s="2" t="inlineStr"/>
      <c r="C2819" s="2" t="inlineStr">
        <is>
          <t>MANGUERA DEPOSITO RESERVORIO AGUA FIESTA 00/03</t>
        </is>
      </c>
      <c r="D2819" s="2" t="inlineStr">
        <is>
          <t>PRECISE</t>
        </is>
      </c>
      <c r="E2819" s="3" t="n">
        <v>8</v>
      </c>
      <c r="F2819" s="4" t="n">
        <v>0.3</v>
      </c>
      <c r="G2819" s="5">
        <f>ROUND(E2819*(1+F2819),2)</f>
        <v>10.40</v>
      </c>
      <c r="H2819" s="5">
        <f>ROUND(G2819*NOTAS!$B$2,2)</f>
        <v>7501.99</v>
      </c>
      <c r="I2819" s="6">
        <f>ROUND(G2819*NOTAS!$B$3,0)</f>
        <v>33788</v>
      </c>
      <c r="J2819" s="2" t="n">
        <v>1</v>
      </c>
    </row>
    <row r="2820">
      <c r="A2820" s="2" t="inlineStr">
        <is>
          <t>3R5537</t>
        </is>
      </c>
      <c r="B2820" s="2" t="inlineStr"/>
      <c r="C2820" s="2" t="inlineStr">
        <is>
          <t>MANGUERA DEPOSITO RESERVORIO AGUA F-PALIO/SIENA 1.3 8V MPI</t>
        </is>
      </c>
      <c r="D2820" s="2" t="inlineStr">
        <is>
          <t>BRAZIL</t>
        </is>
      </c>
      <c r="E2820" s="3" t="n">
        <v>8</v>
      </c>
      <c r="F2820" s="4" t="n">
        <v>0.3</v>
      </c>
      <c r="G2820" s="5">
        <f>ROUND(E2820*(1+F2820),2)</f>
        <v>10.40</v>
      </c>
      <c r="H2820" s="5">
        <f>ROUND(G2820*NOTAS!$B$2,2)</f>
        <v>7501.99</v>
      </c>
      <c r="I2820" s="6">
        <f>ROUND(G2820*NOTAS!$B$3,0)</f>
        <v>33788</v>
      </c>
      <c r="J2820" s="2" t="n">
        <v>2</v>
      </c>
    </row>
    <row r="2821">
      <c r="A2821" s="2" t="inlineStr">
        <is>
          <t>TX0370</t>
        </is>
      </c>
      <c r="B2821" s="2" t="inlineStr"/>
      <c r="C2821" s="2" t="inlineStr">
        <is>
          <t>MANGUERA DEPOSITO RESERVORIO AGUA OPTRA</t>
        </is>
      </c>
      <c r="D2821" s="2" t="inlineStr">
        <is>
          <t>TORFLEX</t>
        </is>
      </c>
      <c r="E2821" s="3" t="n">
        <v>6</v>
      </c>
      <c r="F2821" s="4" t="n">
        <v>0.3</v>
      </c>
      <c r="G2821" s="5">
        <f>ROUND(E2821*(1+F2821),2)</f>
        <v>7.80</v>
      </c>
      <c r="H2821" s="5">
        <f>ROUND(G2821*NOTAS!$B$2,2)</f>
        <v>5626.50</v>
      </c>
      <c r="I2821" s="6">
        <f>ROUND(G2821*NOTAS!$B$3,0)</f>
        <v>25341</v>
      </c>
      <c r="J2821" s="2" t="n">
        <v>1</v>
      </c>
    </row>
    <row r="2822">
      <c r="A2822" s="2" t="inlineStr">
        <is>
          <t>90467442</t>
        </is>
      </c>
      <c r="B2822" s="2" t="inlineStr"/>
      <c r="C2822" s="2" t="inlineStr">
        <is>
          <t>MANGUERA DESAHOGO TANQUE GASOLINA CORSA</t>
        </is>
      </c>
      <c r="D2822" s="2" t="inlineStr">
        <is>
          <t>GM</t>
        </is>
      </c>
      <c r="E2822" s="3" t="n">
        <v>15</v>
      </c>
      <c r="F2822" s="4" t="n">
        <v>0.3</v>
      </c>
      <c r="G2822" s="5">
        <f>ROUND(E2822*(1+F2822),2)</f>
        <v>19.50</v>
      </c>
      <c r="H2822" s="5">
        <f>ROUND(G2822*NOTAS!$B$2,2)</f>
        <v>14066.24</v>
      </c>
      <c r="I2822" s="6">
        <f>ROUND(G2822*NOTAS!$B$3,0)</f>
        <v>63353</v>
      </c>
      <c r="J2822" s="2" t="n">
        <v>3</v>
      </c>
    </row>
    <row r="2823">
      <c r="A2823" s="2" t="inlineStr">
        <is>
          <t>672</t>
        </is>
      </c>
      <c r="B2823" s="2" t="inlineStr"/>
      <c r="C2823" s="2" t="inlineStr">
        <is>
          <t>MANGUERA DESAHOGO TANQUE GASOLINA CORSA</t>
        </is>
      </c>
      <c r="D2823" s="2" t="inlineStr">
        <is>
          <t>TORFLEX</t>
        </is>
      </c>
      <c r="E2823" s="3" t="n">
        <v>9</v>
      </c>
      <c r="F2823" s="4" t="n">
        <v>0.3</v>
      </c>
      <c r="G2823" s="5">
        <f>ROUND(E2823*(1+F2823),2)</f>
        <v>11.70</v>
      </c>
      <c r="H2823" s="5">
        <f>ROUND(G2823*NOTAS!$B$2,2)</f>
        <v>8439.74</v>
      </c>
      <c r="I2823" s="6">
        <f>ROUND(G2823*NOTAS!$B$3,0)</f>
        <v>38012</v>
      </c>
      <c r="J2823" s="2" t="n">
        <v>2</v>
      </c>
    </row>
    <row r="2824">
      <c r="A2824" s="2" t="inlineStr">
        <is>
          <t>93231224</t>
        </is>
      </c>
      <c r="B2824" s="2" t="inlineStr"/>
      <c r="C2824" s="2" t="inlineStr">
        <is>
          <t>MANGUERA DESFOGUE CORSA</t>
        </is>
      </c>
      <c r="D2824" s="2" t="inlineStr">
        <is>
          <t>GM</t>
        </is>
      </c>
      <c r="E2824" s="3" t="n">
        <v>3</v>
      </c>
      <c r="F2824" s="4" t="n">
        <v>0.3</v>
      </c>
      <c r="G2824" s="5">
        <f>ROUND(E2824*(1+F2824),2)</f>
        <v>3.90</v>
      </c>
      <c r="H2824" s="5">
        <f>ROUND(G2824*NOTAS!$B$2,2)</f>
        <v>2813.25</v>
      </c>
      <c r="I2824" s="6">
        <f>ROUND(G2824*NOTAS!$B$3,0)</f>
        <v>12671</v>
      </c>
      <c r="J2824" s="2" t="n">
        <v>7</v>
      </c>
    </row>
    <row r="2825">
      <c r="A2825" s="2" t="inlineStr">
        <is>
          <t>3R3082</t>
        </is>
      </c>
      <c r="B2825" s="2" t="inlineStr"/>
      <c r="C2825" s="2" t="inlineStr">
        <is>
          <t>MANGUERA DESFOGUE CORSA</t>
        </is>
      </c>
      <c r="D2825" s="2" t="inlineStr">
        <is>
          <t>BRAZIL</t>
        </is>
      </c>
      <c r="E2825" s="3" t="n">
        <v>2</v>
      </c>
      <c r="F2825" s="4" t="n">
        <v>0.3</v>
      </c>
      <c r="G2825" s="5">
        <f>ROUND(E2825*(1+F2825),2)</f>
        <v>2.60</v>
      </c>
      <c r="H2825" s="5">
        <f>ROUND(G2825*NOTAS!$B$2,2)</f>
        <v>1875.50</v>
      </c>
      <c r="I2825" s="6">
        <f>ROUND(G2825*NOTAS!$B$3,0)</f>
        <v>8447</v>
      </c>
      <c r="J2825" s="2" t="n">
        <v>2</v>
      </c>
    </row>
    <row r="2826">
      <c r="A2826" s="2" t="inlineStr">
        <is>
          <t>TT-4016</t>
        </is>
      </c>
      <c r="B2826" s="2" t="inlineStr"/>
      <c r="C2826" s="2" t="inlineStr">
        <is>
          <t>MANGUERA DESFOGUE CORSA</t>
        </is>
      </c>
      <c r="D2826" s="2" t="inlineStr">
        <is>
          <t>BRAZIL</t>
        </is>
      </c>
      <c r="E2826" s="3" t="n">
        <v>2</v>
      </c>
      <c r="F2826" s="4" t="n">
        <v>0.3</v>
      </c>
      <c r="G2826" s="5">
        <f>ROUND(E2826*(1+F2826),2)</f>
        <v>2.60</v>
      </c>
      <c r="H2826" s="5">
        <f>ROUND(G2826*NOTAS!$B$2,2)</f>
        <v>1875.50</v>
      </c>
      <c r="I2826" s="6">
        <f>ROUND(G2826*NOTAS!$B$3,0)</f>
        <v>8447</v>
      </c>
      <c r="J2826" s="2" t="n">
        <v>2</v>
      </c>
    </row>
    <row r="2827">
      <c r="A2827" s="2" t="inlineStr">
        <is>
          <t>96536730</t>
        </is>
      </c>
      <c r="B2827" s="2" t="inlineStr"/>
      <c r="C2827" s="2" t="inlineStr">
        <is>
          <t>MANGUERA DUCTO PURIFICADOR AVEO 1.5</t>
        </is>
      </c>
      <c r="D2827" s="2" t="inlineStr">
        <is>
          <t>GM</t>
        </is>
      </c>
      <c r="E2827" s="3" t="n">
        <v>8</v>
      </c>
      <c r="F2827" s="4" t="n">
        <v>0.3</v>
      </c>
      <c r="G2827" s="5">
        <f>ROUND(E2827*(1+F2827),2)</f>
        <v>10.40</v>
      </c>
      <c r="H2827" s="5">
        <f>ROUND(G2827*NOTAS!$B$2,2)</f>
        <v>7501.99</v>
      </c>
      <c r="I2827" s="6">
        <f>ROUND(G2827*NOTAS!$B$3,0)</f>
        <v>33788</v>
      </c>
      <c r="J2827" s="2" t="n">
        <v>2</v>
      </c>
    </row>
    <row r="2828">
      <c r="A2828" s="2" t="inlineStr">
        <is>
          <t>90466213</t>
        </is>
      </c>
      <c r="B2828" s="2" t="inlineStr"/>
      <c r="C2828" s="2" t="inlineStr">
        <is>
          <t>MANGUERA DUCTO PURIFICADOR CORSA</t>
        </is>
      </c>
      <c r="D2828" s="2" t="inlineStr">
        <is>
          <t>GM</t>
        </is>
      </c>
      <c r="E2828" s="3" t="n">
        <v>12</v>
      </c>
      <c r="F2828" s="4" t="n">
        <v>0.3</v>
      </c>
      <c r="G2828" s="5">
        <f>ROUND(E2828*(1+F2828),2)</f>
        <v>15.60</v>
      </c>
      <c r="H2828" s="5">
        <f>ROUND(G2828*NOTAS!$B$2,2)</f>
        <v>11252.99</v>
      </c>
      <c r="I2828" s="6">
        <f>ROUND(G2828*NOTAS!$B$3,0)</f>
        <v>50682</v>
      </c>
      <c r="J2828" s="2" t="n">
        <v>2</v>
      </c>
    </row>
    <row r="2829">
      <c r="A2829" s="2" t="inlineStr">
        <is>
          <t>6001547597</t>
        </is>
      </c>
      <c r="B2829" s="2" t="inlineStr"/>
      <c r="C2829" s="2" t="inlineStr">
        <is>
          <t>MANGUERA DUCTO PURIFICADOR R-SYMBOL/LOGAN</t>
        </is>
      </c>
      <c r="D2829" s="2" t="inlineStr">
        <is>
          <t>RENAULT</t>
        </is>
      </c>
      <c r="E2829" s="3" t="n">
        <v>8</v>
      </c>
      <c r="F2829" s="4" t="n">
        <v>0.3</v>
      </c>
      <c r="G2829" s="5">
        <f>ROUND(E2829*(1+F2829),2)</f>
        <v>10.40</v>
      </c>
      <c r="H2829" s="5">
        <f>ROUND(G2829*NOTAS!$B$2,2)</f>
        <v>7501.99</v>
      </c>
      <c r="I2829" s="6">
        <f>ROUND(G2829*NOTAS!$B$3,0)</f>
        <v>33788</v>
      </c>
      <c r="J2829" s="2" t="n">
        <v>2</v>
      </c>
    </row>
    <row r="2830">
      <c r="A2830" s="2" t="inlineStr">
        <is>
          <t>RPFX0063.0</t>
        </is>
      </c>
      <c r="B2830" s="2" t="inlineStr"/>
      <c r="C2830" s="2" t="inlineStr">
        <is>
          <t>MANGUERA FRENO DELANTERA CHEVETTE</t>
        </is>
      </c>
      <c r="D2830" s="2" t="inlineStr">
        <is>
          <t>VARGA</t>
        </is>
      </c>
      <c r="E2830" s="3" t="n">
        <v>7.6923</v>
      </c>
      <c r="F2830" s="4" t="n">
        <v>0.3</v>
      </c>
      <c r="G2830" s="5">
        <f>ROUND(E2830*(1+F2830),2)</f>
        <v>10.00</v>
      </c>
      <c r="H2830" s="5">
        <f>ROUND(G2830*NOTAS!$B$2,2)</f>
        <v>7213.46</v>
      </c>
      <c r="I2830" s="6">
        <f>ROUND(G2830*NOTAS!$B$3,0)</f>
        <v>32489</v>
      </c>
      <c r="J2830" s="2" t="n">
        <v>3</v>
      </c>
    </row>
    <row r="2831">
      <c r="A2831" s="2" t="inlineStr">
        <is>
          <t>30033</t>
        </is>
      </c>
      <c r="B2831" s="2" t="inlineStr"/>
      <c r="C2831" s="2" t="inlineStr">
        <is>
          <t>MANGUERA FRENO DELANTERA CORCEL</t>
        </is>
      </c>
      <c r="D2831" s="2" t="inlineStr">
        <is>
          <t>NORFLEX</t>
        </is>
      </c>
      <c r="E2831" s="3" t="n">
        <v>7.6923</v>
      </c>
      <c r="F2831" s="4" t="n">
        <v>0.3</v>
      </c>
      <c r="G2831" s="5">
        <f>ROUND(E2831*(1+F2831),2)</f>
        <v>10.00</v>
      </c>
      <c r="H2831" s="5">
        <f>ROUND(G2831*NOTAS!$B$2,2)</f>
        <v>7213.46</v>
      </c>
      <c r="I2831" s="6">
        <f>ROUND(G2831*NOTAS!$B$3,0)</f>
        <v>32489</v>
      </c>
      <c r="J2831" s="2" t="n">
        <v>3</v>
      </c>
    </row>
    <row r="2832">
      <c r="A2832" s="2" t="inlineStr"/>
      <c r="B2832" s="2" t="inlineStr"/>
      <c r="C2832" s="2" t="inlineStr">
        <is>
          <t>MANGUERA FRENO DELANTERA CORCEL</t>
        </is>
      </c>
      <c r="D2832" s="2" t="inlineStr">
        <is>
          <t>BKPS</t>
        </is>
      </c>
      <c r="E2832" s="3" t="n">
        <v>7.6923</v>
      </c>
      <c r="F2832" s="4" t="n">
        <v>0.3</v>
      </c>
      <c r="G2832" s="5">
        <f>ROUND(E2832*(1+F2832),2)</f>
        <v>10.00</v>
      </c>
      <c r="H2832" s="5">
        <f>ROUND(G2832*NOTAS!$B$2,2)</f>
        <v>7213.46</v>
      </c>
      <c r="I2832" s="6">
        <f>ROUND(G2832*NOTAS!$B$3,0)</f>
        <v>32489</v>
      </c>
      <c r="J2832" s="2" t="n">
        <v>1</v>
      </c>
    </row>
    <row r="2833">
      <c r="A2833" s="2" t="inlineStr">
        <is>
          <t>131265</t>
        </is>
      </c>
      <c r="B2833" s="2" t="inlineStr"/>
      <c r="C2833" s="2" t="inlineStr">
        <is>
          <t>MANGUERA FRENO DELANTERA CORCEL</t>
        </is>
      </c>
      <c r="D2833" s="2" t="inlineStr">
        <is>
          <t>EUROBRAS</t>
        </is>
      </c>
      <c r="E2833" s="3" t="n">
        <v>7.6923</v>
      </c>
      <c r="F2833" s="4" t="n">
        <v>0.3</v>
      </c>
      <c r="G2833" s="5">
        <f>ROUND(E2833*(1+F2833),2)</f>
        <v>10.00</v>
      </c>
      <c r="H2833" s="5">
        <f>ROUND(G2833*NOTAS!$B$2,2)</f>
        <v>7213.46</v>
      </c>
      <c r="I2833" s="6">
        <f>ROUND(G2833*NOTAS!$B$3,0)</f>
        <v>32489</v>
      </c>
      <c r="J2833" s="2" t="n">
        <v>4</v>
      </c>
    </row>
    <row r="2834">
      <c r="A2834" s="2" t="inlineStr">
        <is>
          <t>4040</t>
        </is>
      </c>
      <c r="B2834" s="2" t="inlineStr"/>
      <c r="C2834" s="2" t="inlineStr">
        <is>
          <t>MANGUERA FRENO DELANTERA CORSA</t>
        </is>
      </c>
      <c r="D2834" s="2" t="inlineStr">
        <is>
          <t>NORFLEX</t>
        </is>
      </c>
      <c r="E2834" s="3" t="n">
        <v>7.6923</v>
      </c>
      <c r="F2834" s="4" t="n">
        <v>0.3</v>
      </c>
      <c r="G2834" s="5">
        <f>ROUND(E2834*(1+F2834),2)</f>
        <v>10.00</v>
      </c>
      <c r="H2834" s="5">
        <f>ROUND(G2834*NOTAS!$B$2,2)</f>
        <v>7213.46</v>
      </c>
      <c r="I2834" s="6">
        <f>ROUND(G2834*NOTAS!$B$3,0)</f>
        <v>32489</v>
      </c>
      <c r="J2834" s="2" t="n">
        <v>2</v>
      </c>
    </row>
    <row r="2835">
      <c r="A2835" s="2" t="inlineStr"/>
      <c r="B2835" s="2" t="inlineStr"/>
      <c r="C2835" s="2" t="inlineStr">
        <is>
          <t xml:space="preserve">MANGUERA FRENO DELANTERA DAEWOO RACER </t>
        </is>
      </c>
      <c r="D2835" s="2" t="inlineStr">
        <is>
          <t>BKPS</t>
        </is>
      </c>
      <c r="E2835" s="3" t="n">
        <v>7.6923</v>
      </c>
      <c r="F2835" s="4" t="n">
        <v>0.3</v>
      </c>
      <c r="G2835" s="5">
        <f>ROUND(E2835*(1+F2835),2)</f>
        <v>10.00</v>
      </c>
      <c r="H2835" s="5">
        <f>ROUND(G2835*NOTAS!$B$2,2)</f>
        <v>7213.46</v>
      </c>
      <c r="I2835" s="6">
        <f>ROUND(G2835*NOTAS!$B$3,0)</f>
        <v>32489</v>
      </c>
      <c r="J2835" s="2" t="n">
        <v>10</v>
      </c>
    </row>
    <row r="2836">
      <c r="A2836" s="2" t="inlineStr">
        <is>
          <t>2001</t>
        </is>
      </c>
      <c r="B2836" s="2" t="inlineStr"/>
      <c r="C2836" s="2" t="inlineStr">
        <is>
          <t>MANGUERA FRENO DELANTERA F-147/SPAZIO</t>
        </is>
      </c>
      <c r="D2836" s="2" t="inlineStr">
        <is>
          <t>NORFLEX</t>
        </is>
      </c>
      <c r="E2836" s="3" t="n">
        <v>7.6923</v>
      </c>
      <c r="F2836" s="4" t="n">
        <v>0.3</v>
      </c>
      <c r="G2836" s="5">
        <f>ROUND(E2836*(1+F2836),2)</f>
        <v>10.00</v>
      </c>
      <c r="H2836" s="5">
        <f>ROUND(G2836*NOTAS!$B$2,2)</f>
        <v>7213.46</v>
      </c>
      <c r="I2836" s="6">
        <f>ROUND(G2836*NOTAS!$B$3,0)</f>
        <v>32489</v>
      </c>
      <c r="J2836" s="2" t="n">
        <v>8</v>
      </c>
    </row>
    <row r="2837">
      <c r="A2837" s="2" t="inlineStr">
        <is>
          <t>111215</t>
        </is>
      </c>
      <c r="B2837" s="2" t="inlineStr"/>
      <c r="C2837" s="2" t="inlineStr">
        <is>
          <t>MANGUERA FRENO DELANTERA F-147/SPAZIO</t>
        </is>
      </c>
      <c r="D2837" s="2" t="inlineStr">
        <is>
          <t>EUROBRAS</t>
        </is>
      </c>
      <c r="E2837" s="3" t="n">
        <v>7.6923</v>
      </c>
      <c r="F2837" s="4" t="n">
        <v>0.3</v>
      </c>
      <c r="G2837" s="5">
        <f>ROUND(E2837*(1+F2837),2)</f>
        <v>10.00</v>
      </c>
      <c r="H2837" s="5">
        <f>ROUND(G2837*NOTAS!$B$2,2)</f>
        <v>7213.46</v>
      </c>
      <c r="I2837" s="6">
        <f>ROUND(G2837*NOTAS!$B$3,0)</f>
        <v>32489</v>
      </c>
      <c r="J2837" s="2" t="n">
        <v>6</v>
      </c>
    </row>
    <row r="2838">
      <c r="A2838" s="2" t="inlineStr">
        <is>
          <t>KK15143980</t>
        </is>
      </c>
      <c r="B2838" s="2" t="inlineStr"/>
      <c r="C2838" s="2" t="inlineStr">
        <is>
          <t>MANGUERA FRENO DELANTERA FESTIVA</t>
        </is>
      </c>
      <c r="D2838" s="2" t="inlineStr">
        <is>
          <t>HYUNDAI</t>
        </is>
      </c>
      <c r="E2838" s="3" t="n">
        <v>7.6923</v>
      </c>
      <c r="F2838" s="4" t="n">
        <v>0.3</v>
      </c>
      <c r="G2838" s="5">
        <f>ROUND(E2838*(1+F2838),2)</f>
        <v>10.00</v>
      </c>
      <c r="H2838" s="5">
        <f>ROUND(G2838*NOTAS!$B$2,2)</f>
        <v>7213.46</v>
      </c>
      <c r="I2838" s="6">
        <f>ROUND(G2838*NOTAS!$B$3,0)</f>
        <v>32489</v>
      </c>
      <c r="J2838" s="2" t="n">
        <v>1</v>
      </c>
    </row>
    <row r="2839">
      <c r="A2839" s="2" t="inlineStr"/>
      <c r="B2839" s="2" t="inlineStr"/>
      <c r="C2839" s="2" t="inlineStr">
        <is>
          <t>MANGUERA FRENO DELANTERA FIESTA</t>
        </is>
      </c>
      <c r="D2839" s="2" t="inlineStr"/>
      <c r="E2839" s="3" t="n">
        <v>7.6923</v>
      </c>
      <c r="F2839" s="4" t="n">
        <v>0.3</v>
      </c>
      <c r="G2839" s="5">
        <f>ROUND(E2839*(1+F2839),2)</f>
        <v>10.00</v>
      </c>
      <c r="H2839" s="5">
        <f>ROUND(G2839*NOTAS!$B$2,2)</f>
        <v>7213.46</v>
      </c>
      <c r="I2839" s="6">
        <f>ROUND(G2839*NOTAS!$B$3,0)</f>
        <v>32489</v>
      </c>
      <c r="J2839" s="2" t="n">
        <v>3</v>
      </c>
    </row>
    <row r="2840">
      <c r="A2840" s="2" t="inlineStr">
        <is>
          <t>905016</t>
        </is>
      </c>
      <c r="B2840" s="2" t="inlineStr">
        <is>
          <t>2S652078AE</t>
        </is>
      </c>
      <c r="C2840" s="2" t="inlineStr">
        <is>
          <t>MANGUERA FRENO DELANTERA FIESTA/ECOSPORT</t>
        </is>
      </c>
      <c r="D2840" s="2" t="inlineStr">
        <is>
          <t>FORD</t>
        </is>
      </c>
      <c r="E2840" s="3" t="n">
        <v>7.6923</v>
      </c>
      <c r="F2840" s="4" t="n">
        <v>0.3</v>
      </c>
      <c r="G2840" s="5">
        <f>ROUND(E2840*(1+F2840),2)</f>
        <v>10.00</v>
      </c>
      <c r="H2840" s="5">
        <f>ROUND(G2840*NOTAS!$B$2,2)</f>
        <v>7213.46</v>
      </c>
      <c r="I2840" s="6">
        <f>ROUND(G2840*NOTAS!$B$3,0)</f>
        <v>32489</v>
      </c>
      <c r="J2840" s="2" t="n">
        <v>1</v>
      </c>
    </row>
    <row r="2841">
      <c r="A2841" s="2" t="inlineStr">
        <is>
          <t>RPFX0012.0</t>
        </is>
      </c>
      <c r="B2841" s="2" t="inlineStr"/>
      <c r="C2841" s="2" t="inlineStr">
        <is>
          <t>MANGUERA FRENO DELANTERA F-PALIO/SIENA</t>
        </is>
      </c>
      <c r="D2841" s="2" t="inlineStr">
        <is>
          <t>VARGA</t>
        </is>
      </c>
      <c r="E2841" s="3" t="n">
        <v>7.6923</v>
      </c>
      <c r="F2841" s="4" t="n">
        <v>0.3</v>
      </c>
      <c r="G2841" s="5">
        <f>ROUND(E2841*(1+F2841),2)</f>
        <v>10.00</v>
      </c>
      <c r="H2841" s="5">
        <f>ROUND(G2841*NOTAS!$B$2,2)</f>
        <v>7213.46</v>
      </c>
      <c r="I2841" s="6">
        <f>ROUND(G2841*NOTAS!$B$3,0)</f>
        <v>32489</v>
      </c>
      <c r="J2841" s="2" t="n">
        <v>6</v>
      </c>
    </row>
    <row r="2842">
      <c r="A2842" s="2" t="inlineStr"/>
      <c r="B2842" s="2" t="inlineStr"/>
      <c r="C2842" s="2" t="inlineStr">
        <is>
          <t>MANGUERA FRENO DELANTERA F-REGATA/RITMO</t>
        </is>
      </c>
      <c r="D2842" s="2" t="inlineStr">
        <is>
          <t>EUROBRAS</t>
        </is>
      </c>
      <c r="E2842" s="3" t="n">
        <v>7.6923</v>
      </c>
      <c r="F2842" s="4" t="n">
        <v>0.3</v>
      </c>
      <c r="G2842" s="5">
        <f>ROUND(E2842*(1+F2842),2)</f>
        <v>10.00</v>
      </c>
      <c r="H2842" s="5">
        <f>ROUND(G2842*NOTAS!$B$2,2)</f>
        <v>7213.46</v>
      </c>
      <c r="I2842" s="6">
        <f>ROUND(G2842*NOTAS!$B$3,0)</f>
        <v>32489</v>
      </c>
      <c r="J2842" s="2" t="n">
        <v>4</v>
      </c>
    </row>
    <row r="2843">
      <c r="A2843" s="2" t="inlineStr"/>
      <c r="B2843" s="2" t="inlineStr"/>
      <c r="C2843" s="2" t="inlineStr">
        <is>
          <t>MANGUERA FRENO DELANTERA LADA SEDAN</t>
        </is>
      </c>
      <c r="D2843" s="2" t="inlineStr">
        <is>
          <t>EUROBRAS</t>
        </is>
      </c>
      <c r="E2843" s="3" t="n">
        <v>7.6923</v>
      </c>
      <c r="F2843" s="4" t="n">
        <v>0.3</v>
      </c>
      <c r="G2843" s="5">
        <f>ROUND(E2843*(1+F2843),2)</f>
        <v>10.00</v>
      </c>
      <c r="H2843" s="5">
        <f>ROUND(G2843*NOTAS!$B$2,2)</f>
        <v>7213.46</v>
      </c>
      <c r="I2843" s="6">
        <f>ROUND(G2843*NOTAS!$B$3,0)</f>
        <v>32489</v>
      </c>
      <c r="J2843" s="2" t="n">
        <v>4</v>
      </c>
    </row>
    <row r="2844">
      <c r="A2844" s="2" t="inlineStr"/>
      <c r="B2844" s="2" t="inlineStr"/>
      <c r="C2844" s="2" t="inlineStr">
        <is>
          <t>MANGUERA FRENO DELANTERA R-12</t>
        </is>
      </c>
      <c r="D2844" s="2" t="inlineStr">
        <is>
          <t>EUROBRAS</t>
        </is>
      </c>
      <c r="E2844" s="3" t="n">
        <v>7.6923</v>
      </c>
      <c r="F2844" s="4" t="n">
        <v>0.3</v>
      </c>
      <c r="G2844" s="5">
        <f>ROUND(E2844*(1+F2844),2)</f>
        <v>10.00</v>
      </c>
      <c r="H2844" s="5">
        <f>ROUND(G2844*NOTAS!$B$2,2)</f>
        <v>7213.46</v>
      </c>
      <c r="I2844" s="6">
        <f>ROUND(G2844*NOTAS!$B$3,0)</f>
        <v>32489</v>
      </c>
      <c r="J2844" s="2" t="n">
        <v>4</v>
      </c>
    </row>
    <row r="2845">
      <c r="A2845" s="2" t="inlineStr">
        <is>
          <t>RPFX0164.0</t>
        </is>
      </c>
      <c r="B2845" s="2" t="inlineStr"/>
      <c r="C2845" s="2" t="inlineStr">
        <is>
          <t>MANGUERA FRENO DELANTERA R-19 1.4</t>
        </is>
      </c>
      <c r="D2845" s="2" t="inlineStr">
        <is>
          <t>VARGA</t>
        </is>
      </c>
      <c r="E2845" s="3" t="n">
        <v>7.6923</v>
      </c>
      <c r="F2845" s="4" t="n">
        <v>0.3</v>
      </c>
      <c r="G2845" s="5">
        <f>ROUND(E2845*(1+F2845),2)</f>
        <v>10.00</v>
      </c>
      <c r="H2845" s="5">
        <f>ROUND(G2845*NOTAS!$B$2,2)</f>
        <v>7213.46</v>
      </c>
      <c r="I2845" s="6">
        <f>ROUND(G2845*NOTAS!$B$3,0)</f>
        <v>32489</v>
      </c>
      <c r="J2845" s="2" t="n">
        <v>12</v>
      </c>
    </row>
    <row r="2846">
      <c r="A2846" s="2" t="inlineStr"/>
      <c r="B2846" s="2" t="inlineStr"/>
      <c r="C2846" s="2" t="inlineStr">
        <is>
          <t>MANGUERA FRENO DELANTERA R-FUEGO</t>
        </is>
      </c>
      <c r="D2846" s="2" t="inlineStr">
        <is>
          <t>EUROBRAS</t>
        </is>
      </c>
      <c r="E2846" s="3" t="n">
        <v>7.6923</v>
      </c>
      <c r="F2846" s="4" t="n">
        <v>0.3</v>
      </c>
      <c r="G2846" s="5">
        <f>ROUND(E2846*(1+F2846),2)</f>
        <v>10.00</v>
      </c>
      <c r="H2846" s="5">
        <f>ROUND(G2846*NOTAS!$B$2,2)</f>
        <v>7213.46</v>
      </c>
      <c r="I2846" s="6">
        <f>ROUND(G2846*NOTAS!$B$3,0)</f>
        <v>32489</v>
      </c>
      <c r="J2846" s="2" t="n">
        <v>3</v>
      </c>
    </row>
    <row r="2847">
      <c r="A2847" s="2" t="inlineStr"/>
      <c r="B2847" s="2" t="inlineStr"/>
      <c r="C2847" s="2" t="inlineStr">
        <is>
          <t>MANGUERA FRENO TRASERA CHEVETTE</t>
        </is>
      </c>
      <c r="D2847" s="2" t="inlineStr">
        <is>
          <t>LUCIFLEX</t>
        </is>
      </c>
      <c r="E2847" s="3" t="n">
        <v>6.9231</v>
      </c>
      <c r="F2847" s="4" t="n">
        <v>0.3</v>
      </c>
      <c r="G2847" s="5">
        <f>ROUND(E2847*(1+F2847),2)</f>
        <v>9.00</v>
      </c>
      <c r="H2847" s="5">
        <f>ROUND(G2847*NOTAS!$B$2,2)</f>
        <v>6492.11</v>
      </c>
      <c r="I2847" s="6">
        <f>ROUND(G2847*NOTAS!$B$3,0)</f>
        <v>29240</v>
      </c>
      <c r="J2847" s="2" t="n">
        <v>14</v>
      </c>
    </row>
    <row r="2848">
      <c r="A2848" s="2" t="inlineStr">
        <is>
          <t>72118</t>
        </is>
      </c>
      <c r="B2848" s="2" t="inlineStr"/>
      <c r="C2848" s="2" t="inlineStr">
        <is>
          <t>MANGUERA FRENO TRASERA CORCEL</t>
        </is>
      </c>
      <c r="D2848" s="2" t="inlineStr">
        <is>
          <t>L.FLEX</t>
        </is>
      </c>
      <c r="E2848" s="3" t="n">
        <v>6.9231</v>
      </c>
      <c r="F2848" s="4" t="n">
        <v>0.3</v>
      </c>
      <c r="G2848" s="5">
        <f>ROUND(E2848*(1+F2848),2)</f>
        <v>9.00</v>
      </c>
      <c r="H2848" s="5">
        <f>ROUND(G2848*NOTAS!$B$2,2)</f>
        <v>6492.11</v>
      </c>
      <c r="I2848" s="6">
        <f>ROUND(G2848*NOTAS!$B$3,0)</f>
        <v>29240</v>
      </c>
      <c r="J2848" s="2" t="n">
        <v>1</v>
      </c>
    </row>
    <row r="2849">
      <c r="A2849" s="2" t="inlineStr">
        <is>
          <t>RPFX0101.0</t>
        </is>
      </c>
      <c r="B2849" s="2" t="inlineStr"/>
      <c r="C2849" s="2" t="inlineStr">
        <is>
          <t>MANGUERA FRENO TRASERA CORSA</t>
        </is>
      </c>
      <c r="D2849" s="2" t="inlineStr">
        <is>
          <t>VARGA</t>
        </is>
      </c>
      <c r="E2849" s="3" t="n">
        <v>6.9231</v>
      </c>
      <c r="F2849" s="4" t="n">
        <v>0.3</v>
      </c>
      <c r="G2849" s="5">
        <f>ROUND(E2849*(1+F2849),2)</f>
        <v>9.00</v>
      </c>
      <c r="H2849" s="5">
        <f>ROUND(G2849*NOTAS!$B$2,2)</f>
        <v>6492.11</v>
      </c>
      <c r="I2849" s="6">
        <f>ROUND(G2849*NOTAS!$B$3,0)</f>
        <v>29240</v>
      </c>
      <c r="J2849" s="2" t="n">
        <v>4</v>
      </c>
    </row>
    <row r="2850">
      <c r="A2850" s="2" t="inlineStr">
        <is>
          <t>RPFX0011.0</t>
        </is>
      </c>
      <c r="B2850" s="2" t="inlineStr"/>
      <c r="C2850" s="2" t="inlineStr">
        <is>
          <t>MANGUERA FRENO TRASERA F-PAL/SIE</t>
        </is>
      </c>
      <c r="D2850" s="2" t="inlineStr">
        <is>
          <t>VARGA</t>
        </is>
      </c>
      <c r="E2850" s="3" t="n">
        <v>6.9231</v>
      </c>
      <c r="F2850" s="4" t="n">
        <v>0.3</v>
      </c>
      <c r="G2850" s="5">
        <f>ROUND(E2850*(1+F2850),2)</f>
        <v>9.00</v>
      </c>
      <c r="H2850" s="5">
        <f>ROUND(G2850*NOTAS!$B$2,2)</f>
        <v>6492.11</v>
      </c>
      <c r="I2850" s="6">
        <f>ROUND(G2850*NOTAS!$B$3,0)</f>
        <v>29240</v>
      </c>
      <c r="J2850" s="2" t="n">
        <v>6</v>
      </c>
    </row>
    <row r="2851">
      <c r="A2851" s="2" t="inlineStr"/>
      <c r="B2851" s="2" t="inlineStr"/>
      <c r="C2851" s="2" t="inlineStr">
        <is>
          <t>MANGUERA FRENO TRASERA F-PAL/SIE</t>
        </is>
      </c>
      <c r="D2851" s="2" t="inlineStr">
        <is>
          <t>EUROBRAS</t>
        </is>
      </c>
      <c r="E2851" s="3" t="n">
        <v>6.9231</v>
      </c>
      <c r="F2851" s="4" t="n">
        <v>0.3</v>
      </c>
      <c r="G2851" s="5">
        <f>ROUND(E2851*(1+F2851),2)</f>
        <v>9.00</v>
      </c>
      <c r="H2851" s="5">
        <f>ROUND(G2851*NOTAS!$B$2,2)</f>
        <v>6492.11</v>
      </c>
      <c r="I2851" s="6">
        <f>ROUND(G2851*NOTAS!$B$3,0)</f>
        <v>29240</v>
      </c>
      <c r="J2851" s="2" t="n">
        <v>6</v>
      </c>
    </row>
    <row r="2852">
      <c r="A2852" s="2" t="inlineStr"/>
      <c r="B2852" s="2" t="inlineStr"/>
      <c r="C2852" s="2" t="inlineStr">
        <is>
          <t>MANGUERA FRENO TRASERA F-REGATA/RITMO</t>
        </is>
      </c>
      <c r="D2852" s="2" t="inlineStr">
        <is>
          <t>EUROBRAS</t>
        </is>
      </c>
      <c r="E2852" s="3" t="n">
        <v>6.9231</v>
      </c>
      <c r="F2852" s="4" t="n">
        <v>0.3</v>
      </c>
      <c r="G2852" s="5">
        <f>ROUND(E2852*(1+F2852),2)</f>
        <v>9.00</v>
      </c>
      <c r="H2852" s="5">
        <f>ROUND(G2852*NOTAS!$B$2,2)</f>
        <v>6492.11</v>
      </c>
      <c r="I2852" s="6">
        <f>ROUND(G2852*NOTAS!$B$3,0)</f>
        <v>29240</v>
      </c>
      <c r="J2852" s="2" t="n">
        <v>1</v>
      </c>
    </row>
    <row r="2853">
      <c r="A2853" s="2" t="inlineStr">
        <is>
          <t>1401</t>
        </is>
      </c>
      <c r="B2853" s="2" t="inlineStr"/>
      <c r="C2853" s="2" t="inlineStr">
        <is>
          <t>MANGUERA FRENO TRASERA F-TEMPRA</t>
        </is>
      </c>
      <c r="D2853" s="2" t="inlineStr">
        <is>
          <t>KEYBOL</t>
        </is>
      </c>
      <c r="E2853" s="3" t="n">
        <v>6.9231</v>
      </c>
      <c r="F2853" s="4" t="n">
        <v>0.3</v>
      </c>
      <c r="G2853" s="5">
        <f>ROUND(E2853*(1+F2853),2)</f>
        <v>9.00</v>
      </c>
      <c r="H2853" s="5">
        <f>ROUND(G2853*NOTAS!$B$2,2)</f>
        <v>6492.11</v>
      </c>
      <c r="I2853" s="6">
        <f>ROUND(G2853*NOTAS!$B$3,0)</f>
        <v>29240</v>
      </c>
      <c r="J2853" s="2" t="n">
        <v>1</v>
      </c>
    </row>
    <row r="2854">
      <c r="A2854" s="2" t="inlineStr">
        <is>
          <t>RPFX0008.0</t>
        </is>
      </c>
      <c r="B2854" s="2" t="inlineStr"/>
      <c r="C2854" s="2" t="inlineStr">
        <is>
          <t>MANGUERA FRENO TRASERA F-UNO/PREMIO</t>
        </is>
      </c>
      <c r="D2854" s="2" t="inlineStr">
        <is>
          <t>VARGA</t>
        </is>
      </c>
      <c r="E2854" s="3" t="n">
        <v>6.9231</v>
      </c>
      <c r="F2854" s="4" t="n">
        <v>0.3</v>
      </c>
      <c r="G2854" s="5">
        <f>ROUND(E2854*(1+F2854),2)</f>
        <v>9.00</v>
      </c>
      <c r="H2854" s="5">
        <f>ROUND(G2854*NOTAS!$B$2,2)</f>
        <v>6492.11</v>
      </c>
      <c r="I2854" s="6">
        <f>ROUND(G2854*NOTAS!$B$3,0)</f>
        <v>29240</v>
      </c>
      <c r="J2854" s="2" t="n">
        <v>1</v>
      </c>
    </row>
    <row r="2855">
      <c r="A2855" s="2" t="inlineStr"/>
      <c r="B2855" s="2" t="inlineStr"/>
      <c r="C2855" s="2" t="inlineStr">
        <is>
          <t>MANGUERA FRENO TRASERA R-18/FUEGO</t>
        </is>
      </c>
      <c r="D2855" s="2" t="inlineStr">
        <is>
          <t>EUROBRAS</t>
        </is>
      </c>
      <c r="E2855" s="3" t="n">
        <v>6.9231</v>
      </c>
      <c r="F2855" s="4" t="n">
        <v>0.3</v>
      </c>
      <c r="G2855" s="5">
        <f>ROUND(E2855*(1+F2855),2)</f>
        <v>9.00</v>
      </c>
      <c r="H2855" s="5">
        <f>ROUND(G2855*NOTAS!$B$2,2)</f>
        <v>6492.11</v>
      </c>
      <c r="I2855" s="6">
        <f>ROUND(G2855*NOTAS!$B$3,0)</f>
        <v>29240</v>
      </c>
      <c r="J2855" s="2" t="n">
        <v>3</v>
      </c>
    </row>
    <row r="2856">
      <c r="A2856" s="2" t="inlineStr">
        <is>
          <t>411223</t>
        </is>
      </c>
      <c r="B2856" s="2" t="inlineStr"/>
      <c r="C2856" s="2" t="inlineStr">
        <is>
          <t>MANGUERA FRENO TRASERA R-19 1.4</t>
        </is>
      </c>
      <c r="D2856" s="2" t="inlineStr">
        <is>
          <t>EUROBRAS</t>
        </is>
      </c>
      <c r="E2856" s="3" t="n">
        <v>6.9231</v>
      </c>
      <c r="F2856" s="4" t="n">
        <v>0.3</v>
      </c>
      <c r="G2856" s="5">
        <f>ROUND(E2856*(1+F2856),2)</f>
        <v>9.00</v>
      </c>
      <c r="H2856" s="5">
        <f>ROUND(G2856*NOTAS!$B$2,2)</f>
        <v>6492.11</v>
      </c>
      <c r="I2856" s="6">
        <f>ROUND(G2856*NOTAS!$B$3,0)</f>
        <v>29240</v>
      </c>
      <c r="J2856" s="2" t="n">
        <v>8</v>
      </c>
    </row>
    <row r="2857">
      <c r="A2857" s="2" t="inlineStr"/>
      <c r="B2857" s="2" t="inlineStr"/>
      <c r="C2857" s="2" t="inlineStr">
        <is>
          <t>MANGUERA FRENO TRASERA R-5</t>
        </is>
      </c>
      <c r="D2857" s="2" t="inlineStr">
        <is>
          <t>EUROBRAS</t>
        </is>
      </c>
      <c r="E2857" s="3" t="n">
        <v>6.9231</v>
      </c>
      <c r="F2857" s="4" t="n">
        <v>0.3</v>
      </c>
      <c r="G2857" s="5">
        <f>ROUND(E2857*(1+F2857),2)</f>
        <v>9.00</v>
      </c>
      <c r="H2857" s="5">
        <f>ROUND(G2857*NOTAS!$B$2,2)</f>
        <v>6492.11</v>
      </c>
      <c r="I2857" s="6">
        <f>ROUND(G2857*NOTAS!$B$3,0)</f>
        <v>29240</v>
      </c>
      <c r="J2857" s="2" t="n">
        <v>8</v>
      </c>
    </row>
    <row r="2858">
      <c r="A2858" s="2" t="inlineStr">
        <is>
          <t>96180801</t>
        </is>
      </c>
      <c r="B2858" s="2" t="inlineStr"/>
      <c r="C2858" s="2" t="inlineStr">
        <is>
          <t>MANGUERA GASES CIELO</t>
        </is>
      </c>
      <c r="D2858" s="2" t="inlineStr">
        <is>
          <t>KOREA</t>
        </is>
      </c>
      <c r="E2858" s="3" t="n">
        <v>3</v>
      </c>
      <c r="F2858" s="4" t="n">
        <v>0.3</v>
      </c>
      <c r="G2858" s="5">
        <f>ROUND(E2858*(1+F2858),2)</f>
        <v>3.90</v>
      </c>
      <c r="H2858" s="5">
        <f>ROUND(G2858*NOTAS!$B$2,2)</f>
        <v>2813.25</v>
      </c>
      <c r="I2858" s="6">
        <f>ROUND(G2858*NOTAS!$B$3,0)</f>
        <v>12671</v>
      </c>
      <c r="J2858" s="2" t="n">
        <v>1</v>
      </c>
    </row>
    <row r="2859">
      <c r="A2859" s="2" t="inlineStr">
        <is>
          <t>TX0080</t>
        </is>
      </c>
      <c r="B2859" s="2" t="inlineStr"/>
      <c r="C2859" s="2" t="inlineStr">
        <is>
          <t>MANGUERA GASES F-UNO/PREMIO</t>
        </is>
      </c>
      <c r="D2859" s="2" t="inlineStr">
        <is>
          <t>TORFLEX</t>
        </is>
      </c>
      <c r="E2859" s="3" t="n">
        <v>8</v>
      </c>
      <c r="F2859" s="4" t="n">
        <v>0.3</v>
      </c>
      <c r="G2859" s="5">
        <f>ROUND(E2859*(1+F2859),2)</f>
        <v>10.40</v>
      </c>
      <c r="H2859" s="5">
        <f>ROUND(G2859*NOTAS!$B$2,2)</f>
        <v>7501.99</v>
      </c>
      <c r="I2859" s="6">
        <f>ROUND(G2859*NOTAS!$B$3,0)</f>
        <v>33788</v>
      </c>
      <c r="J2859" s="2" t="n">
        <v>14</v>
      </c>
    </row>
    <row r="2860">
      <c r="A2860" s="2" t="inlineStr">
        <is>
          <t>TX0081</t>
        </is>
      </c>
      <c r="B2860" s="2" t="inlineStr"/>
      <c r="C2860" s="2" t="inlineStr">
        <is>
          <t>MANGUERA GASES F-UNO/PREMIO BASTON</t>
        </is>
      </c>
      <c r="D2860" s="2" t="inlineStr">
        <is>
          <t>TORFLEX</t>
        </is>
      </c>
      <c r="E2860" s="3" t="n">
        <v>7</v>
      </c>
      <c r="F2860" s="4" t="n">
        <v>0.3</v>
      </c>
      <c r="G2860" s="5">
        <f>ROUND(E2860*(1+F2860),2)</f>
        <v>9.10</v>
      </c>
      <c r="H2860" s="5">
        <f>ROUND(G2860*NOTAS!$B$2,2)</f>
        <v>6564.24</v>
      </c>
      <c r="I2860" s="6">
        <f>ROUND(G2860*NOTAS!$B$3,0)</f>
        <v>29565</v>
      </c>
      <c r="J2860" s="2" t="n">
        <v>5</v>
      </c>
    </row>
    <row r="2861">
      <c r="A2861" s="2" t="inlineStr">
        <is>
          <t>52270886</t>
        </is>
      </c>
      <c r="B2861" s="2" t="inlineStr"/>
      <c r="C2861" s="2" t="inlineStr">
        <is>
          <t>MANGUERA GASES MONZA</t>
        </is>
      </c>
      <c r="D2861" s="2" t="inlineStr">
        <is>
          <t>GM</t>
        </is>
      </c>
      <c r="E2861" s="3" t="n">
        <v>6.1538</v>
      </c>
      <c r="F2861" s="4" t="n">
        <v>0.3</v>
      </c>
      <c r="G2861" s="5">
        <f>ROUND(E2861*(1+F2861),2)</f>
        <v>8.00</v>
      </c>
      <c r="H2861" s="5">
        <f>ROUND(G2861*NOTAS!$B$2,2)</f>
        <v>5770.76</v>
      </c>
      <c r="I2861" s="6">
        <f>ROUND(G2861*NOTAS!$B$3,0)</f>
        <v>25991</v>
      </c>
      <c r="J2861" s="2" t="n">
        <v>1</v>
      </c>
    </row>
    <row r="2862">
      <c r="A2862" s="2" t="inlineStr"/>
      <c r="B2862" s="2" t="inlineStr"/>
      <c r="C2862" s="2" t="inlineStr">
        <is>
          <t xml:space="preserve">MANGUERA RADIADOR INFERIOR AVEO </t>
        </is>
      </c>
      <c r="D2862" s="2" t="inlineStr">
        <is>
          <t>ALCOR</t>
        </is>
      </c>
      <c r="E2862" s="3" t="n">
        <v>6</v>
      </c>
      <c r="F2862" s="4" t="n">
        <v>0.3</v>
      </c>
      <c r="G2862" s="5">
        <f>ROUND(E2862*(1+F2862),2)</f>
        <v>7.80</v>
      </c>
      <c r="H2862" s="5">
        <f>ROUND(G2862*NOTAS!$B$2,2)</f>
        <v>5626.50</v>
      </c>
      <c r="I2862" s="6">
        <f>ROUND(G2862*NOTAS!$B$3,0)</f>
        <v>25341</v>
      </c>
      <c r="J2862" s="2" t="n">
        <v>1</v>
      </c>
    </row>
    <row r="2863">
      <c r="A2863" s="2" t="inlineStr">
        <is>
          <t>8381150</t>
        </is>
      </c>
      <c r="B2863" s="2" t="inlineStr"/>
      <c r="C2863" s="2" t="inlineStr">
        <is>
          <t xml:space="preserve">MANGUERA RADIADOR INFERIOR AVEO </t>
        </is>
      </c>
      <c r="D2863" s="2" t="inlineStr"/>
      <c r="E2863" s="3" t="n">
        <v>6</v>
      </c>
      <c r="F2863" s="4" t="n">
        <v>0.3</v>
      </c>
      <c r="G2863" s="5">
        <f>ROUND(E2863*(1+F2863),2)</f>
        <v>7.80</v>
      </c>
      <c r="H2863" s="5">
        <f>ROUND(G2863*NOTAS!$B$2,2)</f>
        <v>5626.50</v>
      </c>
      <c r="I2863" s="6">
        <f>ROUND(G2863*NOTAS!$B$3,0)</f>
        <v>25341</v>
      </c>
      <c r="J2863" s="2" t="n">
        <v>1</v>
      </c>
    </row>
    <row r="2864">
      <c r="A2864" s="2" t="inlineStr">
        <is>
          <t>TX0351</t>
        </is>
      </c>
      <c r="B2864" s="2" t="inlineStr"/>
      <c r="C2864" s="2" t="inlineStr">
        <is>
          <t xml:space="preserve">MANGUERA RADIADOR INFERIOR AVEO </t>
        </is>
      </c>
      <c r="D2864" s="2" t="inlineStr">
        <is>
          <t>TORFLEX</t>
        </is>
      </c>
      <c r="E2864" s="3" t="n">
        <v>8</v>
      </c>
      <c r="F2864" s="4" t="n">
        <v>0.3</v>
      </c>
      <c r="G2864" s="5">
        <f>ROUND(E2864*(1+F2864),2)</f>
        <v>10.40</v>
      </c>
      <c r="H2864" s="5">
        <f>ROUND(G2864*NOTAS!$B$2,2)</f>
        <v>7501.99</v>
      </c>
      <c r="I2864" s="6">
        <f>ROUND(G2864*NOTAS!$B$3,0)</f>
        <v>33788</v>
      </c>
      <c r="J2864" s="2" t="n">
        <v>1</v>
      </c>
    </row>
    <row r="2865">
      <c r="A2865" s="2" t="inlineStr">
        <is>
          <t>TX0520</t>
        </is>
      </c>
      <c r="B2865" s="2" t="inlineStr"/>
      <c r="C2865" s="2" t="inlineStr">
        <is>
          <t>MANGUERA RADIADOR INFERIOR AVEO AUTOMATICO</t>
        </is>
      </c>
      <c r="D2865" s="2" t="inlineStr">
        <is>
          <t>TORFLEX</t>
        </is>
      </c>
      <c r="E2865" s="3" t="n">
        <v>8</v>
      </c>
      <c r="F2865" s="4" t="n">
        <v>0.3</v>
      </c>
      <c r="G2865" s="5">
        <f>ROUND(E2865*(1+F2865),2)</f>
        <v>10.40</v>
      </c>
      <c r="H2865" s="5">
        <f>ROUND(G2865*NOTAS!$B$2,2)</f>
        <v>7501.99</v>
      </c>
      <c r="I2865" s="6">
        <f>ROUND(G2865*NOTAS!$B$3,0)</f>
        <v>33788</v>
      </c>
      <c r="J2865" s="2" t="n">
        <v>2</v>
      </c>
    </row>
    <row r="2866">
      <c r="A2866" s="2" t="inlineStr">
        <is>
          <t>96536598</t>
        </is>
      </c>
      <c r="B2866" s="2" t="inlineStr"/>
      <c r="C2866" s="2" t="inlineStr">
        <is>
          <t>MANGUERA RADIADOR INFERIOR AVEO AUTOMATICO</t>
        </is>
      </c>
      <c r="D2866" s="2" t="inlineStr">
        <is>
          <t>GM</t>
        </is>
      </c>
      <c r="E2866" s="3" t="n">
        <v>12</v>
      </c>
      <c r="F2866" s="4" t="n">
        <v>0.3</v>
      </c>
      <c r="G2866" s="5">
        <f>ROUND(E2866*(1+F2866),2)</f>
        <v>15.60</v>
      </c>
      <c r="H2866" s="5">
        <f>ROUND(G2866*NOTAS!$B$2,2)</f>
        <v>11252.99</v>
      </c>
      <c r="I2866" s="6">
        <f>ROUND(G2866*NOTAS!$B$3,0)</f>
        <v>50682</v>
      </c>
      <c r="J2866" s="2" t="n">
        <v>2</v>
      </c>
    </row>
    <row r="2867">
      <c r="A2867" s="2" t="inlineStr">
        <is>
          <t>TX0537</t>
        </is>
      </c>
      <c r="B2867" s="2" t="inlineStr"/>
      <c r="C2867" s="2" t="inlineStr">
        <is>
          <t>MANGUERA RADIADOR INFERIOR AVEO SINCRONICO</t>
        </is>
      </c>
      <c r="D2867" s="2" t="inlineStr">
        <is>
          <t>TORFLEX</t>
        </is>
      </c>
      <c r="E2867" s="3" t="n">
        <v>8</v>
      </c>
      <c r="F2867" s="4" t="n">
        <v>0.3</v>
      </c>
      <c r="G2867" s="5">
        <f>ROUND(E2867*(1+F2867),2)</f>
        <v>10.40</v>
      </c>
      <c r="H2867" s="5">
        <f>ROUND(G2867*NOTAS!$B$2,2)</f>
        <v>7501.99</v>
      </c>
      <c r="I2867" s="6">
        <f>ROUND(G2867*NOTAS!$B$3,0)</f>
        <v>33788</v>
      </c>
      <c r="J2867" s="2" t="n">
        <v>1</v>
      </c>
    </row>
    <row r="2868">
      <c r="A2868" s="2" t="inlineStr">
        <is>
          <t>96536613</t>
        </is>
      </c>
      <c r="B2868" s="2" t="inlineStr"/>
      <c r="C2868" s="2" t="inlineStr">
        <is>
          <t>MANGUERA RADIADOR INFERIOR AVEO SINCRONICO</t>
        </is>
      </c>
      <c r="D2868" s="2" t="inlineStr">
        <is>
          <t>GM</t>
        </is>
      </c>
      <c r="E2868" s="3" t="n">
        <v>12</v>
      </c>
      <c r="F2868" s="4" t="n">
        <v>0.3</v>
      </c>
      <c r="G2868" s="5">
        <f>ROUND(E2868*(1+F2868),2)</f>
        <v>15.60</v>
      </c>
      <c r="H2868" s="5">
        <f>ROUND(G2868*NOTAS!$B$2,2)</f>
        <v>11252.99</v>
      </c>
      <c r="I2868" s="6">
        <f>ROUND(G2868*NOTAS!$B$3,0)</f>
        <v>50682</v>
      </c>
      <c r="J2868" s="2" t="n">
        <v>1</v>
      </c>
    </row>
    <row r="2869">
      <c r="A2869" s="2" t="inlineStr">
        <is>
          <t>M-990</t>
        </is>
      </c>
      <c r="B2869" s="2" t="inlineStr"/>
      <c r="C2869" s="2" t="inlineStr">
        <is>
          <t>MANGUERA RADIADOR INFERIOR CHEVETTE</t>
        </is>
      </c>
      <c r="D2869" s="2" t="inlineStr">
        <is>
          <t>GOODYEAR</t>
        </is>
      </c>
      <c r="E2869" s="3" t="n">
        <v>7</v>
      </c>
      <c r="F2869" s="4" t="n">
        <v>0.3</v>
      </c>
      <c r="G2869" s="5">
        <f>ROUND(E2869*(1+F2869),2)</f>
        <v>9.10</v>
      </c>
      <c r="H2869" s="5">
        <f>ROUND(G2869*NOTAS!$B$2,2)</f>
        <v>6564.24</v>
      </c>
      <c r="I2869" s="6">
        <f>ROUND(G2869*NOTAS!$B$3,0)</f>
        <v>29565</v>
      </c>
      <c r="J2869" s="2" t="n">
        <v>3</v>
      </c>
    </row>
    <row r="2870">
      <c r="A2870" s="2" t="inlineStr">
        <is>
          <t>M-981</t>
        </is>
      </c>
      <c r="B2870" s="2" t="inlineStr"/>
      <c r="C2870" s="2" t="inlineStr">
        <is>
          <t>MANGUERA RADIADOR INFERIOR CHEVETTE</t>
        </is>
      </c>
      <c r="D2870" s="2" t="inlineStr">
        <is>
          <t>GOODYEAR</t>
        </is>
      </c>
      <c r="E2870" s="3" t="n">
        <v>7</v>
      </c>
      <c r="F2870" s="4" t="n">
        <v>0.3</v>
      </c>
      <c r="G2870" s="5">
        <f>ROUND(E2870*(1+F2870),2)</f>
        <v>9.10</v>
      </c>
      <c r="H2870" s="5">
        <f>ROUND(G2870*NOTAS!$B$2,2)</f>
        <v>6564.24</v>
      </c>
      <c r="I2870" s="6">
        <f>ROUND(G2870*NOTAS!$B$3,0)</f>
        <v>29565</v>
      </c>
      <c r="J2870" s="2" t="n">
        <v>2</v>
      </c>
    </row>
    <row r="2871">
      <c r="A2871" s="2" t="inlineStr"/>
      <c r="B2871" s="2" t="inlineStr"/>
      <c r="C2871" s="2" t="inlineStr">
        <is>
          <t>MANGUERA RADIADOR INFERIOR CIELO</t>
        </is>
      </c>
      <c r="D2871" s="2" t="inlineStr">
        <is>
          <t>KOREA</t>
        </is>
      </c>
      <c r="E2871" s="3" t="n">
        <v>10</v>
      </c>
      <c r="F2871" s="4" t="n">
        <v>0.3</v>
      </c>
      <c r="G2871" s="5">
        <f>ROUND(E2871*(1+F2871),2)</f>
        <v>13.00</v>
      </c>
      <c r="H2871" s="5">
        <f>ROUND(G2871*NOTAS!$B$2,2)</f>
        <v>9377.49</v>
      </c>
      <c r="I2871" s="6">
        <f>ROUND(G2871*NOTAS!$B$3,0)</f>
        <v>42235</v>
      </c>
      <c r="J2871" s="2" t="n">
        <v>2</v>
      </c>
    </row>
    <row r="2872">
      <c r="A2872" s="2" t="inlineStr">
        <is>
          <t>TX0396</t>
        </is>
      </c>
      <c r="B2872" s="2" t="inlineStr"/>
      <c r="C2872" s="2" t="inlineStr">
        <is>
          <t>MANGUERA RADIADOR INFERIOR CIELO</t>
        </is>
      </c>
      <c r="D2872" s="2" t="inlineStr">
        <is>
          <t>TORFLEX</t>
        </is>
      </c>
      <c r="E2872" s="3" t="n">
        <v>10</v>
      </c>
      <c r="F2872" s="4" t="n">
        <v>0.3</v>
      </c>
      <c r="G2872" s="5">
        <f>ROUND(E2872*(1+F2872),2)</f>
        <v>13.00</v>
      </c>
      <c r="H2872" s="5">
        <f>ROUND(G2872*NOTAS!$B$2,2)</f>
        <v>9377.49</v>
      </c>
      <c r="I2872" s="6">
        <f>ROUND(G2872*NOTAS!$B$3,0)</f>
        <v>42235</v>
      </c>
      <c r="J2872" s="2" t="n">
        <v>2</v>
      </c>
    </row>
    <row r="2873">
      <c r="A2873" s="2" t="inlineStr">
        <is>
          <t>1S558B273AC</t>
        </is>
      </c>
      <c r="B2873" s="2" t="inlineStr"/>
      <c r="C2873" s="2" t="inlineStr">
        <is>
          <t>MANGUERA RADIADOR INFERIOR COMPLETA KA</t>
        </is>
      </c>
      <c r="D2873" s="2" t="inlineStr">
        <is>
          <t>FORD</t>
        </is>
      </c>
      <c r="E2873" s="3" t="n">
        <v>30</v>
      </c>
      <c r="F2873" s="4" t="n">
        <v>0.3</v>
      </c>
      <c r="G2873" s="5">
        <f>ROUND(E2873*(1+F2873),2)</f>
        <v>39.00</v>
      </c>
      <c r="H2873" s="5">
        <f>ROUND(G2873*NOTAS!$B$2,2)</f>
        <v>28132.48</v>
      </c>
      <c r="I2873" s="6">
        <f>ROUND(G2873*NOTAS!$B$3,0)</f>
        <v>126706</v>
      </c>
      <c r="J2873" s="2" t="n">
        <v>1</v>
      </c>
    </row>
    <row r="2874">
      <c r="A2874" s="2" t="inlineStr">
        <is>
          <t>92098309</t>
        </is>
      </c>
      <c r="B2874" s="2" t="inlineStr"/>
      <c r="C2874" s="2" t="inlineStr">
        <is>
          <t>MANGUERA RADIADOR INFERIOR CORSA</t>
        </is>
      </c>
      <c r="D2874" s="2" t="inlineStr">
        <is>
          <t>MORUCH</t>
        </is>
      </c>
      <c r="E2874" s="3" t="n">
        <v>5</v>
      </c>
      <c r="F2874" s="4" t="n">
        <v>0.3</v>
      </c>
      <c r="G2874" s="5">
        <f>ROUND(E2874*(1+F2874),2)</f>
        <v>6.50</v>
      </c>
      <c r="H2874" s="5">
        <f>ROUND(G2874*NOTAS!$B$2,2)</f>
        <v>4688.75</v>
      </c>
      <c r="I2874" s="6">
        <f>ROUND(G2874*NOTAS!$B$3,0)</f>
        <v>21118</v>
      </c>
      <c r="J2874" s="2" t="n">
        <v>5</v>
      </c>
    </row>
    <row r="2875">
      <c r="A2875" s="2" t="inlineStr">
        <is>
          <t>667</t>
        </is>
      </c>
      <c r="B2875" s="2" t="inlineStr"/>
      <c r="C2875" s="2" t="inlineStr">
        <is>
          <t>MANGUERA RADIADOR INFERIOR CORSA</t>
        </is>
      </c>
      <c r="D2875" s="2" t="inlineStr">
        <is>
          <t>PRECISE</t>
        </is>
      </c>
      <c r="E2875" s="3" t="n">
        <v>8</v>
      </c>
      <c r="F2875" s="4" t="n">
        <v>0.3</v>
      </c>
      <c r="G2875" s="5">
        <f>ROUND(E2875*(1+F2875),2)</f>
        <v>10.40</v>
      </c>
      <c r="H2875" s="5">
        <f>ROUND(G2875*NOTAS!$B$2,2)</f>
        <v>7501.99</v>
      </c>
      <c r="I2875" s="6">
        <f>ROUND(G2875*NOTAS!$B$3,0)</f>
        <v>33788</v>
      </c>
      <c r="J2875" s="2" t="n">
        <v>4</v>
      </c>
    </row>
    <row r="2876">
      <c r="A2876" s="2" t="inlineStr">
        <is>
          <t>TX0714</t>
        </is>
      </c>
      <c r="B2876" s="2" t="inlineStr"/>
      <c r="C2876" s="2" t="inlineStr">
        <is>
          <t>MANGUERA RADIADOR INFERIOR F-147/SPAZIO</t>
        </is>
      </c>
      <c r="D2876" s="2" t="inlineStr">
        <is>
          <t>TORFLEX</t>
        </is>
      </c>
      <c r="E2876" s="3" t="n">
        <v>7</v>
      </c>
      <c r="F2876" s="4" t="n">
        <v>0.3</v>
      </c>
      <c r="G2876" s="5">
        <f>ROUND(E2876*(1+F2876),2)</f>
        <v>9.10</v>
      </c>
      <c r="H2876" s="5">
        <f>ROUND(G2876*NOTAS!$B$2,2)</f>
        <v>6564.24</v>
      </c>
      <c r="I2876" s="6">
        <f>ROUND(G2876*NOTAS!$B$3,0)</f>
        <v>29565</v>
      </c>
      <c r="J2876" s="2" t="n">
        <v>6</v>
      </c>
    </row>
    <row r="2877">
      <c r="A2877" s="2" t="inlineStr">
        <is>
          <t>TX0794</t>
        </is>
      </c>
      <c r="B2877" s="2" t="inlineStr"/>
      <c r="C2877" s="2" t="inlineStr">
        <is>
          <t>MANGUERA RADIADOR INFERIOR FESTIVA/TURPIAL</t>
        </is>
      </c>
      <c r="D2877" s="2" t="inlineStr">
        <is>
          <t>TORFLEX</t>
        </is>
      </c>
      <c r="E2877" s="3" t="n">
        <v>7</v>
      </c>
      <c r="F2877" s="4" t="n">
        <v>0.3</v>
      </c>
      <c r="G2877" s="5">
        <f>ROUND(E2877*(1+F2877),2)</f>
        <v>9.10</v>
      </c>
      <c r="H2877" s="5">
        <f>ROUND(G2877*NOTAS!$B$2,2)</f>
        <v>6564.24</v>
      </c>
      <c r="I2877" s="6">
        <f>ROUND(G2877*NOTAS!$B$3,0)</f>
        <v>29565</v>
      </c>
      <c r="J2877" s="2" t="n">
        <v>1</v>
      </c>
    </row>
    <row r="2878">
      <c r="A2878" s="2" t="inlineStr">
        <is>
          <t>3R5631</t>
        </is>
      </c>
      <c r="B2878" s="2" t="inlineStr"/>
      <c r="C2878" s="2" t="inlineStr">
        <is>
          <t>MANGUERA RADIADOR INFERIOR F-PAL/SIE 1.4</t>
        </is>
      </c>
      <c r="D2878" s="2" t="inlineStr">
        <is>
          <t>BRAZIL</t>
        </is>
      </c>
      <c r="E2878" s="3" t="n">
        <v>20</v>
      </c>
      <c r="F2878" s="4" t="n">
        <v>0.3</v>
      </c>
      <c r="G2878" s="5">
        <f>ROUND(E2878*(1+F2878),2)</f>
        <v>26.00</v>
      </c>
      <c r="H2878" s="5">
        <f>ROUND(G2878*NOTAS!$B$2,2)</f>
        <v>18754.99</v>
      </c>
      <c r="I2878" s="6">
        <f>ROUND(G2878*NOTAS!$B$3,0)</f>
        <v>84471</v>
      </c>
      <c r="J2878" s="2" t="n">
        <v>1</v>
      </c>
    </row>
    <row r="2879">
      <c r="A2879" s="2" t="inlineStr">
        <is>
          <t>TX0774</t>
        </is>
      </c>
      <c r="B2879" s="2" t="inlineStr"/>
      <c r="C2879" s="2" t="inlineStr">
        <is>
          <t>MANGUERA RADIADOR INFERIOR F-PAL/SIE 1.6 16V 3 PUNTAS</t>
        </is>
      </c>
      <c r="D2879" s="2" t="inlineStr">
        <is>
          <t>TORFLEX</t>
        </is>
      </c>
      <c r="E2879" s="3" t="n">
        <v>22</v>
      </c>
      <c r="F2879" s="4" t="n">
        <v>0.3</v>
      </c>
      <c r="G2879" s="5">
        <f>ROUND(E2879*(1+F2879),2)</f>
        <v>28.60</v>
      </c>
      <c r="H2879" s="5">
        <f>ROUND(G2879*NOTAS!$B$2,2)</f>
        <v>20630.48</v>
      </c>
      <c r="I2879" s="6">
        <f>ROUND(G2879*NOTAS!$B$3,0)</f>
        <v>92918</v>
      </c>
      <c r="J2879" s="2" t="n">
        <v>2</v>
      </c>
    </row>
    <row r="2880">
      <c r="A2880" s="2" t="inlineStr">
        <is>
          <t>TX0084</t>
        </is>
      </c>
      <c r="B2880" s="2" t="inlineStr"/>
      <c r="C2880" s="2" t="inlineStr">
        <is>
          <t>MANGUERA RADIADOR INFERIOR F-PAL/SIE 1.6 8V 96/01 3 PUNTAS</t>
        </is>
      </c>
      <c r="D2880" s="2" t="inlineStr">
        <is>
          <t>TORFLEX</t>
        </is>
      </c>
      <c r="E2880" s="3" t="n">
        <v>21</v>
      </c>
      <c r="F2880" s="4" t="n">
        <v>0.3</v>
      </c>
      <c r="G2880" s="5">
        <f>ROUND(E2880*(1+F2880),2)</f>
        <v>27.30</v>
      </c>
      <c r="H2880" s="5">
        <f>ROUND(G2880*NOTAS!$B$2,2)</f>
        <v>19692.73</v>
      </c>
      <c r="I2880" s="6">
        <f>ROUND(G2880*NOTAS!$B$3,0)</f>
        <v>88694</v>
      </c>
      <c r="J2880" s="2" t="n">
        <v>1</v>
      </c>
    </row>
    <row r="2881">
      <c r="A2881" s="2" t="inlineStr">
        <is>
          <t>3R5630</t>
        </is>
      </c>
      <c r="B2881" s="2" t="inlineStr"/>
      <c r="C2881" s="2" t="inlineStr">
        <is>
          <t>MANGUERA RADIADOR INFERIOR F-PAL/SIE 1.8 3 PUNTAS</t>
        </is>
      </c>
      <c r="D2881" s="2" t="inlineStr">
        <is>
          <t>BRAZIL</t>
        </is>
      </c>
      <c r="E2881" s="3" t="n">
        <v>22</v>
      </c>
      <c r="F2881" s="4" t="n">
        <v>0.3</v>
      </c>
      <c r="G2881" s="5">
        <f>ROUND(E2881*(1+F2881),2)</f>
        <v>28.60</v>
      </c>
      <c r="H2881" s="5">
        <f>ROUND(G2881*NOTAS!$B$2,2)</f>
        <v>20630.48</v>
      </c>
      <c r="I2881" s="6">
        <f>ROUND(G2881*NOTAS!$B$3,0)</f>
        <v>92918</v>
      </c>
      <c r="J2881" s="2" t="n">
        <v>1</v>
      </c>
    </row>
    <row r="2882">
      <c r="A2882" s="2" t="inlineStr">
        <is>
          <t>TX0586</t>
        </is>
      </c>
      <c r="B2882" s="2" t="inlineStr"/>
      <c r="C2882" s="2" t="inlineStr">
        <is>
          <t>MANGUERA RADIADOR INFERIOR F-UNO FIRE 03/08 3 PUNTAS</t>
        </is>
      </c>
      <c r="D2882" s="2" t="inlineStr">
        <is>
          <t>TORFLEX</t>
        </is>
      </c>
      <c r="E2882" s="3" t="n">
        <v>22</v>
      </c>
      <c r="F2882" s="4" t="n">
        <v>0.3</v>
      </c>
      <c r="G2882" s="5">
        <f>ROUND(E2882*(1+F2882),2)</f>
        <v>28.60</v>
      </c>
      <c r="H2882" s="5">
        <f>ROUND(G2882*NOTAS!$B$2,2)</f>
        <v>20630.48</v>
      </c>
      <c r="I2882" s="6">
        <f>ROUND(G2882*NOTAS!$B$3,0)</f>
        <v>92918</v>
      </c>
      <c r="J2882" s="2" t="n">
        <v>3</v>
      </c>
    </row>
    <row r="2883">
      <c r="A2883" s="2" t="inlineStr">
        <is>
          <t>TX0087</t>
        </is>
      </c>
      <c r="B2883" s="2" t="inlineStr"/>
      <c r="C2883" s="2" t="inlineStr">
        <is>
          <t>MANGUERA RADIADOR INFERIOR F-UNO FIRE 4 PUNTAS</t>
        </is>
      </c>
      <c r="D2883" s="2" t="inlineStr">
        <is>
          <t>TORFLEX</t>
        </is>
      </c>
      <c r="E2883" s="3" t="n">
        <v>23</v>
      </c>
      <c r="F2883" s="4" t="n">
        <v>0.3</v>
      </c>
      <c r="G2883" s="5">
        <f>ROUND(E2883*(1+F2883),2)</f>
        <v>29.90</v>
      </c>
      <c r="H2883" s="5">
        <f>ROUND(G2883*NOTAS!$B$2,2)</f>
        <v>21568.23</v>
      </c>
      <c r="I2883" s="6">
        <f>ROUND(G2883*NOTAS!$B$3,0)</f>
        <v>97141</v>
      </c>
      <c r="J2883" s="2" t="n">
        <v>1</v>
      </c>
    </row>
    <row r="2884">
      <c r="A2884" s="2" t="inlineStr">
        <is>
          <t>3R5632</t>
        </is>
      </c>
      <c r="B2884" s="2" t="inlineStr"/>
      <c r="C2884" s="2" t="inlineStr">
        <is>
          <t>MANGUERA RADIADOR INFERIOR F-UNO FIRE 4 PUNTAS</t>
        </is>
      </c>
      <c r="D2884" s="2" t="inlineStr">
        <is>
          <t>BRAZIL</t>
        </is>
      </c>
      <c r="E2884" s="3" t="n">
        <v>23</v>
      </c>
      <c r="F2884" s="4" t="n">
        <v>0.3</v>
      </c>
      <c r="G2884" s="5">
        <f>ROUND(E2884*(1+F2884),2)</f>
        <v>29.90</v>
      </c>
      <c r="H2884" s="5">
        <f>ROUND(G2884*NOTAS!$B$2,2)</f>
        <v>21568.23</v>
      </c>
      <c r="I2884" s="6">
        <f>ROUND(G2884*NOTAS!$B$3,0)</f>
        <v>97141</v>
      </c>
      <c r="J2884" s="2" t="n">
        <v>1</v>
      </c>
    </row>
    <row r="2885">
      <c r="A2885" s="2" t="inlineStr">
        <is>
          <t>TX0082</t>
        </is>
      </c>
      <c r="B2885" s="2" t="inlineStr"/>
      <c r="C2885" s="2" t="inlineStr">
        <is>
          <t>MANGUERA RADIADOR INFERIOR F-UNO INY FIORINO 00/03</t>
        </is>
      </c>
      <c r="D2885" s="2" t="inlineStr">
        <is>
          <t>TORFLEX</t>
        </is>
      </c>
      <c r="E2885" s="3" t="n">
        <v>20</v>
      </c>
      <c r="F2885" s="4" t="n">
        <v>0.3</v>
      </c>
      <c r="G2885" s="5">
        <f>ROUND(E2885*(1+F2885),2)</f>
        <v>26.00</v>
      </c>
      <c r="H2885" s="5">
        <f>ROUND(G2885*NOTAS!$B$2,2)</f>
        <v>18754.99</v>
      </c>
      <c r="I2885" s="6">
        <f>ROUND(G2885*NOTAS!$B$3,0)</f>
        <v>84471</v>
      </c>
      <c r="J2885" s="2" t="n">
        <v>1</v>
      </c>
    </row>
    <row r="2886">
      <c r="A2886" s="2" t="inlineStr">
        <is>
          <t>3R5504</t>
        </is>
      </c>
      <c r="B2886" s="2" t="inlineStr"/>
      <c r="C2886" s="2" t="inlineStr">
        <is>
          <t>MANGUERA RADIADOR INFERIOR F-UNO/PREMIO</t>
        </is>
      </c>
      <c r="D2886" s="2" t="inlineStr">
        <is>
          <t>BRAZIL</t>
        </is>
      </c>
      <c r="E2886" s="3" t="n">
        <v>8</v>
      </c>
      <c r="F2886" s="4" t="n">
        <v>0.3</v>
      </c>
      <c r="G2886" s="5">
        <f>ROUND(E2886*(1+F2886),2)</f>
        <v>10.40</v>
      </c>
      <c r="H2886" s="5">
        <f>ROUND(G2886*NOTAS!$B$2,2)</f>
        <v>7501.99</v>
      </c>
      <c r="I2886" s="6">
        <f>ROUND(G2886*NOTAS!$B$3,0)</f>
        <v>33788</v>
      </c>
      <c r="J2886" s="2" t="n">
        <v>11</v>
      </c>
    </row>
    <row r="2887">
      <c r="A2887" s="2" t="inlineStr">
        <is>
          <t>M-711</t>
        </is>
      </c>
      <c r="B2887" s="2" t="inlineStr"/>
      <c r="C2887" s="2" t="inlineStr">
        <is>
          <t>MANGUERA RADIADOR INFERIOR F-UNO/PREMIO</t>
        </is>
      </c>
      <c r="D2887" s="2" t="inlineStr">
        <is>
          <t>GOODYEAR</t>
        </is>
      </c>
      <c r="E2887" s="3" t="n">
        <v>8</v>
      </c>
      <c r="F2887" s="4" t="n">
        <v>0.3</v>
      </c>
      <c r="G2887" s="5">
        <f>ROUND(E2887*(1+F2887),2)</f>
        <v>10.40</v>
      </c>
      <c r="H2887" s="5">
        <f>ROUND(G2887*NOTAS!$B$2,2)</f>
        <v>7501.99</v>
      </c>
      <c r="I2887" s="6">
        <f>ROUND(G2887*NOTAS!$B$3,0)</f>
        <v>33788</v>
      </c>
      <c r="J2887" s="2" t="n">
        <v>1</v>
      </c>
    </row>
    <row r="2888">
      <c r="A2888" s="2" t="inlineStr">
        <is>
          <t>M-712</t>
        </is>
      </c>
      <c r="B2888" s="2" t="inlineStr"/>
      <c r="C2888" s="2" t="inlineStr">
        <is>
          <t>MANGUERA RADIADOR INFERIOR F-UNO/PREMIO</t>
        </is>
      </c>
      <c r="D2888" s="2" t="inlineStr">
        <is>
          <t>GOODYEAR</t>
        </is>
      </c>
      <c r="E2888" s="3" t="n">
        <v>8</v>
      </c>
      <c r="F2888" s="4" t="n">
        <v>0.3</v>
      </c>
      <c r="G2888" s="5">
        <f>ROUND(E2888*(1+F2888),2)</f>
        <v>10.40</v>
      </c>
      <c r="H2888" s="5">
        <f>ROUND(G2888*NOTAS!$B$2,2)</f>
        <v>7501.99</v>
      </c>
      <c r="I2888" s="6">
        <f>ROUND(G2888*NOTAS!$B$3,0)</f>
        <v>33788</v>
      </c>
      <c r="J2888" s="2" t="n">
        <v>3</v>
      </c>
    </row>
    <row r="2889">
      <c r="A2889" s="2" t="inlineStr">
        <is>
          <t>96314173</t>
        </is>
      </c>
      <c r="B2889" s="2" t="inlineStr"/>
      <c r="C2889" s="2" t="inlineStr">
        <is>
          <t>MANGUERA RADIADOR INFERIOR MATIZ</t>
        </is>
      </c>
      <c r="D2889" s="2" t="inlineStr">
        <is>
          <t>KOREA</t>
        </is>
      </c>
      <c r="E2889" s="3" t="n">
        <v>8</v>
      </c>
      <c r="F2889" s="4" t="n">
        <v>0.3</v>
      </c>
      <c r="G2889" s="5">
        <f>ROUND(E2889*(1+F2889),2)</f>
        <v>10.40</v>
      </c>
      <c r="H2889" s="5">
        <f>ROUND(G2889*NOTAS!$B$2,2)</f>
        <v>7501.99</v>
      </c>
      <c r="I2889" s="6">
        <f>ROUND(G2889*NOTAS!$B$3,0)</f>
        <v>33788</v>
      </c>
      <c r="J2889" s="2" t="n">
        <v>2</v>
      </c>
    </row>
    <row r="2890">
      <c r="A2890" s="2" t="inlineStr">
        <is>
          <t>TX0559</t>
        </is>
      </c>
      <c r="B2890" s="2" t="inlineStr"/>
      <c r="C2890" s="2" t="inlineStr">
        <is>
          <t xml:space="preserve">MANGUERA RADIADOR INFERIOR OPTRA </t>
        </is>
      </c>
      <c r="D2890" s="2" t="inlineStr">
        <is>
          <t>TORFLEX</t>
        </is>
      </c>
      <c r="E2890" s="3" t="n">
        <v>12</v>
      </c>
      <c r="F2890" s="4" t="n">
        <v>0.3</v>
      </c>
      <c r="G2890" s="5">
        <f>ROUND(E2890*(1+F2890),2)</f>
        <v>15.60</v>
      </c>
      <c r="H2890" s="5">
        <f>ROUND(G2890*NOTAS!$B$2,2)</f>
        <v>11252.99</v>
      </c>
      <c r="I2890" s="6">
        <f>ROUND(G2890*NOTAS!$B$3,0)</f>
        <v>50682</v>
      </c>
      <c r="J2890" s="2" t="n">
        <v>1</v>
      </c>
    </row>
    <row r="2891">
      <c r="A2891" s="2" t="inlineStr">
        <is>
          <t>TX0562</t>
        </is>
      </c>
      <c r="B2891" s="2" t="inlineStr"/>
      <c r="C2891" s="2" t="inlineStr">
        <is>
          <t>MANGUERA RADIADOR INFERIOR OPTRA DESING</t>
        </is>
      </c>
      <c r="D2891" s="2" t="inlineStr">
        <is>
          <t>TORFLEX</t>
        </is>
      </c>
      <c r="E2891" s="3" t="n">
        <v>12</v>
      </c>
      <c r="F2891" s="4" t="n">
        <v>0.3</v>
      </c>
      <c r="G2891" s="5">
        <f>ROUND(E2891*(1+F2891),2)</f>
        <v>15.60</v>
      </c>
      <c r="H2891" s="5">
        <f>ROUND(G2891*NOTAS!$B$2,2)</f>
        <v>11252.99</v>
      </c>
      <c r="I2891" s="6">
        <f>ROUND(G2891*NOTAS!$B$3,0)</f>
        <v>50682</v>
      </c>
      <c r="J2891" s="2" t="n">
        <v>2</v>
      </c>
    </row>
    <row r="2892">
      <c r="A2892" s="2" t="inlineStr">
        <is>
          <t>1179335</t>
        </is>
      </c>
      <c r="B2892" s="2" t="inlineStr"/>
      <c r="C2892" s="2" t="inlineStr">
        <is>
          <t>MANGUERA RADIADOR INFERIOR R-19 1.4</t>
        </is>
      </c>
      <c r="D2892" s="2" t="inlineStr"/>
      <c r="E2892" s="3" t="n">
        <v>10</v>
      </c>
      <c r="F2892" s="4" t="n">
        <v>0.3</v>
      </c>
      <c r="G2892" s="5">
        <f>ROUND(E2892*(1+F2892),2)</f>
        <v>13.00</v>
      </c>
      <c r="H2892" s="5">
        <f>ROUND(G2892*NOTAS!$B$2,2)</f>
        <v>9377.49</v>
      </c>
      <c r="I2892" s="6">
        <f>ROUND(G2892*NOTAS!$B$3,0)</f>
        <v>42235</v>
      </c>
      <c r="J2892" s="2" t="n">
        <v>2</v>
      </c>
    </row>
    <row r="2893">
      <c r="A2893" s="2" t="inlineStr">
        <is>
          <t>19275-L</t>
        </is>
      </c>
      <c r="B2893" s="2" t="inlineStr"/>
      <c r="C2893" s="2" t="inlineStr">
        <is>
          <t>MANGUERA RADIADOR INFERIOR R-19 1.7</t>
        </is>
      </c>
      <c r="D2893" s="2" t="inlineStr">
        <is>
          <t>AEQUIPE</t>
        </is>
      </c>
      <c r="E2893" s="3" t="n">
        <v>25</v>
      </c>
      <c r="F2893" s="4" t="n">
        <v>0.3</v>
      </c>
      <c r="G2893" s="5">
        <f>ROUND(E2893*(1+F2893),2)</f>
        <v>32.50</v>
      </c>
      <c r="H2893" s="5">
        <f>ROUND(G2893*NOTAS!$B$2,2)</f>
        <v>23443.73</v>
      </c>
      <c r="I2893" s="6">
        <f>ROUND(G2893*NOTAS!$B$3,0)</f>
        <v>105588</v>
      </c>
      <c r="J2893" s="2" t="n">
        <v>1</v>
      </c>
    </row>
    <row r="2894">
      <c r="A2894" s="2" t="inlineStr">
        <is>
          <t>TX0543</t>
        </is>
      </c>
      <c r="B2894" s="2" t="inlineStr"/>
      <c r="C2894" s="2" t="inlineStr">
        <is>
          <t>MANGUERA RADIADOR INFERIOR R-21</t>
        </is>
      </c>
      <c r="D2894" s="2" t="inlineStr">
        <is>
          <t>TORFLEX</t>
        </is>
      </c>
      <c r="E2894" s="3" t="n">
        <v>4</v>
      </c>
      <c r="F2894" s="4" t="n">
        <v>0.3</v>
      </c>
      <c r="G2894" s="5">
        <f>ROUND(E2894*(1+F2894),2)</f>
        <v>5.20</v>
      </c>
      <c r="H2894" s="5">
        <f>ROUND(G2894*NOTAS!$B$2,2)</f>
        <v>3751.00</v>
      </c>
      <c r="I2894" s="6">
        <f>ROUND(G2894*NOTAS!$B$3,0)</f>
        <v>16894</v>
      </c>
      <c r="J2894" s="2" t="n">
        <v>2</v>
      </c>
    </row>
    <row r="2895">
      <c r="A2895" s="2" t="inlineStr">
        <is>
          <t>R.21-152</t>
        </is>
      </c>
      <c r="B2895" s="2" t="inlineStr"/>
      <c r="C2895" s="2" t="inlineStr">
        <is>
          <t>MANGUERA RADIADOR INFERIOR R-21</t>
        </is>
      </c>
      <c r="D2895" s="2" t="inlineStr">
        <is>
          <t>TAKSIM GROUP</t>
        </is>
      </c>
      <c r="E2895" s="3" t="n">
        <v>5</v>
      </c>
      <c r="F2895" s="4" t="n">
        <v>0.3</v>
      </c>
      <c r="G2895" s="5">
        <f>ROUND(E2895*(1+F2895),2)</f>
        <v>6.50</v>
      </c>
      <c r="H2895" s="5">
        <f>ROUND(G2895*NOTAS!$B$2,2)</f>
        <v>4688.75</v>
      </c>
      <c r="I2895" s="6">
        <f>ROUND(G2895*NOTAS!$B$3,0)</f>
        <v>21118</v>
      </c>
      <c r="J2895" s="2" t="n">
        <v>2</v>
      </c>
    </row>
    <row r="2896">
      <c r="A2896" s="2" t="inlineStr">
        <is>
          <t>DA-103</t>
        </is>
      </c>
      <c r="B2896" s="2" t="inlineStr"/>
      <c r="C2896" s="2" t="inlineStr">
        <is>
          <t>MANGUERA RADIADOR INFERIOR R-LOGAN</t>
        </is>
      </c>
      <c r="D2896" s="2" t="inlineStr">
        <is>
          <t>TAKSIM GROUP</t>
        </is>
      </c>
      <c r="E2896" s="3" t="n">
        <v>15</v>
      </c>
      <c r="F2896" s="4" t="n">
        <v>0.3</v>
      </c>
      <c r="G2896" s="5">
        <f>ROUND(E2896*(1+F2896),2)</f>
        <v>19.50</v>
      </c>
      <c r="H2896" s="5">
        <f>ROUND(G2896*NOTAS!$B$2,2)</f>
        <v>14066.24</v>
      </c>
      <c r="I2896" s="6">
        <f>ROUND(G2896*NOTAS!$B$3,0)</f>
        <v>63353</v>
      </c>
      <c r="J2896" s="2" t="n">
        <v>2</v>
      </c>
    </row>
    <row r="2897">
      <c r="A2897" s="2" t="inlineStr">
        <is>
          <t>8721</t>
        </is>
      </c>
      <c r="B2897" s="2" t="inlineStr"/>
      <c r="C2897" s="2" t="inlineStr">
        <is>
          <t>MANGUERA RADIADOR INFERIOR R-SYMBOL</t>
        </is>
      </c>
      <c r="D2897" s="2" t="inlineStr">
        <is>
          <t>METALCAUCHO</t>
        </is>
      </c>
      <c r="E2897" s="3" t="n">
        <v>9.2308</v>
      </c>
      <c r="F2897" s="4" t="n">
        <v>0.3</v>
      </c>
      <c r="G2897" s="5">
        <f>ROUND(E2897*(1+F2897),2)</f>
        <v>12.00</v>
      </c>
      <c r="H2897" s="5">
        <f>ROUND(G2897*NOTAS!$B$2,2)</f>
        <v>8656.15</v>
      </c>
      <c r="I2897" s="6">
        <f>ROUND(G2897*NOTAS!$B$3,0)</f>
        <v>38986</v>
      </c>
      <c r="J2897" s="2" t="n">
        <v>1</v>
      </c>
    </row>
    <row r="2898">
      <c r="A2898" s="2" t="inlineStr">
        <is>
          <t>7700822056</t>
        </is>
      </c>
      <c r="B2898" s="2" t="inlineStr"/>
      <c r="C2898" s="2" t="inlineStr">
        <is>
          <t>MANGUERA RADIADOR INFERIOR R-TWINGO</t>
        </is>
      </c>
      <c r="D2898" s="2" t="inlineStr">
        <is>
          <t>ALCOR</t>
        </is>
      </c>
      <c r="E2898" s="3" t="n">
        <v>9.2308</v>
      </c>
      <c r="F2898" s="4" t="n">
        <v>0.3</v>
      </c>
      <c r="G2898" s="5">
        <f>ROUND(E2898*(1+F2898),2)</f>
        <v>12.00</v>
      </c>
      <c r="H2898" s="5">
        <f>ROUND(G2898*NOTAS!$B$2,2)</f>
        <v>8656.15</v>
      </c>
      <c r="I2898" s="6">
        <f>ROUND(G2898*NOTAS!$B$3,0)</f>
        <v>38986</v>
      </c>
      <c r="J2898" s="2" t="n">
        <v>2</v>
      </c>
    </row>
    <row r="2899">
      <c r="A2899" s="2" t="inlineStr">
        <is>
          <t>TX 0541</t>
        </is>
      </c>
      <c r="B2899" s="2" t="inlineStr"/>
      <c r="C2899" s="2" t="inlineStr">
        <is>
          <t>MANGUERA RADIADOR INFERIOR R-TWINGO 16V</t>
        </is>
      </c>
      <c r="D2899" s="2" t="inlineStr">
        <is>
          <t>TORFLEX</t>
        </is>
      </c>
      <c r="E2899" s="3" t="n">
        <v>9.2308</v>
      </c>
      <c r="F2899" s="4" t="n">
        <v>0.3</v>
      </c>
      <c r="G2899" s="5">
        <f>ROUND(E2899*(1+F2899),2)</f>
        <v>12.00</v>
      </c>
      <c r="H2899" s="5">
        <f>ROUND(G2899*NOTAS!$B$2,2)</f>
        <v>8656.15</v>
      </c>
      <c r="I2899" s="6">
        <f>ROUND(G2899*NOTAS!$B$3,0)</f>
        <v>38986</v>
      </c>
      <c r="J2899" s="2" t="n">
        <v>2</v>
      </c>
    </row>
    <row r="2900">
      <c r="A2900" s="2" t="inlineStr">
        <is>
          <t>95626041</t>
        </is>
      </c>
      <c r="B2900" s="2" t="inlineStr"/>
      <c r="C2900" s="2" t="inlineStr">
        <is>
          <t>MANGUERA RADIADOR INFERIOR SPARK</t>
        </is>
      </c>
      <c r="D2900" s="2" t="inlineStr"/>
      <c r="E2900" s="3" t="n">
        <v>6</v>
      </c>
      <c r="F2900" s="4" t="n">
        <v>0.3</v>
      </c>
      <c r="G2900" s="5">
        <f>ROUND(E2900*(1+F2900),2)</f>
        <v>7.80</v>
      </c>
      <c r="H2900" s="5">
        <f>ROUND(G2900*NOTAS!$B$2,2)</f>
        <v>5626.50</v>
      </c>
      <c r="I2900" s="6">
        <f>ROUND(G2900*NOTAS!$B$3,0)</f>
        <v>25341</v>
      </c>
      <c r="J2900" s="2" t="n">
        <v>2</v>
      </c>
    </row>
    <row r="2901">
      <c r="A2901" s="2" t="inlineStr">
        <is>
          <t>96455322</t>
        </is>
      </c>
      <c r="B2901" s="2" t="inlineStr"/>
      <c r="C2901" s="2" t="inlineStr">
        <is>
          <t>MANGUERA RADIADOR INFERIOR SPARK</t>
        </is>
      </c>
      <c r="D2901" s="2" t="inlineStr">
        <is>
          <t>GM</t>
        </is>
      </c>
      <c r="E2901" s="3" t="n">
        <v>10</v>
      </c>
      <c r="F2901" s="4" t="n">
        <v>0.3</v>
      </c>
      <c r="G2901" s="5">
        <f>ROUND(E2901*(1+F2901),2)</f>
        <v>13.00</v>
      </c>
      <c r="H2901" s="5">
        <f>ROUND(G2901*NOTAS!$B$2,2)</f>
        <v>9377.49</v>
      </c>
      <c r="I2901" s="6">
        <f>ROUND(G2901*NOTAS!$B$3,0)</f>
        <v>42235</v>
      </c>
      <c r="J2901" s="2" t="n">
        <v>1</v>
      </c>
    </row>
    <row r="2902">
      <c r="A2902" s="2" t="inlineStr">
        <is>
          <t>536</t>
        </is>
      </c>
      <c r="B2902" s="2" t="inlineStr"/>
      <c r="C2902" s="2" t="inlineStr">
        <is>
          <t>MANGUERA RADIADOR SUPERIOR AVEO 06/10</t>
        </is>
      </c>
      <c r="D2902" s="2" t="inlineStr">
        <is>
          <t>TORFLEX</t>
        </is>
      </c>
      <c r="E2902" s="3" t="n">
        <v>8</v>
      </c>
      <c r="F2902" s="4" t="n">
        <v>0.3</v>
      </c>
      <c r="G2902" s="5">
        <f>ROUND(E2902*(1+F2902),2)</f>
        <v>10.40</v>
      </c>
      <c r="H2902" s="5">
        <f>ROUND(G2902*NOTAS!$B$2,2)</f>
        <v>7501.99</v>
      </c>
      <c r="I2902" s="6">
        <f>ROUND(G2902*NOTAS!$B$3,0)</f>
        <v>33788</v>
      </c>
      <c r="J2902" s="2" t="n">
        <v>1</v>
      </c>
    </row>
    <row r="2903">
      <c r="A2903" s="2" t="inlineStr">
        <is>
          <t>TX897</t>
        </is>
      </c>
      <c r="B2903" s="2" t="inlineStr"/>
      <c r="C2903" s="2" t="inlineStr">
        <is>
          <t>MANGUERA RADIADOR SUPERIOR AVEO 06/10</t>
        </is>
      </c>
      <c r="D2903" s="2" t="inlineStr">
        <is>
          <t>PRECISE</t>
        </is>
      </c>
      <c r="E2903" s="3" t="n">
        <v>8</v>
      </c>
      <c r="F2903" s="4" t="n">
        <v>0.3</v>
      </c>
      <c r="G2903" s="5">
        <f>ROUND(E2903*(1+F2903),2)</f>
        <v>10.40</v>
      </c>
      <c r="H2903" s="5">
        <f>ROUND(G2903*NOTAS!$B$2,2)</f>
        <v>7501.99</v>
      </c>
      <c r="I2903" s="6">
        <f>ROUND(G2903*NOTAS!$B$3,0)</f>
        <v>33788</v>
      </c>
      <c r="J2903" s="2" t="n">
        <v>1</v>
      </c>
    </row>
    <row r="2904">
      <c r="A2904" s="2" t="inlineStr">
        <is>
          <t>96536532-A</t>
        </is>
      </c>
      <c r="B2904" s="2" t="inlineStr"/>
      <c r="C2904" s="2" t="inlineStr">
        <is>
          <t>MANGUERA RADIADOR SUPERIOR AVEO 06/10</t>
        </is>
      </c>
      <c r="D2904" s="2" t="inlineStr">
        <is>
          <t>PARTS-MALL</t>
        </is>
      </c>
      <c r="E2904" s="3" t="n">
        <v>8</v>
      </c>
      <c r="F2904" s="4" t="n">
        <v>0.3</v>
      </c>
      <c r="G2904" s="5">
        <f>ROUND(E2904*(1+F2904),2)</f>
        <v>10.40</v>
      </c>
      <c r="H2904" s="5">
        <f>ROUND(G2904*NOTAS!$B$2,2)</f>
        <v>7501.99</v>
      </c>
      <c r="I2904" s="6">
        <f>ROUND(G2904*NOTAS!$B$3,0)</f>
        <v>33788</v>
      </c>
      <c r="J2904" s="2" t="n">
        <v>2</v>
      </c>
    </row>
    <row r="2905">
      <c r="A2905" s="2" t="inlineStr">
        <is>
          <t>96536532</t>
        </is>
      </c>
      <c r="B2905" s="2" t="inlineStr"/>
      <c r="C2905" s="2" t="inlineStr">
        <is>
          <t>MANGUERA RADIADOR SUPERIOR AVEO 06/10</t>
        </is>
      </c>
      <c r="D2905" s="2" t="inlineStr">
        <is>
          <t>GM</t>
        </is>
      </c>
      <c r="E2905" s="3" t="n">
        <v>11</v>
      </c>
      <c r="F2905" s="4" t="n">
        <v>0.3</v>
      </c>
      <c r="G2905" s="5">
        <f>ROUND(E2905*(1+F2905),2)</f>
        <v>14.30</v>
      </c>
      <c r="H2905" s="5">
        <f>ROUND(G2905*NOTAS!$B$2,2)</f>
        <v>10315.24</v>
      </c>
      <c r="I2905" s="6">
        <f>ROUND(G2905*NOTAS!$B$3,0)</f>
        <v>46459</v>
      </c>
      <c r="J2905" s="2" t="n">
        <v>1</v>
      </c>
    </row>
    <row r="2906">
      <c r="A2906" s="2" t="inlineStr">
        <is>
          <t>96536592</t>
        </is>
      </c>
      <c r="B2906" s="2" t="inlineStr"/>
      <c r="C2906" s="2" t="inlineStr">
        <is>
          <t>MANGUERA RADIADOR SUPERIOR AVEO SIN AIRE 06/10-AVEO SPEED</t>
        </is>
      </c>
      <c r="D2906" s="2" t="inlineStr">
        <is>
          <t>GM</t>
        </is>
      </c>
      <c r="E2906" s="3" t="n">
        <v>11</v>
      </c>
      <c r="F2906" s="4" t="n">
        <v>0.3</v>
      </c>
      <c r="G2906" s="5">
        <f>ROUND(E2906*(1+F2906),2)</f>
        <v>14.30</v>
      </c>
      <c r="H2906" s="5">
        <f>ROUND(G2906*NOTAS!$B$2,2)</f>
        <v>10315.24</v>
      </c>
      <c r="I2906" s="6">
        <f>ROUND(G2906*NOTAS!$B$3,0)</f>
        <v>46459</v>
      </c>
      <c r="J2906" s="2" t="n">
        <v>4</v>
      </c>
    </row>
    <row r="2907">
      <c r="A2907" s="2" t="inlineStr">
        <is>
          <t>M-980</t>
        </is>
      </c>
      <c r="B2907" s="2" t="inlineStr"/>
      <c r="C2907" s="2" t="inlineStr">
        <is>
          <t>MANGUERA RADIADOR SUPERIOR CHEVETTE</t>
        </is>
      </c>
      <c r="D2907" s="2" t="inlineStr">
        <is>
          <t>GOODYEAR</t>
        </is>
      </c>
      <c r="E2907" s="3" t="n">
        <v>8</v>
      </c>
      <c r="F2907" s="4" t="n">
        <v>0.3</v>
      </c>
      <c r="G2907" s="5">
        <f>ROUND(E2907*(1+F2907),2)</f>
        <v>10.40</v>
      </c>
      <c r="H2907" s="5">
        <f>ROUND(G2907*NOTAS!$B$2,2)</f>
        <v>7501.99</v>
      </c>
      <c r="I2907" s="6">
        <f>ROUND(G2907*NOTAS!$B$3,0)</f>
        <v>33788</v>
      </c>
      <c r="J2907" s="2" t="n">
        <v>1</v>
      </c>
    </row>
    <row r="2908">
      <c r="A2908" s="2" t="inlineStr">
        <is>
          <t>666</t>
        </is>
      </c>
      <c r="B2908" s="2" t="inlineStr"/>
      <c r="C2908" s="2" t="inlineStr">
        <is>
          <t>MANGUERA RADIADOR SUPERIOR CORSA</t>
        </is>
      </c>
      <c r="D2908" s="2" t="inlineStr">
        <is>
          <t>PRECISE</t>
        </is>
      </c>
      <c r="E2908" s="3" t="n">
        <v>6</v>
      </c>
      <c r="F2908" s="4" t="n">
        <v>0.3</v>
      </c>
      <c r="G2908" s="5">
        <f>ROUND(E2908*(1+F2908),2)</f>
        <v>7.80</v>
      </c>
      <c r="H2908" s="5">
        <f>ROUND(G2908*NOTAS!$B$2,2)</f>
        <v>5626.50</v>
      </c>
      <c r="I2908" s="6">
        <f>ROUND(G2908*NOTAS!$B$3,0)</f>
        <v>25341</v>
      </c>
      <c r="J2908" s="2" t="n">
        <v>38</v>
      </c>
    </row>
    <row r="2909">
      <c r="A2909" s="2" t="inlineStr">
        <is>
          <t>1PRE666</t>
        </is>
      </c>
      <c r="B2909" s="2" t="inlineStr"/>
      <c r="C2909" s="2" t="inlineStr">
        <is>
          <t>MANGUERA RADIADOR SUPERIOR CORSA</t>
        </is>
      </c>
      <c r="D2909" s="2" t="inlineStr">
        <is>
          <t>PRECISE</t>
        </is>
      </c>
      <c r="E2909" s="3" t="n">
        <v>6</v>
      </c>
      <c r="F2909" s="4" t="n">
        <v>0.3</v>
      </c>
      <c r="G2909" s="5">
        <f>ROUND(E2909*(1+F2909),2)</f>
        <v>7.80</v>
      </c>
      <c r="H2909" s="5">
        <f>ROUND(G2909*NOTAS!$B$2,2)</f>
        <v>5626.50</v>
      </c>
      <c r="I2909" s="6">
        <f>ROUND(G2909*NOTAS!$B$3,0)</f>
        <v>25341</v>
      </c>
      <c r="J2909" s="2" t="n">
        <v>5</v>
      </c>
    </row>
    <row r="2910">
      <c r="A2910" s="2" t="inlineStr">
        <is>
          <t>TX0713</t>
        </is>
      </c>
      <c r="B2910" s="2" t="inlineStr"/>
      <c r="C2910" s="2" t="inlineStr">
        <is>
          <t>MANGUERA RADIADOR SUPERIOR F-147/SPAZIO</t>
        </is>
      </c>
      <c r="D2910" s="2" t="inlineStr">
        <is>
          <t>TORFLEX</t>
        </is>
      </c>
      <c r="E2910" s="3" t="n">
        <v>8</v>
      </c>
      <c r="F2910" s="4" t="n">
        <v>0.3</v>
      </c>
      <c r="G2910" s="5">
        <f>ROUND(E2910*(1+F2910),2)</f>
        <v>10.40</v>
      </c>
      <c r="H2910" s="5">
        <f>ROUND(G2910*NOTAS!$B$2,2)</f>
        <v>7501.99</v>
      </c>
      <c r="I2910" s="6">
        <f>ROUND(G2910*NOTAS!$B$3,0)</f>
        <v>33788</v>
      </c>
      <c r="J2910" s="2" t="n">
        <v>4</v>
      </c>
    </row>
    <row r="2911">
      <c r="A2911" s="2" t="inlineStr">
        <is>
          <t>M713</t>
        </is>
      </c>
      <c r="B2911" s="2" t="inlineStr"/>
      <c r="C2911" s="2" t="inlineStr">
        <is>
          <t>MANGUERA RADIADOR SUPERIOR F-147/SPAZIO</t>
        </is>
      </c>
      <c r="D2911" s="2" t="inlineStr">
        <is>
          <t>GOODYEAR</t>
        </is>
      </c>
      <c r="E2911" s="3" t="n">
        <v>8</v>
      </c>
      <c r="F2911" s="4" t="n">
        <v>0.3</v>
      </c>
      <c r="G2911" s="5">
        <f>ROUND(E2911*(1+F2911),2)</f>
        <v>10.40</v>
      </c>
      <c r="H2911" s="5">
        <f>ROUND(G2911*NOTAS!$B$2,2)</f>
        <v>7501.99</v>
      </c>
      <c r="I2911" s="6">
        <f>ROUND(G2911*NOTAS!$B$3,0)</f>
        <v>33788</v>
      </c>
      <c r="J2911" s="2" t="n">
        <v>3</v>
      </c>
    </row>
    <row r="2912">
      <c r="A2912" s="2" t="inlineStr">
        <is>
          <t>TX0635</t>
        </is>
      </c>
      <c r="B2912" s="2" t="inlineStr"/>
      <c r="C2912" s="2" t="inlineStr">
        <is>
          <t>MANGUERA RADIADOR SUPERIOR FIESTA 04/13 LARGA</t>
        </is>
      </c>
      <c r="D2912" s="2" t="inlineStr">
        <is>
          <t>TORFLEX</t>
        </is>
      </c>
      <c r="E2912" s="3" t="n">
        <v>12</v>
      </c>
      <c r="F2912" s="4" t="n">
        <v>0.3</v>
      </c>
      <c r="G2912" s="5">
        <f>ROUND(E2912*(1+F2912),2)</f>
        <v>15.60</v>
      </c>
      <c r="H2912" s="5">
        <f>ROUND(G2912*NOTAS!$B$2,2)</f>
        <v>11252.99</v>
      </c>
      <c r="I2912" s="6">
        <f>ROUND(G2912*NOTAS!$B$3,0)</f>
        <v>50682</v>
      </c>
      <c r="J2912" s="2" t="n">
        <v>4</v>
      </c>
    </row>
    <row r="2913">
      <c r="A2913" s="2" t="inlineStr">
        <is>
          <t>930077</t>
        </is>
      </c>
      <c r="B2913" s="2" t="inlineStr">
        <is>
          <t>2S658B274AD</t>
        </is>
      </c>
      <c r="C2913" s="2" t="inlineStr">
        <is>
          <t>MANGUERA RADIADOR SUPERIOR FIESTA 04/13 LARGA</t>
        </is>
      </c>
      <c r="D2913" s="2" t="inlineStr">
        <is>
          <t>FORD</t>
        </is>
      </c>
      <c r="E2913" s="3" t="n">
        <v>20</v>
      </c>
      <c r="F2913" s="4" t="n">
        <v>0.3</v>
      </c>
      <c r="G2913" s="5">
        <f>ROUND(E2913*(1+F2913),2)</f>
        <v>26.00</v>
      </c>
      <c r="H2913" s="5">
        <f>ROUND(G2913*NOTAS!$B$2,2)</f>
        <v>18754.99</v>
      </c>
      <c r="I2913" s="6">
        <f>ROUND(G2913*NOTAS!$B$3,0)</f>
        <v>84471</v>
      </c>
      <c r="J2913" s="2" t="n">
        <v>2</v>
      </c>
    </row>
    <row r="2914">
      <c r="A2914" s="2" t="inlineStr">
        <is>
          <t>901737</t>
        </is>
      </c>
      <c r="B2914" s="2" t="inlineStr">
        <is>
          <t>2S658B274CD</t>
        </is>
      </c>
      <c r="C2914" s="2" t="inlineStr">
        <is>
          <t>MANGUERA RADIADOR SUPERIOR FIESTA 04/13-ECOSPORT CORTA</t>
        </is>
      </c>
      <c r="D2914" s="2" t="inlineStr">
        <is>
          <t>FORD</t>
        </is>
      </c>
      <c r="E2914" s="3" t="n">
        <v>20</v>
      </c>
      <c r="F2914" s="4" t="n">
        <v>0.3</v>
      </c>
      <c r="G2914" s="5">
        <f>ROUND(E2914*(1+F2914),2)</f>
        <v>26.00</v>
      </c>
      <c r="H2914" s="5">
        <f>ROUND(G2914*NOTAS!$B$2,2)</f>
        <v>18754.99</v>
      </c>
      <c r="I2914" s="6">
        <f>ROUND(G2914*NOTAS!$B$3,0)</f>
        <v>84471</v>
      </c>
      <c r="J2914" s="2" t="n">
        <v>11</v>
      </c>
    </row>
    <row r="2915">
      <c r="A2915" s="2" t="inlineStr">
        <is>
          <t>3R5566</t>
        </is>
      </c>
      <c r="B2915" s="2" t="inlineStr"/>
      <c r="C2915" s="2" t="inlineStr">
        <is>
          <t>MANGUERA RADIADOR SUPERIOR F-PAL/SIE 1.3 16V FIRE/1.4</t>
        </is>
      </c>
      <c r="D2915" s="2" t="inlineStr">
        <is>
          <t>BRAZIL</t>
        </is>
      </c>
      <c r="E2915" s="3" t="n">
        <v>11</v>
      </c>
      <c r="F2915" s="4" t="n">
        <v>0.3</v>
      </c>
      <c r="G2915" s="5">
        <f>ROUND(E2915*(1+F2915),2)</f>
        <v>14.30</v>
      </c>
      <c r="H2915" s="5">
        <f>ROUND(G2915*NOTAS!$B$2,2)</f>
        <v>10315.24</v>
      </c>
      <c r="I2915" s="6">
        <f>ROUND(G2915*NOTAS!$B$3,0)</f>
        <v>46459</v>
      </c>
      <c r="J2915" s="2" t="n">
        <v>3</v>
      </c>
    </row>
    <row r="2916">
      <c r="A2916" s="2" t="inlineStr">
        <is>
          <t>TX0773</t>
        </is>
      </c>
      <c r="B2916" s="2" t="inlineStr"/>
      <c r="C2916" s="2" t="inlineStr">
        <is>
          <t xml:space="preserve">MANGUERA RADIADOR SUPERIOR F-PAL/SIE 1.6 </t>
        </is>
      </c>
      <c r="D2916" s="2" t="inlineStr">
        <is>
          <t>TORFLEX</t>
        </is>
      </c>
      <c r="E2916" s="3" t="n">
        <v>10</v>
      </c>
      <c r="F2916" s="4" t="n">
        <v>0.3</v>
      </c>
      <c r="G2916" s="5">
        <f>ROUND(E2916*(1+F2916),2)</f>
        <v>13.00</v>
      </c>
      <c r="H2916" s="5">
        <f>ROUND(G2916*NOTAS!$B$2,2)</f>
        <v>9377.49</v>
      </c>
      <c r="I2916" s="6">
        <f>ROUND(G2916*NOTAS!$B$3,0)</f>
        <v>42235</v>
      </c>
      <c r="J2916" s="2" t="n">
        <v>2</v>
      </c>
    </row>
    <row r="2917">
      <c r="A2917" s="2" t="inlineStr">
        <is>
          <t>3R5629</t>
        </is>
      </c>
      <c r="B2917" s="2" t="inlineStr"/>
      <c r="C2917" s="2" t="inlineStr">
        <is>
          <t>MANGUERA RADIADOR SUPERIOR F-PAL/SIE 1.8</t>
        </is>
      </c>
      <c r="D2917" s="2" t="inlineStr">
        <is>
          <t>BRAZIL</t>
        </is>
      </c>
      <c r="E2917" s="3" t="n">
        <v>7</v>
      </c>
      <c r="F2917" s="4" t="n">
        <v>0.3</v>
      </c>
      <c r="G2917" s="5">
        <f>ROUND(E2917*(1+F2917),2)</f>
        <v>9.10</v>
      </c>
      <c r="H2917" s="5">
        <f>ROUND(G2917*NOTAS!$B$2,2)</f>
        <v>6564.24</v>
      </c>
      <c r="I2917" s="6">
        <f>ROUND(G2917*NOTAS!$B$3,0)</f>
        <v>29565</v>
      </c>
      <c r="J2917" s="2" t="n">
        <v>2</v>
      </c>
    </row>
    <row r="2918">
      <c r="A2918" s="2" t="inlineStr">
        <is>
          <t>TX0880</t>
        </is>
      </c>
      <c r="B2918" s="2" t="inlineStr"/>
      <c r="C2918" s="2" t="inlineStr">
        <is>
          <t>MANGUERA RADIADOR SUPERIOR F-PREMIO</t>
        </is>
      </c>
      <c r="D2918" s="2" t="inlineStr">
        <is>
          <t>TORFLEX</t>
        </is>
      </c>
      <c r="E2918" s="3" t="n">
        <v>7</v>
      </c>
      <c r="F2918" s="4" t="n">
        <v>0.3</v>
      </c>
      <c r="G2918" s="5">
        <f>ROUND(E2918*(1+F2918),2)</f>
        <v>9.10</v>
      </c>
      <c r="H2918" s="5">
        <f>ROUND(G2918*NOTAS!$B$2,2)</f>
        <v>6564.24</v>
      </c>
      <c r="I2918" s="6">
        <f>ROUND(G2918*NOTAS!$B$3,0)</f>
        <v>29565</v>
      </c>
      <c r="J2918" s="2" t="n">
        <v>2</v>
      </c>
    </row>
    <row r="2919">
      <c r="A2919" s="2" t="inlineStr">
        <is>
          <t>TX0083</t>
        </is>
      </c>
      <c r="B2919" s="2" t="inlineStr"/>
      <c r="C2919" s="2" t="inlineStr">
        <is>
          <t>MANGUERA RADIADOR SUPERIOR F-UNO MPI 00/03</t>
        </is>
      </c>
      <c r="D2919" s="2" t="inlineStr">
        <is>
          <t>TORFLEX</t>
        </is>
      </c>
      <c r="E2919" s="3" t="n">
        <v>10</v>
      </c>
      <c r="F2919" s="4" t="n">
        <v>0.3</v>
      </c>
      <c r="G2919" s="5">
        <f>ROUND(E2919*(1+F2919),2)</f>
        <v>13.00</v>
      </c>
      <c r="H2919" s="5">
        <f>ROUND(G2919*NOTAS!$B$2,2)</f>
        <v>9377.49</v>
      </c>
      <c r="I2919" s="6">
        <f>ROUND(G2919*NOTAS!$B$3,0)</f>
        <v>42235</v>
      </c>
      <c r="J2919" s="2" t="n">
        <v>1</v>
      </c>
    </row>
    <row r="2920">
      <c r="A2920" s="2" t="inlineStr">
        <is>
          <t>3R5505</t>
        </is>
      </c>
      <c r="B2920" s="2" t="inlineStr"/>
      <c r="C2920" s="2" t="inlineStr">
        <is>
          <t>MANGUERA RADIADOR SUPERIOR F-UNO/PREMIO</t>
        </is>
      </c>
      <c r="D2920" s="2" t="inlineStr">
        <is>
          <t>BRAZIL</t>
        </is>
      </c>
      <c r="E2920" s="3" t="n">
        <v>9</v>
      </c>
      <c r="F2920" s="4" t="n">
        <v>0.3</v>
      </c>
      <c r="G2920" s="5">
        <f>ROUND(E2920*(1+F2920),2)</f>
        <v>11.70</v>
      </c>
      <c r="H2920" s="5">
        <f>ROUND(G2920*NOTAS!$B$2,2)</f>
        <v>8439.74</v>
      </c>
      <c r="I2920" s="6">
        <f>ROUND(G2920*NOTAS!$B$3,0)</f>
        <v>38012</v>
      </c>
      <c r="J2920" s="2" t="n">
        <v>8</v>
      </c>
    </row>
    <row r="2921">
      <c r="A2921" s="2" t="inlineStr">
        <is>
          <t>TX0712</t>
        </is>
      </c>
      <c r="B2921" s="2" t="inlineStr"/>
      <c r="C2921" s="2" t="inlineStr">
        <is>
          <t>MANGUERA RADIADOR SUPERIOR F-UNO/PREMIO</t>
        </is>
      </c>
      <c r="D2921" s="2" t="inlineStr">
        <is>
          <t>TORFLEX</t>
        </is>
      </c>
      <c r="E2921" s="3" t="n">
        <v>10</v>
      </c>
      <c r="F2921" s="4" t="n">
        <v>0.3</v>
      </c>
      <c r="G2921" s="5">
        <f>ROUND(E2921*(1+F2921),2)</f>
        <v>13.00</v>
      </c>
      <c r="H2921" s="5">
        <f>ROUND(G2921*NOTAS!$B$2,2)</f>
        <v>9377.49</v>
      </c>
      <c r="I2921" s="6">
        <f>ROUND(G2921*NOTAS!$B$3,0)</f>
        <v>42235</v>
      </c>
      <c r="J2921" s="2" t="n">
        <v>1</v>
      </c>
    </row>
    <row r="2922">
      <c r="A2922" s="2" t="inlineStr">
        <is>
          <t>901501</t>
        </is>
      </c>
      <c r="B2922" s="2" t="inlineStr">
        <is>
          <t>1S558B274BA</t>
        </is>
      </c>
      <c r="C2922" s="2" t="inlineStr">
        <is>
          <t>MANGUERA RADIADOR SUPERIOR KA</t>
        </is>
      </c>
      <c r="D2922" s="2" t="inlineStr">
        <is>
          <t>FORD</t>
        </is>
      </c>
      <c r="E2922" s="3" t="n">
        <v>15</v>
      </c>
      <c r="F2922" s="4" t="n">
        <v>0.3</v>
      </c>
      <c r="G2922" s="5">
        <f>ROUND(E2922*(1+F2922),2)</f>
        <v>19.50</v>
      </c>
      <c r="H2922" s="5">
        <f>ROUND(G2922*NOTAS!$B$2,2)</f>
        <v>14066.24</v>
      </c>
      <c r="I2922" s="6">
        <f>ROUND(G2922*NOTAS!$B$3,0)</f>
        <v>63353</v>
      </c>
      <c r="J2922" s="2" t="n">
        <v>1</v>
      </c>
    </row>
    <row r="2923">
      <c r="A2923" s="2" t="inlineStr"/>
      <c r="B2923" s="2" t="inlineStr"/>
      <c r="C2923" s="2" t="inlineStr">
        <is>
          <t>MANGUERA RADIADOR SUPERIOR KIA RIO 00/05</t>
        </is>
      </c>
      <c r="D2923" s="2" t="inlineStr">
        <is>
          <t>PARTS-MALL</t>
        </is>
      </c>
      <c r="E2923" s="3" t="n">
        <v>6</v>
      </c>
      <c r="F2923" s="4" t="n">
        <v>0.3</v>
      </c>
      <c r="G2923" s="5">
        <f>ROUND(E2923*(1+F2923),2)</f>
        <v>7.80</v>
      </c>
      <c r="H2923" s="5">
        <f>ROUND(G2923*NOTAS!$B$2,2)</f>
        <v>5626.50</v>
      </c>
      <c r="I2923" s="6">
        <f>ROUND(G2923*NOTAS!$B$3,0)</f>
        <v>25341</v>
      </c>
      <c r="J2923" s="2" t="n">
        <v>3</v>
      </c>
    </row>
    <row r="2924">
      <c r="A2924" s="2" t="inlineStr">
        <is>
          <t>96351259</t>
        </is>
      </c>
      <c r="B2924" s="2" t="inlineStr"/>
      <c r="C2924" s="2" t="inlineStr">
        <is>
          <t>MANGUERA RADIADOR SUPERIOR LANOS</t>
        </is>
      </c>
      <c r="D2924" s="2" t="inlineStr">
        <is>
          <t>KOREA</t>
        </is>
      </c>
      <c r="E2924" s="3" t="n">
        <v>5</v>
      </c>
      <c r="F2924" s="4" t="n">
        <v>0.3</v>
      </c>
      <c r="G2924" s="5">
        <f>ROUND(E2924*(1+F2924),2)</f>
        <v>6.50</v>
      </c>
      <c r="H2924" s="5">
        <f>ROUND(G2924*NOTAS!$B$2,2)</f>
        <v>4688.75</v>
      </c>
      <c r="I2924" s="6">
        <f>ROUND(G2924*NOTAS!$B$3,0)</f>
        <v>21118</v>
      </c>
      <c r="J2924" s="2" t="n">
        <v>5</v>
      </c>
    </row>
    <row r="2925">
      <c r="A2925" s="2" t="inlineStr">
        <is>
          <t>96258590</t>
        </is>
      </c>
      <c r="B2925" s="2" t="inlineStr"/>
      <c r="C2925" s="2" t="inlineStr">
        <is>
          <t>MANGUERA RADIADOR SUPERIOR MATIZ</t>
        </is>
      </c>
      <c r="D2925" s="2" t="inlineStr">
        <is>
          <t>KOREA</t>
        </is>
      </c>
      <c r="E2925" s="3" t="n">
        <v>5</v>
      </c>
      <c r="F2925" s="4" t="n">
        <v>0.3</v>
      </c>
      <c r="G2925" s="5">
        <f>ROUND(E2925*(1+F2925),2)</f>
        <v>6.50</v>
      </c>
      <c r="H2925" s="5">
        <f>ROUND(G2925*NOTAS!$B$2,2)</f>
        <v>4688.75</v>
      </c>
      <c r="I2925" s="6">
        <f>ROUND(G2925*NOTAS!$B$3,0)</f>
        <v>21118</v>
      </c>
      <c r="J2925" s="2" t="n">
        <v>1</v>
      </c>
    </row>
    <row r="2926">
      <c r="A2926" s="2" t="inlineStr">
        <is>
          <t>96553247</t>
        </is>
      </c>
      <c r="B2926" s="2" t="inlineStr"/>
      <c r="C2926" s="2" t="inlineStr">
        <is>
          <t>MANGUERA RADIADOR SUPERIOR OPTRA</t>
        </is>
      </c>
      <c r="D2926" s="2" t="inlineStr">
        <is>
          <t>GM</t>
        </is>
      </c>
      <c r="E2926" s="3" t="n">
        <v>13</v>
      </c>
      <c r="F2926" s="4" t="n">
        <v>0.3</v>
      </c>
      <c r="G2926" s="5">
        <f>ROUND(E2926*(1+F2926),2)</f>
        <v>16.90</v>
      </c>
      <c r="H2926" s="5">
        <f>ROUND(G2926*NOTAS!$B$2,2)</f>
        <v>12190.74</v>
      </c>
      <c r="I2926" s="6">
        <f>ROUND(G2926*NOTAS!$B$3,0)</f>
        <v>54906</v>
      </c>
      <c r="J2926" s="2" t="n">
        <v>2</v>
      </c>
    </row>
    <row r="2927">
      <c r="A2927" s="2" t="inlineStr">
        <is>
          <t>TX0563</t>
        </is>
      </c>
      <c r="B2927" s="2" t="inlineStr"/>
      <c r="C2927" s="2" t="inlineStr">
        <is>
          <t>MANGUERA RADIADOR SUPERIOR OPTRA DESING</t>
        </is>
      </c>
      <c r="D2927" s="2" t="inlineStr">
        <is>
          <t>TORFLEX</t>
        </is>
      </c>
      <c r="E2927" s="3" t="n">
        <v>10</v>
      </c>
      <c r="F2927" s="4" t="n">
        <v>0.3</v>
      </c>
      <c r="G2927" s="5">
        <f>ROUND(E2927*(1+F2927),2)</f>
        <v>13.00</v>
      </c>
      <c r="H2927" s="5">
        <f>ROUND(G2927*NOTAS!$B$2,2)</f>
        <v>9377.49</v>
      </c>
      <c r="I2927" s="6">
        <f>ROUND(G2927*NOTAS!$B$3,0)</f>
        <v>42235</v>
      </c>
      <c r="J2927" s="2" t="n">
        <v>1</v>
      </c>
    </row>
    <row r="2928">
      <c r="A2928" s="2" t="inlineStr"/>
      <c r="B2928" s="2" t="inlineStr"/>
      <c r="C2928" s="2" t="inlineStr">
        <is>
          <t>MANGUERA RADIADOR SUPERIOR R-18 1.6</t>
        </is>
      </c>
      <c r="D2928" s="2" t="inlineStr">
        <is>
          <t>PERFECT CIRCLE</t>
        </is>
      </c>
      <c r="E2928" s="3" t="n">
        <v>10</v>
      </c>
      <c r="F2928" s="4" t="n">
        <v>0.3</v>
      </c>
      <c r="G2928" s="5">
        <f>ROUND(E2928*(1+F2928),2)</f>
        <v>13.00</v>
      </c>
      <c r="H2928" s="5">
        <f>ROUND(G2928*NOTAS!$B$2,2)</f>
        <v>9377.49</v>
      </c>
      <c r="I2928" s="6">
        <f>ROUND(G2928*NOTAS!$B$3,0)</f>
        <v>42235</v>
      </c>
      <c r="J2928" s="2" t="n">
        <v>1</v>
      </c>
    </row>
    <row r="2929">
      <c r="A2929" s="2" t="inlineStr"/>
      <c r="B2929" s="2" t="inlineStr"/>
      <c r="C2929" s="2" t="inlineStr">
        <is>
          <t>MANGUERA RADIADOR SUPERIOR R-18 2.0/FUEGO</t>
        </is>
      </c>
      <c r="D2929" s="2" t="inlineStr"/>
      <c r="E2929" s="3" t="n">
        <v>8</v>
      </c>
      <c r="F2929" s="4" t="n">
        <v>0.3</v>
      </c>
      <c r="G2929" s="5">
        <f>ROUND(E2929*(1+F2929),2)</f>
        <v>10.40</v>
      </c>
      <c r="H2929" s="5">
        <f>ROUND(G2929*NOTAS!$B$2,2)</f>
        <v>7501.99</v>
      </c>
      <c r="I2929" s="6">
        <f>ROUND(G2929*NOTAS!$B$3,0)</f>
        <v>33788</v>
      </c>
      <c r="J2929" s="2" t="n">
        <v>1</v>
      </c>
    </row>
    <row r="2930">
      <c r="A2930" s="2" t="inlineStr"/>
      <c r="B2930" s="2" t="inlineStr"/>
      <c r="C2930" s="2" t="inlineStr">
        <is>
          <t>MANGUERA RADIADOR SUPERIOR R-18 2.0/FUEGO</t>
        </is>
      </c>
      <c r="D2930" s="2" t="inlineStr">
        <is>
          <t>PERFECT CIRCLE</t>
        </is>
      </c>
      <c r="E2930" s="3" t="n">
        <v>8</v>
      </c>
      <c r="F2930" s="4" t="n">
        <v>0.3</v>
      </c>
      <c r="G2930" s="5">
        <f>ROUND(E2930*(1+F2930),2)</f>
        <v>10.40</v>
      </c>
      <c r="H2930" s="5">
        <f>ROUND(G2930*NOTAS!$B$2,2)</f>
        <v>7501.99</v>
      </c>
      <c r="I2930" s="6">
        <f>ROUND(G2930*NOTAS!$B$3,0)</f>
        <v>33788</v>
      </c>
      <c r="J2930" s="2" t="n">
        <v>1</v>
      </c>
    </row>
    <row r="2931">
      <c r="A2931" s="2" t="inlineStr">
        <is>
          <t>42122</t>
        </is>
      </c>
      <c r="B2931" s="2" t="inlineStr"/>
      <c r="C2931" s="2" t="inlineStr">
        <is>
          <t>MANGUERA RADIADOR SUPERIOR R-19 1.4</t>
        </is>
      </c>
      <c r="D2931" s="2" t="inlineStr">
        <is>
          <t>RENAULT</t>
        </is>
      </c>
      <c r="E2931" s="3" t="n">
        <v>7</v>
      </c>
      <c r="F2931" s="4" t="n">
        <v>0.3</v>
      </c>
      <c r="G2931" s="5">
        <f>ROUND(E2931*(1+F2931),2)</f>
        <v>9.10</v>
      </c>
      <c r="H2931" s="5">
        <f>ROUND(G2931*NOTAS!$B$2,2)</f>
        <v>6564.24</v>
      </c>
      <c r="I2931" s="6">
        <f>ROUND(G2931*NOTAS!$B$3,0)</f>
        <v>29565</v>
      </c>
      <c r="J2931" s="2" t="n">
        <v>4</v>
      </c>
    </row>
    <row r="2932">
      <c r="A2932" s="2" t="inlineStr">
        <is>
          <t>7702239385</t>
        </is>
      </c>
      <c r="B2932" s="2" t="inlineStr"/>
      <c r="C2932" s="2" t="inlineStr">
        <is>
          <t>MANGUERA RADIADOR SUPERIOR R-19 1.4</t>
        </is>
      </c>
      <c r="D2932" s="2" t="inlineStr"/>
      <c r="E2932" s="3" t="n">
        <v>7</v>
      </c>
      <c r="F2932" s="4" t="n">
        <v>0.3</v>
      </c>
      <c r="G2932" s="5">
        <f>ROUND(E2932*(1+F2932),2)</f>
        <v>9.10</v>
      </c>
      <c r="H2932" s="5">
        <f>ROUND(G2932*NOTAS!$B$2,2)</f>
        <v>6564.24</v>
      </c>
      <c r="I2932" s="6">
        <f>ROUND(G2932*NOTAS!$B$3,0)</f>
        <v>29565</v>
      </c>
      <c r="J2932" s="2" t="n">
        <v>1</v>
      </c>
    </row>
    <row r="2933">
      <c r="A2933" s="2" t="inlineStr">
        <is>
          <t>R.21-151</t>
        </is>
      </c>
      <c r="B2933" s="2" t="inlineStr"/>
      <c r="C2933" s="2" t="inlineStr">
        <is>
          <t>MANGUERA RADIADOR SUPERIOR R-21</t>
        </is>
      </c>
      <c r="D2933" s="2" t="inlineStr">
        <is>
          <t>TAKSIM GROUP</t>
        </is>
      </c>
      <c r="E2933" s="3" t="n">
        <v>10</v>
      </c>
      <c r="F2933" s="4" t="n">
        <v>0.3</v>
      </c>
      <c r="G2933" s="5">
        <f>ROUND(E2933*(1+F2933),2)</f>
        <v>13.00</v>
      </c>
      <c r="H2933" s="5">
        <f>ROUND(G2933*NOTAS!$B$2,2)</f>
        <v>9377.49</v>
      </c>
      <c r="I2933" s="6">
        <f>ROUND(G2933*NOTAS!$B$3,0)</f>
        <v>42235</v>
      </c>
      <c r="J2933" s="2" t="n">
        <v>2</v>
      </c>
    </row>
    <row r="2934">
      <c r="A2934" s="2" t="inlineStr">
        <is>
          <t>DA-102</t>
        </is>
      </c>
      <c r="B2934" s="2" t="inlineStr"/>
      <c r="C2934" s="2" t="inlineStr">
        <is>
          <t>MANGUERA RADIADOR SUPERIOR R-LOGAN</t>
        </is>
      </c>
      <c r="D2934" s="2" t="inlineStr">
        <is>
          <t>TAKSIM GROUP</t>
        </is>
      </c>
      <c r="E2934" s="3" t="n">
        <v>12</v>
      </c>
      <c r="F2934" s="4" t="n">
        <v>0.3</v>
      </c>
      <c r="G2934" s="5">
        <f>ROUND(E2934*(1+F2934),2)</f>
        <v>15.60</v>
      </c>
      <c r="H2934" s="5">
        <f>ROUND(G2934*NOTAS!$B$2,2)</f>
        <v>11252.99</v>
      </c>
      <c r="I2934" s="6">
        <f>ROUND(G2934*NOTAS!$B$3,0)</f>
        <v>50682</v>
      </c>
      <c r="J2934" s="2" t="n">
        <v>1</v>
      </c>
    </row>
    <row r="2935">
      <c r="A2935" s="2" t="inlineStr">
        <is>
          <t>560</t>
        </is>
      </c>
      <c r="B2935" s="2" t="inlineStr"/>
      <c r="C2935" s="2" t="inlineStr">
        <is>
          <t>MANGUERA RADIADOR SUPERIOR R-LOGAN</t>
        </is>
      </c>
      <c r="D2935" s="2" t="inlineStr">
        <is>
          <t>TORFLEX</t>
        </is>
      </c>
      <c r="E2935" s="3" t="n">
        <v>11</v>
      </c>
      <c r="F2935" s="4" t="n">
        <v>0.3</v>
      </c>
      <c r="G2935" s="5">
        <f>ROUND(E2935*(1+F2935),2)</f>
        <v>14.30</v>
      </c>
      <c r="H2935" s="5">
        <f>ROUND(G2935*NOTAS!$B$2,2)</f>
        <v>10315.24</v>
      </c>
      <c r="I2935" s="6">
        <f>ROUND(G2935*NOTAS!$B$3,0)</f>
        <v>46459</v>
      </c>
      <c r="J2935" s="2" t="n">
        <v>1</v>
      </c>
    </row>
    <row r="2936">
      <c r="A2936" s="2" t="inlineStr"/>
      <c r="B2936" s="2" t="inlineStr"/>
      <c r="C2936" s="2" t="inlineStr">
        <is>
          <t>MANGUERA RADIADOR SUPERIOR R-SYMBOL/CLIO 1.4</t>
        </is>
      </c>
      <c r="D2936" s="2" t="inlineStr">
        <is>
          <t>ALCOR</t>
        </is>
      </c>
      <c r="E2936" s="3" t="n">
        <v>7</v>
      </c>
      <c r="F2936" s="4" t="n">
        <v>0.3</v>
      </c>
      <c r="G2936" s="5">
        <f>ROUND(E2936*(1+F2936),2)</f>
        <v>9.10</v>
      </c>
      <c r="H2936" s="5">
        <f>ROUND(G2936*NOTAS!$B$2,2)</f>
        <v>6564.24</v>
      </c>
      <c r="I2936" s="6">
        <f>ROUND(G2936*NOTAS!$B$3,0)</f>
        <v>29565</v>
      </c>
      <c r="J2936" s="2" t="n">
        <v>1</v>
      </c>
    </row>
    <row r="2937">
      <c r="A2937" s="2" t="inlineStr"/>
      <c r="B2937" s="2" t="inlineStr"/>
      <c r="C2937" s="2" t="inlineStr">
        <is>
          <t>MANGUERA RADIADOR SUPERIOR R-SYMBOL/CLIO 1.6</t>
        </is>
      </c>
      <c r="D2937" s="2" t="inlineStr">
        <is>
          <t>ALCOR</t>
        </is>
      </c>
      <c r="E2937" s="3" t="n">
        <v>7</v>
      </c>
      <c r="F2937" s="4" t="n">
        <v>0.3</v>
      </c>
      <c r="G2937" s="5">
        <f>ROUND(E2937*(1+F2937),2)</f>
        <v>9.10</v>
      </c>
      <c r="H2937" s="5">
        <f>ROUND(G2937*NOTAS!$B$2,2)</f>
        <v>6564.24</v>
      </c>
      <c r="I2937" s="6">
        <f>ROUND(G2937*NOTAS!$B$3,0)</f>
        <v>29565</v>
      </c>
      <c r="J2937" s="2" t="n">
        <v>4</v>
      </c>
    </row>
    <row r="2938">
      <c r="A2938" s="2" t="inlineStr"/>
      <c r="B2938" s="2" t="inlineStr"/>
      <c r="C2938" s="2" t="inlineStr">
        <is>
          <t>MANGUERA RADIADOR SUPERIOR R-TWINGO 16V</t>
        </is>
      </c>
      <c r="D2938" s="2" t="inlineStr">
        <is>
          <t>RENAULT</t>
        </is>
      </c>
      <c r="E2938" s="3" t="n">
        <v>7</v>
      </c>
      <c r="F2938" s="4" t="n">
        <v>0.3</v>
      </c>
      <c r="G2938" s="5">
        <f>ROUND(E2938*(1+F2938),2)</f>
        <v>9.10</v>
      </c>
      <c r="H2938" s="5">
        <f>ROUND(G2938*NOTAS!$B$2,2)</f>
        <v>6564.24</v>
      </c>
      <c r="I2938" s="6">
        <f>ROUND(G2938*NOTAS!$B$3,0)</f>
        <v>29565</v>
      </c>
      <c r="J2938" s="2" t="n">
        <v>1</v>
      </c>
    </row>
    <row r="2939">
      <c r="A2939" s="2" t="inlineStr">
        <is>
          <t>95626040</t>
        </is>
      </c>
      <c r="B2939" s="2" t="inlineStr"/>
      <c r="C2939" s="2" t="inlineStr">
        <is>
          <t>MANGUERA RADIADOR SUPERIOR SPARK</t>
        </is>
      </c>
      <c r="D2939" s="2" t="inlineStr"/>
      <c r="E2939" s="3" t="n">
        <v>5</v>
      </c>
      <c r="F2939" s="4" t="n">
        <v>0.3</v>
      </c>
      <c r="G2939" s="5">
        <f>ROUND(E2939*(1+F2939),2)</f>
        <v>6.50</v>
      </c>
      <c r="H2939" s="5">
        <f>ROUND(G2939*NOTAS!$B$2,2)</f>
        <v>4688.75</v>
      </c>
      <c r="I2939" s="6">
        <f>ROUND(G2939*NOTAS!$B$3,0)</f>
        <v>21118</v>
      </c>
      <c r="J2939" s="2" t="n">
        <v>2</v>
      </c>
    </row>
    <row r="2940">
      <c r="A2940" s="2" t="inlineStr">
        <is>
          <t>96455319</t>
        </is>
      </c>
      <c r="B2940" s="2" t="inlineStr"/>
      <c r="C2940" s="2" t="inlineStr">
        <is>
          <t>MANGUERA RADIADOR SUPERIOR SPARK</t>
        </is>
      </c>
      <c r="D2940" s="2" t="inlineStr">
        <is>
          <t>GM</t>
        </is>
      </c>
      <c r="E2940" s="3" t="n">
        <v>10</v>
      </c>
      <c r="F2940" s="4" t="n">
        <v>0.3</v>
      </c>
      <c r="G2940" s="5">
        <f>ROUND(E2940*(1+F2940),2)</f>
        <v>13.00</v>
      </c>
      <c r="H2940" s="5">
        <f>ROUND(G2940*NOTAS!$B$2,2)</f>
        <v>9377.49</v>
      </c>
      <c r="I2940" s="6">
        <f>ROUND(G2940*NOTAS!$B$3,0)</f>
        <v>42235</v>
      </c>
      <c r="J2940" s="2" t="n">
        <v>2</v>
      </c>
    </row>
    <row r="2941">
      <c r="A2941" s="2" t="inlineStr">
        <is>
          <t>96184009</t>
        </is>
      </c>
      <c r="B2941" s="2" t="inlineStr"/>
      <c r="C2941" s="2" t="inlineStr">
        <is>
          <t>MANGUERA RESERVORIO AGUA</t>
        </is>
      </c>
      <c r="D2941" s="2" t="inlineStr">
        <is>
          <t>GM</t>
        </is>
      </c>
      <c r="E2941" s="3" t="n">
        <v>5</v>
      </c>
      <c r="F2941" s="4" t="n">
        <v>0.3</v>
      </c>
      <c r="G2941" s="5">
        <f>ROUND(E2941*(1+F2941),2)</f>
        <v>6.50</v>
      </c>
      <c r="H2941" s="5">
        <f>ROUND(G2941*NOTAS!$B$2,2)</f>
        <v>4688.75</v>
      </c>
      <c r="I2941" s="6">
        <f>ROUND(G2941*NOTAS!$B$3,0)</f>
        <v>21118</v>
      </c>
      <c r="J2941" s="2" t="n">
        <v>1</v>
      </c>
    </row>
    <row r="2942">
      <c r="A2942" s="2" t="inlineStr">
        <is>
          <t>9S653A713AD</t>
        </is>
      </c>
      <c r="B2942" s="2" t="inlineStr"/>
      <c r="C2942" s="2" t="inlineStr">
        <is>
          <t>MANGUERA RETORNO DIRECCION HIDRAULICA FIESTA/ECOSPORT BAJA PRECION</t>
        </is>
      </c>
      <c r="D2942" s="2" t="inlineStr">
        <is>
          <t>FORD</t>
        </is>
      </c>
      <c r="E2942" s="3" t="n">
        <v>30</v>
      </c>
      <c r="F2942" s="4" t="n">
        <v>0.3</v>
      </c>
      <c r="G2942" s="5">
        <f>ROUND(E2942*(1+F2942),2)</f>
        <v>39.00</v>
      </c>
      <c r="H2942" s="5">
        <f>ROUND(G2942*NOTAS!$B$2,2)</f>
        <v>28132.48</v>
      </c>
      <c r="I2942" s="6">
        <f>ROUND(G2942*NOTAS!$B$3,0)</f>
        <v>126706</v>
      </c>
      <c r="J2942" s="2" t="n">
        <v>1</v>
      </c>
    </row>
    <row r="2943">
      <c r="A2943" s="2" t="inlineStr">
        <is>
          <t>907164</t>
        </is>
      </c>
      <c r="B2943" s="2" t="inlineStr">
        <is>
          <t>2N1518K579AD</t>
        </is>
      </c>
      <c r="C2943" s="2" t="inlineStr">
        <is>
          <t>MANGUERA SALIDA AGUA CALEFACION FIESTA</t>
        </is>
      </c>
      <c r="D2943" s="2" t="inlineStr">
        <is>
          <t>FORD</t>
        </is>
      </c>
      <c r="E2943" s="3" t="n">
        <v>10</v>
      </c>
      <c r="F2943" s="4" t="n">
        <v>0.3</v>
      </c>
      <c r="G2943" s="5">
        <f>ROUND(E2943*(1+F2943),2)</f>
        <v>13.00</v>
      </c>
      <c r="H2943" s="5">
        <f>ROUND(G2943*NOTAS!$B$2,2)</f>
        <v>9377.49</v>
      </c>
      <c r="I2943" s="6">
        <f>ROUND(G2943*NOTAS!$B$3,0)</f>
        <v>42235</v>
      </c>
      <c r="J2943" s="2" t="n">
        <v>1</v>
      </c>
    </row>
    <row r="2944">
      <c r="A2944" s="2" t="inlineStr">
        <is>
          <t>3R5512</t>
        </is>
      </c>
      <c r="B2944" s="2" t="inlineStr"/>
      <c r="C2944" s="2" t="inlineStr">
        <is>
          <t>MANGUERA TUBO AGUA F-UNO INY</t>
        </is>
      </c>
      <c r="D2944" s="2" t="inlineStr">
        <is>
          <t>BRAZIL</t>
        </is>
      </c>
      <c r="E2944" s="3" t="n">
        <v>4</v>
      </c>
      <c r="F2944" s="4" t="n">
        <v>0.3</v>
      </c>
      <c r="G2944" s="5">
        <f>ROUND(E2944*(1+F2944),2)</f>
        <v>5.20</v>
      </c>
      <c r="H2944" s="5">
        <f>ROUND(G2944*NOTAS!$B$2,2)</f>
        <v>3751.00</v>
      </c>
      <c r="I2944" s="6">
        <f>ROUND(G2944*NOTAS!$B$3,0)</f>
        <v>16894</v>
      </c>
      <c r="J2944" s="2" t="n">
        <v>2</v>
      </c>
    </row>
    <row r="2945">
      <c r="A2945" s="2" t="inlineStr">
        <is>
          <t>53330</t>
        </is>
      </c>
      <c r="B2945" s="2" t="inlineStr"/>
      <c r="C2945" s="2" t="inlineStr">
        <is>
          <t>MANGUERA TUBO AGUA R-19 1.4</t>
        </is>
      </c>
      <c r="D2945" s="2" t="inlineStr">
        <is>
          <t>TAKSIM GROUP</t>
        </is>
      </c>
      <c r="E2945" s="3" t="n">
        <v>5</v>
      </c>
      <c r="F2945" s="4" t="n">
        <v>0.3</v>
      </c>
      <c r="G2945" s="5">
        <f>ROUND(E2945*(1+F2945),2)</f>
        <v>6.50</v>
      </c>
      <c r="H2945" s="5">
        <f>ROUND(G2945*NOTAS!$B$2,2)</f>
        <v>4688.75</v>
      </c>
      <c r="I2945" s="6">
        <f>ROUND(G2945*NOTAS!$B$3,0)</f>
        <v>21118</v>
      </c>
      <c r="J2945" s="2" t="n">
        <v>2</v>
      </c>
    </row>
    <row r="2946">
      <c r="A2946" s="2" t="inlineStr">
        <is>
          <t>TX0555</t>
        </is>
      </c>
      <c r="B2946" s="2" t="inlineStr"/>
      <c r="C2946" s="2" t="inlineStr">
        <is>
          <t>MANGUERA TUBO/BOMBA AGUA CORSA</t>
        </is>
      </c>
      <c r="D2946" s="2" t="inlineStr">
        <is>
          <t>PRECISE</t>
        </is>
      </c>
      <c r="E2946" s="3" t="n">
        <v>8</v>
      </c>
      <c r="F2946" s="4" t="n">
        <v>0.3</v>
      </c>
      <c r="G2946" s="5">
        <f>ROUND(E2946*(1+F2946),2)</f>
        <v>10.40</v>
      </c>
      <c r="H2946" s="5">
        <f>ROUND(G2946*NOTAS!$B$2,2)</f>
        <v>7501.99</v>
      </c>
      <c r="I2946" s="6">
        <f>ROUND(G2946*NOTAS!$B$3,0)</f>
        <v>33788</v>
      </c>
      <c r="J2946" s="2" t="n">
        <v>9</v>
      </c>
    </row>
    <row r="2947">
      <c r="A2947" s="2" t="inlineStr">
        <is>
          <t>92099875</t>
        </is>
      </c>
      <c r="B2947" s="2" t="inlineStr"/>
      <c r="C2947" s="2" t="inlineStr">
        <is>
          <t>MANGUERA TUBO/BOMBA AGUA CORSA</t>
        </is>
      </c>
      <c r="D2947" s="2" t="inlineStr">
        <is>
          <t>GM</t>
        </is>
      </c>
      <c r="E2947" s="3" t="n">
        <v>5</v>
      </c>
      <c r="F2947" s="4" t="n">
        <v>0.3</v>
      </c>
      <c r="G2947" s="5">
        <f>ROUND(E2947*(1+F2947),2)</f>
        <v>6.50</v>
      </c>
      <c r="H2947" s="5">
        <f>ROUND(G2947*NOTAS!$B$2,2)</f>
        <v>4688.75</v>
      </c>
      <c r="I2947" s="6">
        <f>ROUND(G2947*NOTAS!$B$3,0)</f>
        <v>21118</v>
      </c>
      <c r="J2947" s="2" t="n">
        <v>3</v>
      </c>
    </row>
    <row r="2948">
      <c r="A2948" s="2" t="inlineStr">
        <is>
          <t>930019</t>
        </is>
      </c>
      <c r="B2948" s="2" t="inlineStr"/>
      <c r="C2948" s="2" t="inlineStr">
        <is>
          <t>MANILLA ABRIR CAPOT FIESTA 04/13</t>
        </is>
      </c>
      <c r="D2948" s="2" t="inlineStr">
        <is>
          <t>FORD</t>
        </is>
      </c>
      <c r="E2948" s="3" t="n">
        <v>11.5385</v>
      </c>
      <c r="F2948" s="4" t="n">
        <v>0.3</v>
      </c>
      <c r="G2948" s="5">
        <f>ROUND(E2948*(1+F2948),2)</f>
        <v>15.00</v>
      </c>
      <c r="H2948" s="5">
        <f>ROUND(G2948*NOTAS!$B$2,2)</f>
        <v>10820.18</v>
      </c>
      <c r="I2948" s="6">
        <f>ROUND(G2948*NOTAS!$B$3,0)</f>
        <v>48733</v>
      </c>
      <c r="J2948" s="2" t="n">
        <v>1</v>
      </c>
    </row>
    <row r="2949">
      <c r="A2949" s="2" t="inlineStr">
        <is>
          <t>906232</t>
        </is>
      </c>
      <c r="B2949" s="2" t="inlineStr"/>
      <c r="C2949" s="2" t="inlineStr">
        <is>
          <t>MANILLA ABRIR CAPOT KA</t>
        </is>
      </c>
      <c r="D2949" s="2" t="inlineStr">
        <is>
          <t>FORD</t>
        </is>
      </c>
      <c r="E2949" s="3" t="n">
        <v>9.2308</v>
      </c>
      <c r="F2949" s="4" t="n">
        <v>0.3</v>
      </c>
      <c r="G2949" s="5">
        <f>ROUND(E2949*(1+F2949),2)</f>
        <v>12.00</v>
      </c>
      <c r="H2949" s="5">
        <f>ROUND(G2949*NOTAS!$B$2,2)</f>
        <v>8656.15</v>
      </c>
      <c r="I2949" s="6">
        <f>ROUND(G2949*NOTAS!$B$3,0)</f>
        <v>38986</v>
      </c>
      <c r="J2949" s="2" t="n">
        <v>2</v>
      </c>
    </row>
    <row r="2950">
      <c r="A2950" s="2" t="inlineStr">
        <is>
          <t>965541632</t>
        </is>
      </c>
      <c r="B2950" s="2" t="inlineStr"/>
      <c r="C2950" s="2" t="inlineStr">
        <is>
          <t>MANILLA PUERTA DELANTERA DERECHA EXTERNA AVEO</t>
        </is>
      </c>
      <c r="D2950" s="2" t="inlineStr">
        <is>
          <t>GM</t>
        </is>
      </c>
      <c r="E2950" s="3" t="n">
        <v>3.47</v>
      </c>
      <c r="F2950" s="4" t="n">
        <v>0.3</v>
      </c>
      <c r="G2950" s="5">
        <f>ROUND(E2950*(1+F2950),2)</f>
        <v>4.51</v>
      </c>
      <c r="H2950" s="5">
        <f>ROUND(G2950*NOTAS!$B$2,2)</f>
        <v>3253.27</v>
      </c>
      <c r="I2950" s="6">
        <f>ROUND(G2950*NOTAS!$B$3,0)</f>
        <v>14652</v>
      </c>
      <c r="J2950" s="2" t="n">
        <v>1</v>
      </c>
    </row>
    <row r="2951">
      <c r="A2951" s="2" t="inlineStr"/>
      <c r="B2951" s="2" t="inlineStr"/>
      <c r="C2951" s="2" t="inlineStr">
        <is>
          <t>MANILLA PUERTA DELANTERA DERECHA EXTERNA CHEVETTE NEGRA</t>
        </is>
      </c>
      <c r="D2951" s="2" t="inlineStr"/>
      <c r="E2951" s="3" t="n">
        <v>8.4231</v>
      </c>
      <c r="F2951" s="4" t="n">
        <v>0.3</v>
      </c>
      <c r="G2951" s="5">
        <f>ROUND(E2951*(1+F2951),2)</f>
        <v>10.95</v>
      </c>
      <c r="H2951" s="5">
        <f>ROUND(G2951*NOTAS!$B$2,2)</f>
        <v>7898.73</v>
      </c>
      <c r="I2951" s="6">
        <f>ROUND(G2951*NOTAS!$B$3,0)</f>
        <v>35575</v>
      </c>
      <c r="J2951" s="2" t="n">
        <v>1</v>
      </c>
    </row>
    <row r="2952">
      <c r="A2952" s="2" t="inlineStr"/>
      <c r="B2952" s="2" t="inlineStr"/>
      <c r="C2952" s="2" t="inlineStr">
        <is>
          <t>MANILLA PUERTA DELANTERA DERECHA EXTERNA CORSA</t>
        </is>
      </c>
      <c r="D2952" s="2" t="inlineStr"/>
      <c r="E2952" s="3" t="n">
        <v>7.6154</v>
      </c>
      <c r="F2952" s="4" t="n">
        <v>0.3</v>
      </c>
      <c r="G2952" s="5">
        <f>ROUND(E2952*(1+F2952),2)</f>
        <v>9.90</v>
      </c>
      <c r="H2952" s="5">
        <f>ROUND(G2952*NOTAS!$B$2,2)</f>
        <v>7141.32</v>
      </c>
      <c r="I2952" s="6">
        <f>ROUND(G2952*NOTAS!$B$3,0)</f>
        <v>32164</v>
      </c>
      <c r="J2952" s="2" t="n">
        <v>2</v>
      </c>
    </row>
    <row r="2953">
      <c r="A2953" s="2" t="inlineStr">
        <is>
          <t>96507784</t>
        </is>
      </c>
      <c r="B2953" s="2" t="inlineStr"/>
      <c r="C2953" s="2" t="inlineStr">
        <is>
          <t>MANILLA PUERTA DELANTERA DERECHA EXTERNA MATIZ</t>
        </is>
      </c>
      <c r="D2953" s="2" t="inlineStr">
        <is>
          <t>GM ORIG</t>
        </is>
      </c>
      <c r="E2953" s="3" t="n">
        <v>4.6846</v>
      </c>
      <c r="F2953" s="4" t="n">
        <v>0.3</v>
      </c>
      <c r="G2953" s="5">
        <f>ROUND(E2953*(1+F2953),2)</f>
        <v>6.09</v>
      </c>
      <c r="H2953" s="5">
        <f>ROUND(G2953*NOTAS!$B$2,2)</f>
        <v>4392.99</v>
      </c>
      <c r="I2953" s="6">
        <f>ROUND(G2953*NOTAS!$B$3,0)</f>
        <v>19786</v>
      </c>
      <c r="J2953" s="2" t="n">
        <v>2</v>
      </c>
    </row>
    <row r="2954">
      <c r="A2954" s="2" t="inlineStr"/>
      <c r="B2954" s="2" t="inlineStr"/>
      <c r="C2954" s="2" t="inlineStr">
        <is>
          <t>MANILLA PUERTA DELANTERA DERECHA EXTERNA R-SYMBOL/CLIO</t>
        </is>
      </c>
      <c r="D2954" s="2" t="inlineStr">
        <is>
          <t>TAKSIM GROUP</t>
        </is>
      </c>
      <c r="E2954" s="3" t="n">
        <v>6.1462</v>
      </c>
      <c r="F2954" s="4" t="n">
        <v>0.3</v>
      </c>
      <c r="G2954" s="5">
        <f>ROUND(E2954*(1+F2954),2)</f>
        <v>7.99</v>
      </c>
      <c r="H2954" s="5">
        <f>ROUND(G2954*NOTAS!$B$2,2)</f>
        <v>5763.55</v>
      </c>
      <c r="I2954" s="6">
        <f>ROUND(G2954*NOTAS!$B$3,0)</f>
        <v>25958</v>
      </c>
      <c r="J2954" s="2" t="n">
        <v>2</v>
      </c>
    </row>
    <row r="2955">
      <c r="A2955" s="2" t="inlineStr">
        <is>
          <t>735371638</t>
        </is>
      </c>
      <c r="B2955" s="2" t="inlineStr"/>
      <c r="C2955" s="2" t="inlineStr">
        <is>
          <t>MANILLA PUERTA DELANTERA EXTERA F-PALIO/SIENA 05/…</t>
        </is>
      </c>
      <c r="D2955" s="2" t="inlineStr">
        <is>
          <t>FIAT</t>
        </is>
      </c>
      <c r="E2955" s="3" t="n">
        <v>10</v>
      </c>
      <c r="F2955" s="4" t="n">
        <v>0.3</v>
      </c>
      <c r="G2955" s="5">
        <f>ROUND(E2955*(1+F2955),2)</f>
        <v>13.00</v>
      </c>
      <c r="H2955" s="5">
        <f>ROUND(G2955*NOTAS!$B$2,2)</f>
        <v>9377.49</v>
      </c>
      <c r="I2955" s="6">
        <f>ROUND(G2955*NOTAS!$B$3,0)</f>
        <v>42235</v>
      </c>
      <c r="J2955" s="2" t="n">
        <v>1</v>
      </c>
    </row>
    <row r="2956">
      <c r="A2956" s="2" t="inlineStr">
        <is>
          <t>965541631</t>
        </is>
      </c>
      <c r="B2956" s="2" t="inlineStr"/>
      <c r="C2956" s="2" t="inlineStr">
        <is>
          <t>MANILLA PUERTA DELANTERA IZQUIERDA EXTERNA AVEO</t>
        </is>
      </c>
      <c r="D2956" s="2" t="inlineStr">
        <is>
          <t>GM</t>
        </is>
      </c>
      <c r="E2956" s="3" t="n">
        <v>3.47</v>
      </c>
      <c r="F2956" s="4" t="n">
        <v>0.3</v>
      </c>
      <c r="G2956" s="5">
        <f>ROUND(E2956*(1+F2956),2)</f>
        <v>4.51</v>
      </c>
      <c r="H2956" s="5">
        <f>ROUND(G2956*NOTAS!$B$2,2)</f>
        <v>3253.27</v>
      </c>
      <c r="I2956" s="6">
        <f>ROUND(G2956*NOTAS!$B$3,0)</f>
        <v>14652</v>
      </c>
      <c r="J2956" s="2" t="n">
        <v>1</v>
      </c>
    </row>
    <row r="2957">
      <c r="A2957" s="2" t="inlineStr"/>
      <c r="B2957" s="2" t="inlineStr"/>
      <c r="C2957" s="2" t="inlineStr">
        <is>
          <t>MANILLA PUERTA DELANTERA IZQUIERDA EXTERNA CHEVETTE CROMADA</t>
        </is>
      </c>
      <c r="D2957" s="2" t="inlineStr">
        <is>
          <t>BRAZIL</t>
        </is>
      </c>
      <c r="E2957" s="3" t="n">
        <v>9.2308</v>
      </c>
      <c r="F2957" s="4" t="n">
        <v>0.3</v>
      </c>
      <c r="G2957" s="5">
        <f>ROUND(E2957*(1+F2957),2)</f>
        <v>12.00</v>
      </c>
      <c r="H2957" s="5">
        <f>ROUND(G2957*NOTAS!$B$2,2)</f>
        <v>8656.15</v>
      </c>
      <c r="I2957" s="6">
        <f>ROUND(G2957*NOTAS!$B$3,0)</f>
        <v>38986</v>
      </c>
      <c r="J2957" s="2" t="n">
        <v>2</v>
      </c>
    </row>
    <row r="2958">
      <c r="A2958" s="2" t="inlineStr"/>
      <c r="B2958" s="2" t="inlineStr"/>
      <c r="C2958" s="2" t="inlineStr">
        <is>
          <t>MANILLA PUERTA DELANTERA IZQUIERDA EXTERNA CHEVETTE NEGRA</t>
        </is>
      </c>
      <c r="D2958" s="2" t="inlineStr"/>
      <c r="E2958" s="3" t="n">
        <v>8.4231</v>
      </c>
      <c r="F2958" s="4" t="n">
        <v>0.3</v>
      </c>
      <c r="G2958" s="5">
        <f>ROUND(E2958*(1+F2958),2)</f>
        <v>10.95</v>
      </c>
      <c r="H2958" s="5">
        <f>ROUND(G2958*NOTAS!$B$2,2)</f>
        <v>7898.73</v>
      </c>
      <c r="I2958" s="6">
        <f>ROUND(G2958*NOTAS!$B$3,0)</f>
        <v>35575</v>
      </c>
      <c r="J2958" s="2" t="n">
        <v>1</v>
      </c>
    </row>
    <row r="2959">
      <c r="A2959" s="2" t="inlineStr">
        <is>
          <t>96507783</t>
        </is>
      </c>
      <c r="B2959" s="2" t="inlineStr"/>
      <c r="C2959" s="2" t="inlineStr">
        <is>
          <t>MANILLA PUERTA DELANTERA IZQUIERDA EXTERNA MATIZ</t>
        </is>
      </c>
      <c r="D2959" s="2" t="inlineStr">
        <is>
          <t>GM ORIG</t>
        </is>
      </c>
      <c r="E2959" s="3" t="n">
        <v>4.6846</v>
      </c>
      <c r="F2959" s="4" t="n">
        <v>0.3</v>
      </c>
      <c r="G2959" s="5">
        <f>ROUND(E2959*(1+F2959),2)</f>
        <v>6.09</v>
      </c>
      <c r="H2959" s="5">
        <f>ROUND(G2959*NOTAS!$B$2,2)</f>
        <v>4392.99</v>
      </c>
      <c r="I2959" s="6">
        <f>ROUND(G2959*NOTAS!$B$3,0)</f>
        <v>19786</v>
      </c>
      <c r="J2959" s="2" t="n">
        <v>2</v>
      </c>
    </row>
    <row r="2960">
      <c r="A2960" s="2" t="inlineStr"/>
      <c r="B2960" s="2" t="inlineStr"/>
      <c r="C2960" s="2" t="inlineStr">
        <is>
          <t>MANILLA PUERTA DELANTERA IZQUIERDA EXTERNA R-SYMBOL/CLIO</t>
        </is>
      </c>
      <c r="D2960" s="2" t="inlineStr">
        <is>
          <t>TAKSIM GROUP</t>
        </is>
      </c>
      <c r="E2960" s="3" t="n">
        <v>6.1462</v>
      </c>
      <c r="F2960" s="4" t="n">
        <v>0.3</v>
      </c>
      <c r="G2960" s="5">
        <f>ROUND(E2960*(1+F2960),2)</f>
        <v>7.99</v>
      </c>
      <c r="H2960" s="5">
        <f>ROUND(G2960*NOTAS!$B$2,2)</f>
        <v>5763.55</v>
      </c>
      <c r="I2960" s="6">
        <f>ROUND(G2960*NOTAS!$B$3,0)</f>
        <v>25958</v>
      </c>
      <c r="J2960" s="2" t="n">
        <v>2</v>
      </c>
    </row>
    <row r="2961">
      <c r="A2961" s="2" t="inlineStr">
        <is>
          <t>1022252</t>
        </is>
      </c>
      <c r="B2961" s="2" t="inlineStr"/>
      <c r="C2961" s="2" t="inlineStr">
        <is>
          <t>MANILLA PUERTA EXTERNA DERECHA FIESTA …/03</t>
        </is>
      </c>
      <c r="D2961" s="2" t="inlineStr">
        <is>
          <t>FORD</t>
        </is>
      </c>
      <c r="E2961" s="3" t="n">
        <v>13.8462</v>
      </c>
      <c r="F2961" s="4" t="n">
        <v>0.3</v>
      </c>
      <c r="G2961" s="5">
        <f>ROUND(E2961*(1+F2961),2)</f>
        <v>18.00</v>
      </c>
      <c r="H2961" s="5">
        <f>ROUND(G2961*NOTAS!$B$2,2)</f>
        <v>12984.22</v>
      </c>
      <c r="I2961" s="6">
        <f>ROUND(G2961*NOTAS!$B$3,0)</f>
        <v>58480</v>
      </c>
      <c r="J2961" s="2" t="n">
        <v>1</v>
      </c>
    </row>
    <row r="2962">
      <c r="A2962" s="2" t="inlineStr">
        <is>
          <t>70050</t>
        </is>
      </c>
      <c r="B2962" s="2" t="inlineStr"/>
      <c r="C2962" s="2" t="inlineStr">
        <is>
          <t>MANILLA PUERTA EXTERNA DERECHA F-UNO/PREMIO 95/...</t>
        </is>
      </c>
      <c r="D2962" s="2" t="inlineStr">
        <is>
          <t>UNIVERSAL</t>
        </is>
      </c>
      <c r="E2962" s="3" t="n">
        <v>6.1538</v>
      </c>
      <c r="F2962" s="4" t="n">
        <v>0.3</v>
      </c>
      <c r="G2962" s="5">
        <f>ROUND(E2962*(1+F2962),2)</f>
        <v>8.00</v>
      </c>
      <c r="H2962" s="5">
        <f>ROUND(G2962*NOTAS!$B$2,2)</f>
        <v>5770.76</v>
      </c>
      <c r="I2962" s="6">
        <f>ROUND(G2962*NOTAS!$B$3,0)</f>
        <v>25991</v>
      </c>
      <c r="J2962" s="2" t="n">
        <v>1</v>
      </c>
    </row>
    <row r="2963">
      <c r="A2963" s="2" t="inlineStr">
        <is>
          <t>1022253</t>
        </is>
      </c>
      <c r="B2963" s="2" t="inlineStr"/>
      <c r="C2963" s="2" t="inlineStr">
        <is>
          <t>MANILLA PUERTA EXTERNA IZQUIERDA FIESTA …/03</t>
        </is>
      </c>
      <c r="D2963" s="2" t="inlineStr">
        <is>
          <t>FORD</t>
        </is>
      </c>
      <c r="E2963" s="3" t="n">
        <v>13.8462</v>
      </c>
      <c r="F2963" s="4" t="n">
        <v>0.3</v>
      </c>
      <c r="G2963" s="5">
        <f>ROUND(E2963*(1+F2963),2)</f>
        <v>18.00</v>
      </c>
      <c r="H2963" s="5">
        <f>ROUND(G2963*NOTAS!$B$2,2)</f>
        <v>12984.22</v>
      </c>
      <c r="I2963" s="6">
        <f>ROUND(G2963*NOTAS!$B$3,0)</f>
        <v>58480</v>
      </c>
      <c r="J2963" s="2" t="n">
        <v>2</v>
      </c>
    </row>
    <row r="2964">
      <c r="A2964" s="2" t="inlineStr">
        <is>
          <t>1048803</t>
        </is>
      </c>
      <c r="B2964" s="2" t="inlineStr"/>
      <c r="C2964" s="2" t="inlineStr">
        <is>
          <t>MANILLA PUERTA INTERNA DERECHA FIESTA …/03</t>
        </is>
      </c>
      <c r="D2964" s="2" t="inlineStr">
        <is>
          <t>FORD</t>
        </is>
      </c>
      <c r="E2964" s="3" t="n">
        <v>7.6923</v>
      </c>
      <c r="F2964" s="4" t="n">
        <v>0.3</v>
      </c>
      <c r="G2964" s="5">
        <f>ROUND(E2964*(1+F2964),2)</f>
        <v>10.00</v>
      </c>
      <c r="H2964" s="5">
        <f>ROUND(G2964*NOTAS!$B$2,2)</f>
        <v>7213.46</v>
      </c>
      <c r="I2964" s="6">
        <f>ROUND(G2964*NOTAS!$B$3,0)</f>
        <v>32489</v>
      </c>
      <c r="J2964" s="2" t="n">
        <v>2</v>
      </c>
    </row>
    <row r="2965">
      <c r="A2965" s="2" t="inlineStr">
        <is>
          <t>70062</t>
        </is>
      </c>
      <c r="B2965" s="2" t="inlineStr"/>
      <c r="C2965" s="2" t="inlineStr">
        <is>
          <t>MANILLA PUERTA INTERNA DERECHA F-PREMIO</t>
        </is>
      </c>
      <c r="D2965" s="2" t="inlineStr">
        <is>
          <t>UNIVERSAL</t>
        </is>
      </c>
      <c r="E2965" s="3" t="n">
        <v>7.6923</v>
      </c>
      <c r="F2965" s="4" t="n">
        <v>0.3</v>
      </c>
      <c r="G2965" s="5">
        <f>ROUND(E2965*(1+F2965),2)</f>
        <v>10.00</v>
      </c>
      <c r="H2965" s="5">
        <f>ROUND(G2965*NOTAS!$B$2,2)</f>
        <v>7213.46</v>
      </c>
      <c r="I2965" s="6">
        <f>ROUND(G2965*NOTAS!$B$3,0)</f>
        <v>32489</v>
      </c>
      <c r="J2965" s="2" t="n">
        <v>5</v>
      </c>
    </row>
    <row r="2966">
      <c r="A2966" s="2" t="inlineStr">
        <is>
          <t>60762</t>
        </is>
      </c>
      <c r="B2966" s="2" t="inlineStr"/>
      <c r="C2966" s="2" t="inlineStr">
        <is>
          <t>MANILLA PUERTA INTERNA DERECHA F-UNO</t>
        </is>
      </c>
      <c r="D2966" s="2" t="inlineStr">
        <is>
          <t>UNIVERSAL</t>
        </is>
      </c>
      <c r="E2966" s="3" t="n">
        <v>6.1538</v>
      </c>
      <c r="F2966" s="4" t="n">
        <v>0.3</v>
      </c>
      <c r="G2966" s="5">
        <f>ROUND(E2966*(1+F2966),2)</f>
        <v>8.00</v>
      </c>
      <c r="H2966" s="5">
        <f>ROUND(G2966*NOTAS!$B$2,2)</f>
        <v>5770.76</v>
      </c>
      <c r="I2966" s="6">
        <f>ROUND(G2966*NOTAS!$B$3,0)</f>
        <v>25991</v>
      </c>
      <c r="J2966" s="2" t="n">
        <v>3</v>
      </c>
    </row>
    <row r="2967">
      <c r="A2967" s="2" t="inlineStr"/>
      <c r="B2967" s="2" t="inlineStr"/>
      <c r="C2967" s="2" t="inlineStr">
        <is>
          <t>MANILLA PUERTA INTERNA DERECHA R-SYMBOL VARILLA NEGRA</t>
        </is>
      </c>
      <c r="D2967" s="2" t="inlineStr"/>
      <c r="E2967" s="3" t="n">
        <v>6.9231</v>
      </c>
      <c r="F2967" s="4" t="n">
        <v>0.3</v>
      </c>
      <c r="G2967" s="5">
        <f>ROUND(E2967*(1+F2967),2)</f>
        <v>9.00</v>
      </c>
      <c r="H2967" s="5">
        <f>ROUND(G2967*NOTAS!$B$2,2)</f>
        <v>6492.11</v>
      </c>
      <c r="I2967" s="6">
        <f>ROUND(G2967*NOTAS!$B$3,0)</f>
        <v>29240</v>
      </c>
      <c r="J2967" s="2" t="n">
        <v>8</v>
      </c>
    </row>
    <row r="2968">
      <c r="A2968" s="2" t="inlineStr"/>
      <c r="B2968" s="2" t="inlineStr"/>
      <c r="C2968" s="2" t="inlineStr">
        <is>
          <t>MANILLA PUERTA INTERNA F-147/SPAZIO</t>
        </is>
      </c>
      <c r="D2968" s="2" t="inlineStr">
        <is>
          <t>UNIVERSAL</t>
        </is>
      </c>
      <c r="E2968" s="3" t="n">
        <v>6.1538</v>
      </c>
      <c r="F2968" s="4" t="n">
        <v>0.3</v>
      </c>
      <c r="G2968" s="5">
        <f>ROUND(E2968*(1+F2968),2)</f>
        <v>8.00</v>
      </c>
      <c r="H2968" s="5">
        <f>ROUND(G2968*NOTAS!$B$2,2)</f>
        <v>5770.76</v>
      </c>
      <c r="I2968" s="6">
        <f>ROUND(G2968*NOTAS!$B$3,0)</f>
        <v>25991</v>
      </c>
      <c r="J2968" s="2" t="n">
        <v>1</v>
      </c>
    </row>
    <row r="2969">
      <c r="A2969" s="2" t="inlineStr">
        <is>
          <t>1048805</t>
        </is>
      </c>
      <c r="B2969" s="2" t="inlineStr"/>
      <c r="C2969" s="2" t="inlineStr">
        <is>
          <t>MANILLA PUERTA INTERNA IZQUIERDA FIESTA …/03</t>
        </is>
      </c>
      <c r="D2969" s="2" t="inlineStr">
        <is>
          <t>FORD</t>
        </is>
      </c>
      <c r="E2969" s="3" t="n">
        <v>7.6923</v>
      </c>
      <c r="F2969" s="4" t="n">
        <v>0.3</v>
      </c>
      <c r="G2969" s="5">
        <f>ROUND(E2969*(1+F2969),2)</f>
        <v>10.00</v>
      </c>
      <c r="H2969" s="5">
        <f>ROUND(G2969*NOTAS!$B$2,2)</f>
        <v>7213.46</v>
      </c>
      <c r="I2969" s="6">
        <f>ROUND(G2969*NOTAS!$B$3,0)</f>
        <v>32489</v>
      </c>
      <c r="J2969" s="2" t="n">
        <v>2</v>
      </c>
    </row>
    <row r="2970">
      <c r="A2970" s="2" t="inlineStr">
        <is>
          <t>70063</t>
        </is>
      </c>
      <c r="B2970" s="2" t="inlineStr"/>
      <c r="C2970" s="2" t="inlineStr">
        <is>
          <t>MANILLA PUERTA INTERNA IZQUIERDA F-PREMIO</t>
        </is>
      </c>
      <c r="D2970" s="2" t="inlineStr">
        <is>
          <t>UNIVERSAL</t>
        </is>
      </c>
      <c r="E2970" s="3" t="n">
        <v>7.6923</v>
      </c>
      <c r="F2970" s="4" t="n">
        <v>0.3</v>
      </c>
      <c r="G2970" s="5">
        <f>ROUND(E2970*(1+F2970),2)</f>
        <v>10.00</v>
      </c>
      <c r="H2970" s="5">
        <f>ROUND(G2970*NOTAS!$B$2,2)</f>
        <v>7213.46</v>
      </c>
      <c r="I2970" s="6">
        <f>ROUND(G2970*NOTAS!$B$3,0)</f>
        <v>32489</v>
      </c>
      <c r="J2970" s="2" t="n">
        <v>4</v>
      </c>
    </row>
    <row r="2971">
      <c r="A2971" s="2" t="inlineStr"/>
      <c r="B2971" s="2" t="inlineStr"/>
      <c r="C2971" s="2" t="inlineStr">
        <is>
          <t>MANILLA PUERTA INTERNA IZQUIERDA R-19</t>
        </is>
      </c>
      <c r="D2971" s="2" t="inlineStr"/>
      <c r="E2971" s="3" t="n">
        <v>6.9231</v>
      </c>
      <c r="F2971" s="4" t="n">
        <v>0.3</v>
      </c>
      <c r="G2971" s="5">
        <f>ROUND(E2971*(1+F2971),2)</f>
        <v>9.00</v>
      </c>
      <c r="H2971" s="5">
        <f>ROUND(G2971*NOTAS!$B$2,2)</f>
        <v>6492.11</v>
      </c>
      <c r="I2971" s="6">
        <f>ROUND(G2971*NOTAS!$B$3,0)</f>
        <v>29240</v>
      </c>
      <c r="J2971" s="2" t="n">
        <v>4</v>
      </c>
    </row>
    <row r="2972">
      <c r="A2972" s="2" t="inlineStr">
        <is>
          <t>965541634</t>
        </is>
      </c>
      <c r="B2972" s="2" t="inlineStr"/>
      <c r="C2972" s="2" t="inlineStr">
        <is>
          <t>MANILLA PUERTA TRASERA DERECHA EXTERNA AVEO</t>
        </is>
      </c>
      <c r="D2972" s="2" t="inlineStr">
        <is>
          <t>GM</t>
        </is>
      </c>
      <c r="E2972" s="3" t="n">
        <v>3.47</v>
      </c>
      <c r="F2972" s="4" t="n">
        <v>0.3</v>
      </c>
      <c r="G2972" s="5">
        <f>ROUND(E2972*(1+F2972),2)</f>
        <v>4.51</v>
      </c>
      <c r="H2972" s="5">
        <f>ROUND(G2972*NOTAS!$B$2,2)</f>
        <v>3253.27</v>
      </c>
      <c r="I2972" s="6">
        <f>ROUND(G2972*NOTAS!$B$3,0)</f>
        <v>14652</v>
      </c>
      <c r="J2972" s="2" t="n">
        <v>1</v>
      </c>
    </row>
    <row r="2973">
      <c r="A2973" s="2" t="inlineStr">
        <is>
          <t>96211474</t>
        </is>
      </c>
      <c r="B2973" s="2" t="inlineStr"/>
      <c r="C2973" s="2" t="inlineStr">
        <is>
          <t>MANILLA PUERTA TRASERA DERECHA EXTERNA CIELO</t>
        </is>
      </c>
      <c r="D2973" s="2" t="inlineStr">
        <is>
          <t>GM ORIG</t>
        </is>
      </c>
      <c r="E2973" s="3" t="n">
        <v>7.6923</v>
      </c>
      <c r="F2973" s="4" t="n">
        <v>0.3</v>
      </c>
      <c r="G2973" s="5">
        <f>ROUND(E2973*(1+F2973),2)</f>
        <v>10.00</v>
      </c>
      <c r="H2973" s="5">
        <f>ROUND(G2973*NOTAS!$B$2,2)</f>
        <v>7213.46</v>
      </c>
      <c r="I2973" s="6">
        <f>ROUND(G2973*NOTAS!$B$3,0)</f>
        <v>32489</v>
      </c>
      <c r="J2973" s="2" t="n">
        <v>2</v>
      </c>
    </row>
    <row r="2974">
      <c r="A2974" s="2" t="inlineStr">
        <is>
          <t>96507790</t>
        </is>
      </c>
      <c r="B2974" s="2" t="inlineStr"/>
      <c r="C2974" s="2" t="inlineStr">
        <is>
          <t xml:space="preserve">MANILLA PUERTA TRASERA DERECHA EXTERNA MATIZ </t>
        </is>
      </c>
      <c r="D2974" s="2" t="inlineStr">
        <is>
          <t>GM ORIG</t>
        </is>
      </c>
      <c r="E2974" s="3" t="n">
        <v>4.6846</v>
      </c>
      <c r="F2974" s="4" t="n">
        <v>0.3</v>
      </c>
      <c r="G2974" s="5">
        <f>ROUND(E2974*(1+F2974),2)</f>
        <v>6.09</v>
      </c>
      <c r="H2974" s="5">
        <f>ROUND(G2974*NOTAS!$B$2,2)</f>
        <v>4392.99</v>
      </c>
      <c r="I2974" s="6">
        <f>ROUND(G2974*NOTAS!$B$3,0)</f>
        <v>19786</v>
      </c>
      <c r="J2974" s="2" t="n">
        <v>2</v>
      </c>
    </row>
    <row r="2975">
      <c r="A2975" s="2" t="inlineStr">
        <is>
          <t>965541633</t>
        </is>
      </c>
      <c r="B2975" s="2" t="inlineStr"/>
      <c r="C2975" s="2" t="inlineStr">
        <is>
          <t>MANILLA PUERTA TRASERA IZQUIERDA EXTERNA AVEO</t>
        </is>
      </c>
      <c r="D2975" s="2" t="inlineStr">
        <is>
          <t>GM</t>
        </is>
      </c>
      <c r="E2975" s="3" t="n">
        <v>3.47</v>
      </c>
      <c r="F2975" s="4" t="n">
        <v>0.3</v>
      </c>
      <c r="G2975" s="5">
        <f>ROUND(E2975*(1+F2975),2)</f>
        <v>4.51</v>
      </c>
      <c r="H2975" s="5">
        <f>ROUND(G2975*NOTAS!$B$2,2)</f>
        <v>3253.27</v>
      </c>
      <c r="I2975" s="6">
        <f>ROUND(G2975*NOTAS!$B$3,0)</f>
        <v>14652</v>
      </c>
      <c r="J2975" s="2" t="n">
        <v>1</v>
      </c>
    </row>
    <row r="2976">
      <c r="A2976" s="2" t="inlineStr"/>
      <c r="B2976" s="2" t="inlineStr"/>
      <c r="C2976" s="2" t="inlineStr">
        <is>
          <t>MANILLA SUBIR VIDRIO CORCEL</t>
        </is>
      </c>
      <c r="D2976" s="2" t="inlineStr">
        <is>
          <t>UNIVERSAL</t>
        </is>
      </c>
      <c r="E2976" s="3" t="n">
        <v>6.1538</v>
      </c>
      <c r="F2976" s="4" t="n">
        <v>0.3</v>
      </c>
      <c r="G2976" s="5">
        <f>ROUND(E2976*(1+F2976),2)</f>
        <v>8.00</v>
      </c>
      <c r="H2976" s="5">
        <f>ROUND(G2976*NOTAS!$B$2,2)</f>
        <v>5770.76</v>
      </c>
      <c r="I2976" s="6">
        <f>ROUND(G2976*NOTAS!$B$3,0)</f>
        <v>25991</v>
      </c>
      <c r="J2976" s="2" t="n">
        <v>2</v>
      </c>
    </row>
    <row r="2977">
      <c r="A2977" s="2" t="inlineStr">
        <is>
          <t>40444</t>
        </is>
      </c>
      <c r="B2977" s="2" t="inlineStr"/>
      <c r="C2977" s="2" t="inlineStr">
        <is>
          <t>MANILLA SUBIR VIDRIO CORSA GRIS</t>
        </is>
      </c>
      <c r="D2977" s="2" t="inlineStr">
        <is>
          <t>UNIVERSAL</t>
        </is>
      </c>
      <c r="E2977" s="3" t="n">
        <v>6.1538</v>
      </c>
      <c r="F2977" s="4" t="n">
        <v>0.3</v>
      </c>
      <c r="G2977" s="5">
        <f>ROUND(E2977*(1+F2977),2)</f>
        <v>8.00</v>
      </c>
      <c r="H2977" s="5">
        <f>ROUND(G2977*NOTAS!$B$2,2)</f>
        <v>5770.76</v>
      </c>
      <c r="I2977" s="6">
        <f>ROUND(G2977*NOTAS!$B$3,0)</f>
        <v>25991</v>
      </c>
      <c r="J2977" s="2" t="n">
        <v>2</v>
      </c>
    </row>
    <row r="2978">
      <c r="A2978" s="2" t="inlineStr">
        <is>
          <t>40443</t>
        </is>
      </c>
      <c r="B2978" s="2" t="inlineStr"/>
      <c r="C2978" s="2" t="inlineStr">
        <is>
          <t>MANILLA SUBIR VIDRIO CORSA NEGRA</t>
        </is>
      </c>
      <c r="D2978" s="2" t="inlineStr">
        <is>
          <t>UNIVERSAL</t>
        </is>
      </c>
      <c r="E2978" s="3" t="n">
        <v>6.1538</v>
      </c>
      <c r="F2978" s="4" t="n">
        <v>0.3</v>
      </c>
      <c r="G2978" s="5">
        <f>ROUND(E2978*(1+F2978),2)</f>
        <v>8.00</v>
      </c>
      <c r="H2978" s="5">
        <f>ROUND(G2978*NOTAS!$B$2,2)</f>
        <v>5770.76</v>
      </c>
      <c r="I2978" s="6">
        <f>ROUND(G2978*NOTAS!$B$3,0)</f>
        <v>25991</v>
      </c>
      <c r="J2978" s="2" t="n">
        <v>6</v>
      </c>
    </row>
    <row r="2979">
      <c r="A2979" s="2" t="inlineStr"/>
      <c r="B2979" s="2" t="inlineStr"/>
      <c r="C2979" s="2" t="inlineStr">
        <is>
          <t>MANILLA SUBIR VIDRIO F-PALIO/SIENA</t>
        </is>
      </c>
      <c r="D2979" s="2" t="inlineStr">
        <is>
          <t>UNIVERSAL</t>
        </is>
      </c>
      <c r="E2979" s="3" t="n">
        <v>6.1538</v>
      </c>
      <c r="F2979" s="4" t="n">
        <v>0.3</v>
      </c>
      <c r="G2979" s="5">
        <f>ROUND(E2979*(1+F2979),2)</f>
        <v>8.00</v>
      </c>
      <c r="H2979" s="5">
        <f>ROUND(G2979*NOTAS!$B$2,2)</f>
        <v>5770.76</v>
      </c>
      <c r="I2979" s="6">
        <f>ROUND(G2979*NOTAS!$B$3,0)</f>
        <v>25991</v>
      </c>
      <c r="J2979" s="2" t="n">
        <v>2</v>
      </c>
    </row>
    <row r="2980">
      <c r="A2980" s="2" t="inlineStr"/>
      <c r="B2980" s="2" t="inlineStr"/>
      <c r="C2980" s="2" t="inlineStr">
        <is>
          <t>MANILLA SUBIR VIDRIO F-REGATA</t>
        </is>
      </c>
      <c r="D2980" s="2" t="inlineStr">
        <is>
          <t>UNIVERSAL</t>
        </is>
      </c>
      <c r="E2980" s="3" t="n">
        <v>6.1538</v>
      </c>
      <c r="F2980" s="4" t="n">
        <v>0.3</v>
      </c>
      <c r="G2980" s="5">
        <f>ROUND(E2980*(1+F2980),2)</f>
        <v>8.00</v>
      </c>
      <c r="H2980" s="5">
        <f>ROUND(G2980*NOTAS!$B$2,2)</f>
        <v>5770.76</v>
      </c>
      <c r="I2980" s="6">
        <f>ROUND(G2980*NOTAS!$B$3,0)</f>
        <v>25991</v>
      </c>
      <c r="J2980" s="2" t="n">
        <v>4</v>
      </c>
    </row>
    <row r="2981">
      <c r="A2981" s="2" t="inlineStr"/>
      <c r="B2981" s="2" t="inlineStr"/>
      <c r="C2981" s="2" t="inlineStr">
        <is>
          <t>MANILLA SUBIR VIDRIO R-19</t>
        </is>
      </c>
      <c r="D2981" s="2" t="inlineStr">
        <is>
          <t>UNIVERSAL</t>
        </is>
      </c>
      <c r="E2981" s="3" t="n">
        <v>6.1538</v>
      </c>
      <c r="F2981" s="4" t="n">
        <v>0.3</v>
      </c>
      <c r="G2981" s="5">
        <f>ROUND(E2981*(1+F2981),2)</f>
        <v>8.00</v>
      </c>
      <c r="H2981" s="5">
        <f>ROUND(G2981*NOTAS!$B$2,2)</f>
        <v>5770.76</v>
      </c>
      <c r="I2981" s="6">
        <f>ROUND(G2981*NOTAS!$B$3,0)</f>
        <v>25991</v>
      </c>
      <c r="J2981" s="2" t="n">
        <v>4</v>
      </c>
    </row>
    <row r="2982">
      <c r="A2982" s="2" t="inlineStr"/>
      <c r="B2982" s="2" t="inlineStr"/>
      <c r="C2982" s="2" t="inlineStr">
        <is>
          <t>MARCO MANILLA PUERTA INTERNA F-UNO/PREMIO</t>
        </is>
      </c>
      <c r="D2982" s="2" t="inlineStr">
        <is>
          <t>UNIVERSAL</t>
        </is>
      </c>
      <c r="E2982" s="3" t="n">
        <v>6.1538</v>
      </c>
      <c r="F2982" s="4" t="n">
        <v>0.3</v>
      </c>
      <c r="G2982" s="5">
        <f>ROUND(E2982*(1+F2982),2)</f>
        <v>8.00</v>
      </c>
      <c r="H2982" s="5">
        <f>ROUND(G2982*NOTAS!$B$2,2)</f>
        <v>5770.76</v>
      </c>
      <c r="I2982" s="6">
        <f>ROUND(G2982*NOTAS!$B$3,0)</f>
        <v>25991</v>
      </c>
      <c r="J2982" s="2" t="n">
        <v>1</v>
      </c>
    </row>
    <row r="2983">
      <c r="A2983" s="2" t="inlineStr">
        <is>
          <t>90398840</t>
        </is>
      </c>
      <c r="B2983" s="2" t="inlineStr"/>
      <c r="C2983" s="2" t="inlineStr">
        <is>
          <t>MARTILLO CORSA/CIELO/LANOS</t>
        </is>
      </c>
      <c r="D2983" s="2" t="inlineStr">
        <is>
          <t>MIZUMO</t>
        </is>
      </c>
      <c r="E2983" s="3" t="n">
        <v>15.3846</v>
      </c>
      <c r="F2983" s="4" t="n">
        <v>0.3</v>
      </c>
      <c r="G2983" s="5">
        <f>ROUND(E2983*(1+F2983),2)</f>
        <v>20.00</v>
      </c>
      <c r="H2983" s="5">
        <f>ROUND(G2983*NOTAS!$B$2,2)</f>
        <v>14426.91</v>
      </c>
      <c r="I2983" s="6">
        <f>ROUND(G2983*NOTAS!$B$3,0)</f>
        <v>64977</v>
      </c>
      <c r="J2983" s="2" t="n">
        <v>1</v>
      </c>
    </row>
    <row r="2984">
      <c r="A2984" s="2" t="inlineStr">
        <is>
          <t>F-446009.1</t>
        </is>
      </c>
      <c r="B2984" s="2" t="inlineStr"/>
      <c r="C2984" s="2" t="inlineStr">
        <is>
          <t>MARTILLO FIESTA/KA 1.6</t>
        </is>
      </c>
      <c r="D2984" s="2" t="inlineStr">
        <is>
          <t>INA</t>
        </is>
      </c>
      <c r="E2984" s="3" t="n">
        <v>15.3846</v>
      </c>
      <c r="F2984" s="4" t="n">
        <v>0.3</v>
      </c>
      <c r="G2984" s="5">
        <f>ROUND(E2984*(1+F2984),2)</f>
        <v>20.00</v>
      </c>
      <c r="H2984" s="5">
        <f>ROUND(G2984*NOTAS!$B$2,2)</f>
        <v>14426.91</v>
      </c>
      <c r="I2984" s="6">
        <f>ROUND(G2984*NOTAS!$B$3,0)</f>
        <v>64977</v>
      </c>
      <c r="J2984" s="2" t="n">
        <v>8</v>
      </c>
    </row>
    <row r="2985">
      <c r="A2985" s="2" t="inlineStr">
        <is>
          <t>81EU5423201A</t>
        </is>
      </c>
      <c r="B2985" s="2" t="inlineStr"/>
      <c r="C2985" s="2" t="inlineStr">
        <is>
          <t>MECANISMO SUBIR VIDRIO CORCEL IZQUIERDO</t>
        </is>
      </c>
      <c r="D2985" s="2" t="inlineStr">
        <is>
          <t>ZINNI</t>
        </is>
      </c>
      <c r="E2985" s="3" t="n">
        <v>23.0769</v>
      </c>
      <c r="F2985" s="4" t="n">
        <v>0.3</v>
      </c>
      <c r="G2985" s="5">
        <f>ROUND(E2985*(1+F2985),2)</f>
        <v>30.00</v>
      </c>
      <c r="H2985" s="5">
        <f>ROUND(G2985*NOTAS!$B$2,2)</f>
        <v>21640.37</v>
      </c>
      <c r="I2985" s="6">
        <f>ROUND(G2985*NOTAS!$B$3,0)</f>
        <v>97466</v>
      </c>
      <c r="J2985" s="2" t="n">
        <v>2</v>
      </c>
    </row>
    <row r="2986">
      <c r="A2986" s="2" t="inlineStr">
        <is>
          <t>81EU5423200A</t>
        </is>
      </c>
      <c r="B2986" s="2" t="inlineStr"/>
      <c r="C2986" s="2" t="inlineStr">
        <is>
          <t>MECANISMO SUBIR VIDRIO DEL REY DERECHO</t>
        </is>
      </c>
      <c r="D2986" s="2" t="inlineStr">
        <is>
          <t>ZINNI</t>
        </is>
      </c>
      <c r="E2986" s="3" t="n">
        <v>23.0769</v>
      </c>
      <c r="F2986" s="4" t="n">
        <v>0.3</v>
      </c>
      <c r="G2986" s="5">
        <f>ROUND(E2986*(1+F2986),2)</f>
        <v>30.00</v>
      </c>
      <c r="H2986" s="5">
        <f>ROUND(G2986*NOTAS!$B$2,2)</f>
        <v>21640.37</v>
      </c>
      <c r="I2986" s="6">
        <f>ROUND(G2986*NOTAS!$B$3,0)</f>
        <v>97466</v>
      </c>
      <c r="J2986" s="2" t="n">
        <v>1</v>
      </c>
    </row>
    <row r="2987">
      <c r="A2987" s="2" t="inlineStr">
        <is>
          <t>CQKD-12R</t>
        </is>
      </c>
      <c r="B2987" s="2" t="inlineStr"/>
      <c r="C2987" s="2" t="inlineStr">
        <is>
          <t>MESETA DELANTERA INFERIOR DERECHA AVEO</t>
        </is>
      </c>
      <c r="D2987" s="2" t="inlineStr">
        <is>
          <t>CTR</t>
        </is>
      </c>
      <c r="E2987" s="3" t="n">
        <v>40</v>
      </c>
      <c r="F2987" s="4" t="n">
        <v>0.3</v>
      </c>
      <c r="G2987" s="5">
        <f>ROUND(E2987*(1+F2987),2)</f>
        <v>52.00</v>
      </c>
      <c r="H2987" s="5">
        <f>ROUND(G2987*NOTAS!$B$2,2)</f>
        <v>37509.97</v>
      </c>
      <c r="I2987" s="6">
        <f>ROUND(G2987*NOTAS!$B$3,0)</f>
        <v>168941</v>
      </c>
      <c r="J2987" s="2" t="n">
        <v>2</v>
      </c>
    </row>
    <row r="2988">
      <c r="A2988" s="2" t="inlineStr">
        <is>
          <t>96535082</t>
        </is>
      </c>
      <c r="B2988" s="2" t="inlineStr"/>
      <c r="C2988" s="2" t="inlineStr">
        <is>
          <t>MESETA DELANTERA INFERIOR DERECHA AVEO</t>
        </is>
      </c>
      <c r="D2988" s="2" t="inlineStr">
        <is>
          <t>GM</t>
        </is>
      </c>
      <c r="E2988" s="3" t="n">
        <v>30</v>
      </c>
      <c r="F2988" s="4" t="n">
        <v>0.3</v>
      </c>
      <c r="G2988" s="5">
        <f>ROUND(E2988*(1+F2988),2)</f>
        <v>39.00</v>
      </c>
      <c r="H2988" s="5">
        <f>ROUND(G2988*NOTAS!$B$2,2)</f>
        <v>28132.48</v>
      </c>
      <c r="I2988" s="6">
        <f>ROUND(G2988*NOTAS!$B$3,0)</f>
        <v>126706</v>
      </c>
      <c r="J2988" s="2" t="n">
        <v>1</v>
      </c>
    </row>
    <row r="2989">
      <c r="A2989" s="2" t="inlineStr">
        <is>
          <t>96535081</t>
        </is>
      </c>
      <c r="B2989" s="2" t="inlineStr"/>
      <c r="C2989" s="2" t="inlineStr">
        <is>
          <t>MESETA DELANTERA INFERIOR DERECHA AVEO</t>
        </is>
      </c>
      <c r="D2989" s="2" t="inlineStr">
        <is>
          <t>KAPARS</t>
        </is>
      </c>
      <c r="E2989" s="3" t="n">
        <v>30</v>
      </c>
      <c r="F2989" s="4" t="n">
        <v>0.3</v>
      </c>
      <c r="G2989" s="5">
        <f>ROUND(E2989*(1+F2989),2)</f>
        <v>39.00</v>
      </c>
      <c r="H2989" s="5">
        <f>ROUND(G2989*NOTAS!$B$2,2)</f>
        <v>28132.48</v>
      </c>
      <c r="I2989" s="6">
        <f>ROUND(G2989*NOTAS!$B$3,0)</f>
        <v>126706</v>
      </c>
      <c r="J2989" s="2" t="n">
        <v>2</v>
      </c>
    </row>
    <row r="2990">
      <c r="A2990" s="2" t="inlineStr">
        <is>
          <t>96535082</t>
        </is>
      </c>
      <c r="B2990" s="2" t="inlineStr"/>
      <c r="C2990" s="2" t="inlineStr">
        <is>
          <t>MESETA DELANTERA INFERIOR DERECHA AVEO</t>
        </is>
      </c>
      <c r="D2990" s="2" t="inlineStr">
        <is>
          <t>GKP</t>
        </is>
      </c>
      <c r="E2990" s="3" t="n">
        <v>30</v>
      </c>
      <c r="F2990" s="4" t="n">
        <v>0.3</v>
      </c>
      <c r="G2990" s="5">
        <f>ROUND(E2990*(1+F2990),2)</f>
        <v>39.00</v>
      </c>
      <c r="H2990" s="5">
        <f>ROUND(G2990*NOTAS!$B$2,2)</f>
        <v>28132.48</v>
      </c>
      <c r="I2990" s="6">
        <f>ROUND(G2990*NOTAS!$B$3,0)</f>
        <v>126706</v>
      </c>
      <c r="J2990" s="2" t="n">
        <v>1</v>
      </c>
    </row>
    <row r="2991">
      <c r="A2991" s="2" t="inlineStr">
        <is>
          <t>GM2008</t>
        </is>
      </c>
      <c r="B2991" s="2" t="inlineStr"/>
      <c r="C2991" s="2" t="inlineStr">
        <is>
          <t>MESETA DELANTERA INFERIOR DERECHA CHEVETTE</t>
        </is>
      </c>
      <c r="D2991" s="2" t="inlineStr">
        <is>
          <t>GRAZZIMETAL</t>
        </is>
      </c>
      <c r="E2991" s="3" t="n">
        <v>35</v>
      </c>
      <c r="F2991" s="4" t="n">
        <v>0.3</v>
      </c>
      <c r="G2991" s="5">
        <f>ROUND(E2991*(1+F2991),2)</f>
        <v>45.50</v>
      </c>
      <c r="H2991" s="5">
        <f>ROUND(G2991*NOTAS!$B$2,2)</f>
        <v>32821.22</v>
      </c>
      <c r="I2991" s="6">
        <f>ROUND(G2991*NOTAS!$B$3,0)</f>
        <v>147824</v>
      </c>
      <c r="J2991" s="2" t="n">
        <v>4</v>
      </c>
    </row>
    <row r="2992">
      <c r="A2992" s="2" t="inlineStr">
        <is>
          <t>BJC04102</t>
        </is>
      </c>
      <c r="B2992" s="2" t="inlineStr"/>
      <c r="C2992" s="2" t="inlineStr">
        <is>
          <t>MESETA DELANTERA INFERIOR DERECHA CHEVETTE</t>
        </is>
      </c>
      <c r="D2992" s="2" t="inlineStr">
        <is>
          <t>COFAP</t>
        </is>
      </c>
      <c r="E2992" s="3" t="n">
        <v>35</v>
      </c>
      <c r="F2992" s="4" t="n">
        <v>0.3</v>
      </c>
      <c r="G2992" s="5">
        <f>ROUND(E2992*(1+F2992),2)</f>
        <v>45.50</v>
      </c>
      <c r="H2992" s="5">
        <f>ROUND(G2992*NOTAS!$B$2,2)</f>
        <v>32821.22</v>
      </c>
      <c r="I2992" s="6">
        <f>ROUND(G2992*NOTAS!$B$3,0)</f>
        <v>147824</v>
      </c>
      <c r="J2992" s="2" t="n">
        <v>3</v>
      </c>
    </row>
    <row r="2993">
      <c r="A2993" s="2" t="inlineStr">
        <is>
          <t>CQKD-2R</t>
        </is>
      </c>
      <c r="B2993" s="2" t="inlineStr"/>
      <c r="C2993" s="2" t="inlineStr">
        <is>
          <t>MESETA DELANTERA INFERIOR DERECHA CIELO/LANOS</t>
        </is>
      </c>
      <c r="D2993" s="2" t="inlineStr">
        <is>
          <t>CTR</t>
        </is>
      </c>
      <c r="E2993" s="3" t="n">
        <v>35</v>
      </c>
      <c r="F2993" s="4" t="n">
        <v>0.3</v>
      </c>
      <c r="G2993" s="5">
        <f>ROUND(E2993*(1+F2993),2)</f>
        <v>45.50</v>
      </c>
      <c r="H2993" s="5">
        <f>ROUND(G2993*NOTAS!$B$2,2)</f>
        <v>32821.22</v>
      </c>
      <c r="I2993" s="6">
        <f>ROUND(G2993*NOTAS!$B$3,0)</f>
        <v>147824</v>
      </c>
      <c r="J2993" s="2" t="n">
        <v>2</v>
      </c>
    </row>
    <row r="2994">
      <c r="A2994" s="2" t="inlineStr">
        <is>
          <t>WB80119-R</t>
        </is>
      </c>
      <c r="B2994" s="2" t="inlineStr"/>
      <c r="C2994" s="2" t="inlineStr">
        <is>
          <t>MESETA DELANTERA INFERIOR DERECHA CIELO/LANOS SIN MUNON</t>
        </is>
      </c>
      <c r="D2994" s="2" t="inlineStr">
        <is>
          <t>KOREA</t>
        </is>
      </c>
      <c r="E2994" s="3" t="n">
        <v>20</v>
      </c>
      <c r="F2994" s="4" t="n">
        <v>0.3</v>
      </c>
      <c r="G2994" s="5">
        <f>ROUND(E2994*(1+F2994),2)</f>
        <v>26.00</v>
      </c>
      <c r="H2994" s="5">
        <f>ROUND(G2994*NOTAS!$B$2,2)</f>
        <v>18754.99</v>
      </c>
      <c r="I2994" s="6">
        <f>ROUND(G2994*NOTAS!$B$3,0)</f>
        <v>84471</v>
      </c>
      <c r="J2994" s="2" t="n">
        <v>2</v>
      </c>
    </row>
    <row r="2995">
      <c r="A2995" s="2" t="inlineStr">
        <is>
          <t>GM0130</t>
        </is>
      </c>
      <c r="B2995" s="2" t="inlineStr"/>
      <c r="C2995" s="2" t="inlineStr">
        <is>
          <t>MESETA DELANTERA INFERIOR DERECHA CORSA 00/06</t>
        </is>
      </c>
      <c r="D2995" s="2" t="inlineStr">
        <is>
          <t>LUCAS VARITY</t>
        </is>
      </c>
      <c r="E2995" s="3" t="n">
        <v>26.9231</v>
      </c>
      <c r="F2995" s="4" t="n">
        <v>0.3</v>
      </c>
      <c r="G2995" s="5">
        <f>ROUND(E2995*(1+F2995),2)</f>
        <v>35.00</v>
      </c>
      <c r="H2995" s="5">
        <f>ROUND(G2995*NOTAS!$B$2,2)</f>
        <v>25247.10</v>
      </c>
      <c r="I2995" s="6">
        <f>ROUND(G2995*NOTAS!$B$3,0)</f>
        <v>113710</v>
      </c>
      <c r="J2995" s="2" t="n">
        <v>9</v>
      </c>
    </row>
    <row r="2996">
      <c r="A2996" s="2" t="inlineStr">
        <is>
          <t>92100961</t>
        </is>
      </c>
      <c r="B2996" s="2" t="inlineStr"/>
      <c r="C2996" s="2" t="inlineStr">
        <is>
          <t>MESETA DELANTERA INFERIOR DERECHA CORSA 00/06</t>
        </is>
      </c>
      <c r="D2996" s="2" t="inlineStr">
        <is>
          <t>GM</t>
        </is>
      </c>
      <c r="E2996" s="3" t="n">
        <v>26.9231</v>
      </c>
      <c r="F2996" s="4" t="n">
        <v>0.3</v>
      </c>
      <c r="G2996" s="5">
        <f>ROUND(E2996*(1+F2996),2)</f>
        <v>35.00</v>
      </c>
      <c r="H2996" s="5">
        <f>ROUND(G2996*NOTAS!$B$2,2)</f>
        <v>25247.10</v>
      </c>
      <c r="I2996" s="6">
        <f>ROUND(G2996*NOTAS!$B$3,0)</f>
        <v>113710</v>
      </c>
      <c r="J2996" s="2" t="n">
        <v>5</v>
      </c>
    </row>
    <row r="2997">
      <c r="A2997" s="2" t="inlineStr">
        <is>
          <t>GM-2150C</t>
        </is>
      </c>
      <c r="B2997" s="2" t="inlineStr"/>
      <c r="C2997" s="2" t="inlineStr">
        <is>
          <t>MESETA DELANTERA INFERIOR DERECHA CORSA 00/06 POCO OXIDADO</t>
        </is>
      </c>
      <c r="D2997" s="2" t="inlineStr">
        <is>
          <t>GRAZZIMETAL</t>
        </is>
      </c>
      <c r="E2997" s="3" t="n">
        <v>19.2308</v>
      </c>
      <c r="F2997" s="4" t="n">
        <v>0.3</v>
      </c>
      <c r="G2997" s="5">
        <f>ROUND(E2997*(1+F2997),2)</f>
        <v>25.00</v>
      </c>
      <c r="H2997" s="5">
        <f>ROUND(G2997*NOTAS!$B$2,2)</f>
        <v>18033.64</v>
      </c>
      <c r="I2997" s="6">
        <f>ROUND(G2997*NOTAS!$B$3,0)</f>
        <v>81222</v>
      </c>
      <c r="J2997" s="2" t="n">
        <v>1</v>
      </c>
    </row>
    <row r="2998">
      <c r="A2998" s="2" t="inlineStr">
        <is>
          <t>90445119</t>
        </is>
      </c>
      <c r="B2998" s="2" t="inlineStr"/>
      <c r="C2998" s="2" t="inlineStr">
        <is>
          <t>MESETA DELANTERA INFERIOR DERECHA CORSA 96/99</t>
        </is>
      </c>
      <c r="D2998" s="2" t="inlineStr">
        <is>
          <t>REMIK</t>
        </is>
      </c>
      <c r="E2998" s="3" t="n">
        <v>26.9231</v>
      </c>
      <c r="F2998" s="4" t="n">
        <v>0.3</v>
      </c>
      <c r="G2998" s="5">
        <f>ROUND(E2998*(1+F2998),2)</f>
        <v>35.00</v>
      </c>
      <c r="H2998" s="5">
        <f>ROUND(G2998*NOTAS!$B$2,2)</f>
        <v>25247.10</v>
      </c>
      <c r="I2998" s="6">
        <f>ROUND(G2998*NOTAS!$B$3,0)</f>
        <v>113710</v>
      </c>
      <c r="J2998" s="2" t="n">
        <v>1</v>
      </c>
    </row>
    <row r="2999">
      <c r="A2999" s="2" t="inlineStr">
        <is>
          <t>FD0050</t>
        </is>
      </c>
      <c r="B2999" s="2" t="inlineStr"/>
      <c r="C2999" s="2" t="inlineStr">
        <is>
          <t>MESETA DELANTERA INFERIOR DERECHA FIESTA 00/03</t>
        </is>
      </c>
      <c r="D2999" s="2" t="inlineStr">
        <is>
          <t>LUCAS VARITY</t>
        </is>
      </c>
      <c r="E2999" s="3" t="n">
        <v>26.9231</v>
      </c>
      <c r="F2999" s="4" t="n">
        <v>0.3</v>
      </c>
      <c r="G2999" s="5">
        <f>ROUND(E2999*(1+F2999),2)</f>
        <v>35.00</v>
      </c>
      <c r="H2999" s="5">
        <f>ROUND(G2999*NOTAS!$B$2,2)</f>
        <v>25247.10</v>
      </c>
      <c r="I2999" s="6">
        <f>ROUND(G2999*NOTAS!$B$3,0)</f>
        <v>113710</v>
      </c>
      <c r="J2999" s="2" t="n">
        <v>2</v>
      </c>
    </row>
    <row r="3000">
      <c r="A3000" s="2" t="inlineStr">
        <is>
          <t>1212807</t>
        </is>
      </c>
      <c r="B3000" s="2" t="inlineStr"/>
      <c r="C3000" s="2" t="inlineStr">
        <is>
          <t>MESETA DELANTERA INFERIOR DERECHA FIESTA/ECOSPORT</t>
        </is>
      </c>
      <c r="D3000" s="2" t="inlineStr">
        <is>
          <t>GKP</t>
        </is>
      </c>
      <c r="E3000" s="3" t="n">
        <v>26</v>
      </c>
      <c r="F3000" s="4" t="n">
        <v>0.3</v>
      </c>
      <c r="G3000" s="5">
        <f>ROUND(E3000*(1+F3000),2)</f>
        <v>33.80</v>
      </c>
      <c r="H3000" s="5">
        <f>ROUND(G3000*NOTAS!$B$2,2)</f>
        <v>24381.48</v>
      </c>
      <c r="I3000" s="6">
        <f>ROUND(G3000*NOTAS!$B$3,0)</f>
        <v>109812</v>
      </c>
      <c r="J3000" s="2" t="n">
        <v>1</v>
      </c>
    </row>
    <row r="3001">
      <c r="A3001" s="2" t="inlineStr">
        <is>
          <t>46454598</t>
        </is>
      </c>
      <c r="B3001" s="2" t="inlineStr"/>
      <c r="C3001" s="2" t="inlineStr">
        <is>
          <t>MESETA DELANTERA INFERIOR DERECHA F-PALIO/SIENA</t>
        </is>
      </c>
      <c r="D3001" s="2" t="inlineStr">
        <is>
          <t>SKP</t>
        </is>
      </c>
      <c r="E3001" s="3" t="n">
        <v>26</v>
      </c>
      <c r="F3001" s="4" t="n">
        <v>0.3</v>
      </c>
      <c r="G3001" s="5">
        <f>ROUND(E3001*(1+F3001),2)</f>
        <v>33.80</v>
      </c>
      <c r="H3001" s="5">
        <f>ROUND(G3001*NOTAS!$B$2,2)</f>
        <v>24381.48</v>
      </c>
      <c r="I3001" s="6">
        <f>ROUND(G3001*NOTAS!$B$3,0)</f>
        <v>109812</v>
      </c>
      <c r="J3001" s="2" t="n">
        <v>1</v>
      </c>
    </row>
    <row r="3002">
      <c r="A3002" s="2" t="inlineStr">
        <is>
          <t>FI0011</t>
        </is>
      </c>
      <c r="B3002" s="2" t="inlineStr"/>
      <c r="C3002" s="2" t="inlineStr">
        <is>
          <t>MESETA DELANTERA INFERIOR DERECHA F-PALIO/SIENA</t>
        </is>
      </c>
      <c r="D3002" s="2" t="inlineStr">
        <is>
          <t>LUCAS VARITY</t>
        </is>
      </c>
      <c r="E3002" s="3" t="n">
        <v>24</v>
      </c>
      <c r="F3002" s="4" t="n">
        <v>0.3</v>
      </c>
      <c r="G3002" s="5">
        <f>ROUND(E3002*(1+F3002),2)</f>
        <v>31.20</v>
      </c>
      <c r="H3002" s="5">
        <f>ROUND(G3002*NOTAS!$B$2,2)</f>
        <v>22505.98</v>
      </c>
      <c r="I3002" s="6">
        <f>ROUND(G3002*NOTAS!$B$3,0)</f>
        <v>101365</v>
      </c>
      <c r="J3002" s="2" t="n">
        <v>2</v>
      </c>
    </row>
    <row r="3003">
      <c r="A3003" s="2" t="inlineStr">
        <is>
          <t>FI-194M</t>
        </is>
      </c>
      <c r="B3003" s="2" t="inlineStr"/>
      <c r="C3003" s="2" t="inlineStr">
        <is>
          <t>MESETA DELANTERA INFERIOR DERECHA F-PALIO/SIENA 1.3 16V FIRE</t>
        </is>
      </c>
      <c r="D3003" s="2" t="inlineStr">
        <is>
          <t>GRAZZIMETAL</t>
        </is>
      </c>
      <c r="E3003" s="3" t="n">
        <v>40</v>
      </c>
      <c r="F3003" s="4" t="n">
        <v>0.3</v>
      </c>
      <c r="G3003" s="5">
        <f>ROUND(E3003*(1+F3003),2)</f>
        <v>52.00</v>
      </c>
      <c r="H3003" s="5">
        <f>ROUND(G3003*NOTAS!$B$2,2)</f>
        <v>37509.97</v>
      </c>
      <c r="I3003" s="6">
        <f>ROUND(G3003*NOTAS!$B$3,0)</f>
        <v>168941</v>
      </c>
      <c r="J3003" s="2" t="n">
        <v>1</v>
      </c>
    </row>
    <row r="3004">
      <c r="A3004" s="2" t="inlineStr">
        <is>
          <t>FI0090</t>
        </is>
      </c>
      <c r="B3004" s="2" t="inlineStr"/>
      <c r="C3004" s="2" t="inlineStr">
        <is>
          <t>MESETA DELANTERA INFERIOR DERECHA F-PALIO/SIENA 1.3 16V FIRE</t>
        </is>
      </c>
      <c r="D3004" s="2" t="inlineStr">
        <is>
          <t>LUCAS VARITY</t>
        </is>
      </c>
      <c r="E3004" s="3" t="n">
        <v>30</v>
      </c>
      <c r="F3004" s="4" t="n">
        <v>0.3</v>
      </c>
      <c r="G3004" s="5">
        <f>ROUND(E3004*(1+F3004),2)</f>
        <v>39.00</v>
      </c>
      <c r="H3004" s="5">
        <f>ROUND(G3004*NOTAS!$B$2,2)</f>
        <v>28132.48</v>
      </c>
      <c r="I3004" s="6">
        <f>ROUND(G3004*NOTAS!$B$3,0)</f>
        <v>126706</v>
      </c>
      <c r="J3004" s="2" t="n">
        <v>2</v>
      </c>
    </row>
    <row r="3005">
      <c r="A3005" s="2" t="inlineStr">
        <is>
          <t>1032099</t>
        </is>
      </c>
      <c r="B3005" s="2" t="inlineStr"/>
      <c r="C3005" s="2" t="inlineStr">
        <is>
          <t>MESETA DELANTERA INFERIOR DERECHA KA</t>
        </is>
      </c>
      <c r="D3005" s="2" t="inlineStr">
        <is>
          <t>DELKO</t>
        </is>
      </c>
      <c r="E3005" s="3" t="n">
        <v>26.9231</v>
      </c>
      <c r="F3005" s="4" t="n">
        <v>0.3</v>
      </c>
      <c r="G3005" s="5">
        <f>ROUND(E3005*(1+F3005),2)</f>
        <v>35.00</v>
      </c>
      <c r="H3005" s="5">
        <f>ROUND(G3005*NOTAS!$B$2,2)</f>
        <v>25247.10</v>
      </c>
      <c r="I3005" s="6">
        <f>ROUND(G3005*NOTAS!$B$3,0)</f>
        <v>113710</v>
      </c>
      <c r="J3005" s="2" t="n">
        <v>1</v>
      </c>
    </row>
    <row r="3006">
      <c r="A3006" s="2" t="inlineStr">
        <is>
          <t>CQKD-13R</t>
        </is>
      </c>
      <c r="B3006" s="2" t="inlineStr"/>
      <c r="C3006" s="2" t="inlineStr">
        <is>
          <t>MESETA DELANTERA INFERIOR DERECHA OPTRA</t>
        </is>
      </c>
      <c r="D3006" s="2" t="inlineStr">
        <is>
          <t>CTR</t>
        </is>
      </c>
      <c r="E3006" s="3" t="n">
        <v>30</v>
      </c>
      <c r="F3006" s="4" t="n">
        <v>0.3</v>
      </c>
      <c r="G3006" s="5">
        <f>ROUND(E3006*(1+F3006),2)</f>
        <v>39.00</v>
      </c>
      <c r="H3006" s="5">
        <f>ROUND(G3006*NOTAS!$B$2,2)</f>
        <v>28132.48</v>
      </c>
      <c r="I3006" s="6">
        <f>ROUND(G3006*NOTAS!$B$3,0)</f>
        <v>126706</v>
      </c>
      <c r="J3006" s="2" t="n">
        <v>1</v>
      </c>
    </row>
    <row r="3007">
      <c r="A3007" s="2" t="inlineStr">
        <is>
          <t>SNS7700831369</t>
        </is>
      </c>
      <c r="B3007" s="2" t="inlineStr"/>
      <c r="C3007" s="2" t="inlineStr">
        <is>
          <t xml:space="preserve">MESETA DELANTERA INFERIOR DERECHA R-11 </t>
        </is>
      </c>
      <c r="D3007" s="2" t="inlineStr">
        <is>
          <t>KAPARS</t>
        </is>
      </c>
      <c r="E3007" s="3" t="n">
        <v>23.0769</v>
      </c>
      <c r="F3007" s="4" t="n">
        <v>0.3</v>
      </c>
      <c r="G3007" s="5">
        <f>ROUND(E3007*(1+F3007),2)</f>
        <v>30.00</v>
      </c>
      <c r="H3007" s="5">
        <f>ROUND(G3007*NOTAS!$B$2,2)</f>
        <v>21640.37</v>
      </c>
      <c r="I3007" s="6">
        <f>ROUND(G3007*NOTAS!$B$3,0)</f>
        <v>97466</v>
      </c>
      <c r="J3007" s="2" t="n">
        <v>2</v>
      </c>
    </row>
    <row r="3008">
      <c r="A3008" s="2" t="inlineStr">
        <is>
          <t>R525</t>
        </is>
      </c>
      <c r="B3008" s="2" t="inlineStr"/>
      <c r="C3008" s="2" t="inlineStr">
        <is>
          <t xml:space="preserve">MESETA DELANTERA INFERIOR DERECHA R-19 </t>
        </is>
      </c>
      <c r="D3008" s="2" t="inlineStr">
        <is>
          <t>TEKNOROT</t>
        </is>
      </c>
      <c r="E3008" s="3" t="n">
        <v>23.0769</v>
      </c>
      <c r="F3008" s="4" t="n">
        <v>0.3</v>
      </c>
      <c r="G3008" s="5">
        <f>ROUND(E3008*(1+F3008),2)</f>
        <v>30.00</v>
      </c>
      <c r="H3008" s="5">
        <f>ROUND(G3008*NOTAS!$B$2,2)</f>
        <v>21640.37</v>
      </c>
      <c r="I3008" s="6">
        <f>ROUND(G3008*NOTAS!$B$3,0)</f>
        <v>97466</v>
      </c>
      <c r="J3008" s="2" t="n">
        <v>2</v>
      </c>
    </row>
    <row r="3009">
      <c r="A3009" s="2" t="inlineStr">
        <is>
          <t>7700831369</t>
        </is>
      </c>
      <c r="B3009" s="2" t="inlineStr"/>
      <c r="C3009" s="2" t="inlineStr">
        <is>
          <t xml:space="preserve">MESETA DELANTERA INFERIOR DERECHA R-19 </t>
        </is>
      </c>
      <c r="D3009" s="2" t="inlineStr">
        <is>
          <t>KAPARS</t>
        </is>
      </c>
      <c r="E3009" s="3" t="n">
        <v>23.0769</v>
      </c>
      <c r="F3009" s="4" t="n">
        <v>0.3</v>
      </c>
      <c r="G3009" s="5">
        <f>ROUND(E3009*(1+F3009),2)</f>
        <v>30.00</v>
      </c>
      <c r="H3009" s="5">
        <f>ROUND(G3009*NOTAS!$B$2,2)</f>
        <v>21640.37</v>
      </c>
      <c r="I3009" s="6">
        <f>ROUND(G3009*NOTAS!$B$3,0)</f>
        <v>97466</v>
      </c>
      <c r="J3009" s="2" t="n">
        <v>1</v>
      </c>
    </row>
    <row r="3010">
      <c r="A3010" s="2" t="inlineStr">
        <is>
          <t>R-525S</t>
        </is>
      </c>
      <c r="B3010" s="2" t="inlineStr"/>
      <c r="C3010" s="2" t="inlineStr">
        <is>
          <t>MESETA DELANTERA INFERIOR DERECHA R-19 SIN MUNON</t>
        </is>
      </c>
      <c r="D3010" s="2" t="inlineStr">
        <is>
          <t>TEKNOROT</t>
        </is>
      </c>
      <c r="E3010" s="3" t="n">
        <v>19.2308</v>
      </c>
      <c r="F3010" s="4" t="n">
        <v>0.3</v>
      </c>
      <c r="G3010" s="5">
        <f>ROUND(E3010*(1+F3010),2)</f>
        <v>25.00</v>
      </c>
      <c r="H3010" s="5">
        <f>ROUND(G3010*NOTAS!$B$2,2)</f>
        <v>18033.64</v>
      </c>
      <c r="I3010" s="6">
        <f>ROUND(G3010*NOTAS!$B$3,0)</f>
        <v>81222</v>
      </c>
      <c r="J3010" s="2" t="n">
        <v>1</v>
      </c>
    </row>
    <row r="3011">
      <c r="A3011" s="2" t="inlineStr"/>
      <c r="B3011" s="2" t="inlineStr"/>
      <c r="C3011" s="2" t="inlineStr">
        <is>
          <t>MESETA DELANTERA INFERIOR DERECHA R-CLIO …/99</t>
        </is>
      </c>
      <c r="D3011" s="2" t="inlineStr"/>
      <c r="E3011" s="3" t="n">
        <v>24.6154</v>
      </c>
      <c r="F3011" s="4" t="n">
        <v>0.3</v>
      </c>
      <c r="G3011" s="5">
        <f>ROUND(E3011*(1+F3011),2)</f>
        <v>32.00</v>
      </c>
      <c r="H3011" s="5">
        <f>ROUND(G3011*NOTAS!$B$2,2)</f>
        <v>23083.06</v>
      </c>
      <c r="I3011" s="6">
        <f>ROUND(G3011*NOTAS!$B$3,0)</f>
        <v>103964</v>
      </c>
      <c r="J3011" s="2" t="n">
        <v>1</v>
      </c>
    </row>
    <row r="3012">
      <c r="A3012" s="2" t="inlineStr">
        <is>
          <t>SNS6001547519</t>
        </is>
      </c>
      <c r="B3012" s="2" t="inlineStr"/>
      <c r="C3012" s="2" t="inlineStr">
        <is>
          <t>MESETA DELANTERA INFERIOR DERECHA R-LOGAN</t>
        </is>
      </c>
      <c r="D3012" s="2" t="inlineStr">
        <is>
          <t>KAPARS</t>
        </is>
      </c>
      <c r="E3012" s="3" t="n">
        <v>28</v>
      </c>
      <c r="F3012" s="4" t="n">
        <v>0.3</v>
      </c>
      <c r="G3012" s="5">
        <f>ROUND(E3012*(1+F3012),2)</f>
        <v>36.40</v>
      </c>
      <c r="H3012" s="5">
        <f>ROUND(G3012*NOTAS!$B$2,2)</f>
        <v>26256.98</v>
      </c>
      <c r="I3012" s="6">
        <f>ROUND(G3012*NOTAS!$B$3,0)</f>
        <v>118259</v>
      </c>
      <c r="J3012" s="2" t="n">
        <v>1</v>
      </c>
    </row>
    <row r="3013">
      <c r="A3013" s="2" t="inlineStr">
        <is>
          <t>6001547519</t>
        </is>
      </c>
      <c r="B3013" s="2" t="inlineStr"/>
      <c r="C3013" s="2" t="inlineStr">
        <is>
          <t>MESETA DELANTERA INFERIOR DERECHA R-LOGAN</t>
        </is>
      </c>
      <c r="D3013" s="2" t="inlineStr">
        <is>
          <t>SKP</t>
        </is>
      </c>
      <c r="E3013" s="3" t="n">
        <v>27</v>
      </c>
      <c r="F3013" s="4" t="n">
        <v>0.3</v>
      </c>
      <c r="G3013" s="5">
        <f>ROUND(E3013*(1+F3013),2)</f>
        <v>35.10</v>
      </c>
      <c r="H3013" s="5">
        <f>ROUND(G3013*NOTAS!$B$2,2)</f>
        <v>25319.23</v>
      </c>
      <c r="I3013" s="6">
        <f>ROUND(G3013*NOTAS!$B$3,0)</f>
        <v>114035</v>
      </c>
      <c r="J3013" s="2" t="n">
        <v>1</v>
      </c>
    </row>
    <row r="3014">
      <c r="A3014" s="2" t="inlineStr">
        <is>
          <t>RE0063</t>
        </is>
      </c>
      <c r="B3014" s="2" t="inlineStr"/>
      <c r="C3014" s="2" t="inlineStr">
        <is>
          <t>MESETA DELANTERA INFERIOR DERECHA R-LOGAN</t>
        </is>
      </c>
      <c r="D3014" s="2" t="inlineStr">
        <is>
          <t>LUCAS VARITY</t>
        </is>
      </c>
      <c r="E3014" s="3" t="n">
        <v>23</v>
      </c>
      <c r="F3014" s="4" t="n">
        <v>0.3</v>
      </c>
      <c r="G3014" s="5">
        <f>ROUND(E3014*(1+F3014),2)</f>
        <v>29.90</v>
      </c>
      <c r="H3014" s="5">
        <f>ROUND(G3014*NOTAS!$B$2,2)</f>
        <v>21568.23</v>
      </c>
      <c r="I3014" s="6">
        <f>ROUND(G3014*NOTAS!$B$3,0)</f>
        <v>97141</v>
      </c>
      <c r="J3014" s="2" t="n">
        <v>2</v>
      </c>
    </row>
    <row r="3015">
      <c r="A3015" s="2" t="inlineStr">
        <is>
          <t>7700425228</t>
        </is>
      </c>
      <c r="B3015" s="2" t="inlineStr"/>
      <c r="C3015" s="2" t="inlineStr">
        <is>
          <t xml:space="preserve">MESETA DELANTERA INFERIOR DERECHA R-SYMBOL </t>
        </is>
      </c>
      <c r="D3015" s="2" t="inlineStr">
        <is>
          <t>GKP</t>
        </is>
      </c>
      <c r="E3015" s="3" t="n">
        <v>25</v>
      </c>
      <c r="F3015" s="4" t="n">
        <v>0.3</v>
      </c>
      <c r="G3015" s="5">
        <f>ROUND(E3015*(1+F3015),2)</f>
        <v>32.50</v>
      </c>
      <c r="H3015" s="5">
        <f>ROUND(G3015*NOTAS!$B$2,2)</f>
        <v>23443.73</v>
      </c>
      <c r="I3015" s="6">
        <f>ROUND(G3015*NOTAS!$B$3,0)</f>
        <v>105588</v>
      </c>
      <c r="J3015" s="2" t="n">
        <v>2</v>
      </c>
    </row>
    <row r="3016">
      <c r="A3016" s="2" t="inlineStr">
        <is>
          <t>7700820029</t>
        </is>
      </c>
      <c r="B3016" s="2" t="inlineStr"/>
      <c r="C3016" s="2" t="inlineStr">
        <is>
          <t>MESETA DELANTERA INFERIOR DERECHA R-TWINGO</t>
        </is>
      </c>
      <c r="D3016" s="2" t="inlineStr">
        <is>
          <t>KAPARS</t>
        </is>
      </c>
      <c r="E3016" s="3" t="n">
        <v>25</v>
      </c>
      <c r="F3016" s="4" t="n">
        <v>0.3</v>
      </c>
      <c r="G3016" s="5">
        <f>ROUND(E3016*(1+F3016),2)</f>
        <v>32.50</v>
      </c>
      <c r="H3016" s="5">
        <f>ROUND(G3016*NOTAS!$B$2,2)</f>
        <v>23443.73</v>
      </c>
      <c r="I3016" s="6">
        <f>ROUND(G3016*NOTAS!$B$3,0)</f>
        <v>105588</v>
      </c>
      <c r="J3016" s="2" t="n">
        <v>1</v>
      </c>
    </row>
    <row r="3017">
      <c r="A3017" s="2" t="inlineStr"/>
      <c r="B3017" s="2" t="inlineStr"/>
      <c r="C3017" s="2" t="inlineStr">
        <is>
          <t>MESETA DELANTERA INFERIOR DERECHA R-TWINGO</t>
        </is>
      </c>
      <c r="D3017" s="2" t="inlineStr">
        <is>
          <t>CCP</t>
        </is>
      </c>
      <c r="E3017" s="3" t="n">
        <v>25</v>
      </c>
      <c r="F3017" s="4" t="n">
        <v>0.3</v>
      </c>
      <c r="G3017" s="5">
        <f>ROUND(E3017*(1+F3017),2)</f>
        <v>32.50</v>
      </c>
      <c r="H3017" s="5">
        <f>ROUND(G3017*NOTAS!$B$2,2)</f>
        <v>23443.73</v>
      </c>
      <c r="I3017" s="6">
        <f>ROUND(G3017*NOTAS!$B$3,0)</f>
        <v>105588</v>
      </c>
      <c r="J3017" s="2" t="n">
        <v>1</v>
      </c>
    </row>
    <row r="3018">
      <c r="A3018" s="2" t="inlineStr">
        <is>
          <t>96535081</t>
        </is>
      </c>
      <c r="B3018" s="2" t="inlineStr"/>
      <c r="C3018" s="2" t="inlineStr">
        <is>
          <t>MESETA DELANTERA INFERIOR IZQUIERDA AVEO</t>
        </is>
      </c>
      <c r="D3018" s="2" t="inlineStr">
        <is>
          <t>GKP</t>
        </is>
      </c>
      <c r="E3018" s="3" t="n">
        <v>30</v>
      </c>
      <c r="F3018" s="4" t="n">
        <v>0.3</v>
      </c>
      <c r="G3018" s="5">
        <f>ROUND(E3018*(1+F3018),2)</f>
        <v>39.00</v>
      </c>
      <c r="H3018" s="5">
        <f>ROUND(G3018*NOTAS!$B$2,2)</f>
        <v>28132.48</v>
      </c>
      <c r="I3018" s="6">
        <f>ROUND(G3018*NOTAS!$B$3,0)</f>
        <v>126706</v>
      </c>
      <c r="J3018" s="2" t="n">
        <v>3</v>
      </c>
    </row>
    <row r="3019">
      <c r="A3019" s="2" t="inlineStr">
        <is>
          <t>96535082</t>
        </is>
      </c>
      <c r="B3019" s="2" t="inlineStr"/>
      <c r="C3019" s="2" t="inlineStr">
        <is>
          <t>MESETA DELANTERA INFERIOR IZQUIERDA AVEO</t>
        </is>
      </c>
      <c r="D3019" s="2" t="inlineStr">
        <is>
          <t>KAPARS</t>
        </is>
      </c>
      <c r="E3019" s="3" t="n">
        <v>30</v>
      </c>
      <c r="F3019" s="4" t="n">
        <v>0.3</v>
      </c>
      <c r="G3019" s="5">
        <f>ROUND(E3019*(1+F3019),2)</f>
        <v>39.00</v>
      </c>
      <c r="H3019" s="5">
        <f>ROUND(G3019*NOTAS!$B$2,2)</f>
        <v>28132.48</v>
      </c>
      <c r="I3019" s="6">
        <f>ROUND(G3019*NOTAS!$B$3,0)</f>
        <v>126706</v>
      </c>
      <c r="J3019" s="2" t="n">
        <v>1</v>
      </c>
    </row>
    <row r="3020">
      <c r="A3020" s="2" t="inlineStr">
        <is>
          <t>96815893</t>
        </is>
      </c>
      <c r="B3020" s="2" t="inlineStr"/>
      <c r="C3020" s="2" t="inlineStr">
        <is>
          <t>MESETA DELANTERA INFERIOR IZQUIERDA AVEO</t>
        </is>
      </c>
      <c r="D3020" s="2" t="inlineStr">
        <is>
          <t>GM</t>
        </is>
      </c>
      <c r="E3020" s="3" t="n">
        <v>45</v>
      </c>
      <c r="F3020" s="4" t="n">
        <v>0.3</v>
      </c>
      <c r="G3020" s="5">
        <f>ROUND(E3020*(1+F3020),2)</f>
        <v>58.50</v>
      </c>
      <c r="H3020" s="5">
        <f>ROUND(G3020*NOTAS!$B$2,2)</f>
        <v>42198.72</v>
      </c>
      <c r="I3020" s="6">
        <f>ROUND(G3020*NOTAS!$B$3,0)</f>
        <v>190059</v>
      </c>
      <c r="J3020" s="2" t="n">
        <v>1</v>
      </c>
    </row>
    <row r="3021">
      <c r="A3021" s="2" t="inlineStr">
        <is>
          <t>CQKD-12L</t>
        </is>
      </c>
      <c r="B3021" s="2" t="inlineStr"/>
      <c r="C3021" s="2" t="inlineStr">
        <is>
          <t>MESETA DELANTERA INFERIOR IZQUIERDA AVEO</t>
        </is>
      </c>
      <c r="D3021" s="2" t="inlineStr">
        <is>
          <t>CTR</t>
        </is>
      </c>
      <c r="E3021" s="3" t="n">
        <v>40</v>
      </c>
      <c r="F3021" s="4" t="n">
        <v>0.3</v>
      </c>
      <c r="G3021" s="5">
        <f>ROUND(E3021*(1+F3021),2)</f>
        <v>52.00</v>
      </c>
      <c r="H3021" s="5">
        <f>ROUND(G3021*NOTAS!$B$2,2)</f>
        <v>37509.97</v>
      </c>
      <c r="I3021" s="6">
        <f>ROUND(G3021*NOTAS!$B$3,0)</f>
        <v>168941</v>
      </c>
      <c r="J3021" s="2" t="n">
        <v>2</v>
      </c>
    </row>
    <row r="3022">
      <c r="A3022" s="2" t="inlineStr">
        <is>
          <t>96535081</t>
        </is>
      </c>
      <c r="B3022" s="2" t="inlineStr"/>
      <c r="C3022" s="2" t="inlineStr">
        <is>
          <t>MESETA DELANTERA INFERIOR IZQUIERDA AVEO</t>
        </is>
      </c>
      <c r="D3022" s="2" t="inlineStr">
        <is>
          <t>GM</t>
        </is>
      </c>
      <c r="E3022" s="3" t="n">
        <v>30</v>
      </c>
      <c r="F3022" s="4" t="n">
        <v>0.3</v>
      </c>
      <c r="G3022" s="5">
        <f>ROUND(E3022*(1+F3022),2)</f>
        <v>39.00</v>
      </c>
      <c r="H3022" s="5">
        <f>ROUND(G3022*NOTAS!$B$2,2)</f>
        <v>28132.48</v>
      </c>
      <c r="I3022" s="6">
        <f>ROUND(G3022*NOTAS!$B$3,0)</f>
        <v>126706</v>
      </c>
      <c r="J3022" s="2" t="n">
        <v>1</v>
      </c>
    </row>
    <row r="3023">
      <c r="A3023" s="2" t="inlineStr">
        <is>
          <t>GM2007</t>
        </is>
      </c>
      <c r="B3023" s="2" t="inlineStr"/>
      <c r="C3023" s="2" t="inlineStr">
        <is>
          <t>MESETA DELANTERA INFERIOR IZQUIERDA CHEVETTE</t>
        </is>
      </c>
      <c r="D3023" s="2" t="inlineStr">
        <is>
          <t>GRAZZIMETAL</t>
        </is>
      </c>
      <c r="E3023" s="3" t="n">
        <v>35</v>
      </c>
      <c r="F3023" s="4" t="n">
        <v>0.3</v>
      </c>
      <c r="G3023" s="5">
        <f>ROUND(E3023*(1+F3023),2)</f>
        <v>45.50</v>
      </c>
      <c r="H3023" s="5">
        <f>ROUND(G3023*NOTAS!$B$2,2)</f>
        <v>32821.22</v>
      </c>
      <c r="I3023" s="6">
        <f>ROUND(G3023*NOTAS!$B$3,0)</f>
        <v>147824</v>
      </c>
      <c r="J3023" s="2" t="n">
        <v>9</v>
      </c>
    </row>
    <row r="3024">
      <c r="A3024" s="2" t="inlineStr">
        <is>
          <t>CQKD-2L</t>
        </is>
      </c>
      <c r="B3024" s="2" t="inlineStr"/>
      <c r="C3024" s="2" t="inlineStr">
        <is>
          <t>MESETA DELANTERA INFERIOR IZQUIERDA CIELO/LANOS</t>
        </is>
      </c>
      <c r="D3024" s="2" t="inlineStr">
        <is>
          <t>CTR</t>
        </is>
      </c>
      <c r="E3024" s="3" t="n">
        <v>35</v>
      </c>
      <c r="F3024" s="4" t="n">
        <v>0.3</v>
      </c>
      <c r="G3024" s="5">
        <f>ROUND(E3024*(1+F3024),2)</f>
        <v>45.50</v>
      </c>
      <c r="H3024" s="5">
        <f>ROUND(G3024*NOTAS!$B$2,2)</f>
        <v>32821.22</v>
      </c>
      <c r="I3024" s="6">
        <f>ROUND(G3024*NOTAS!$B$3,0)</f>
        <v>147824</v>
      </c>
      <c r="J3024" s="2" t="n">
        <v>1</v>
      </c>
    </row>
    <row r="3025">
      <c r="A3025" s="2" t="inlineStr">
        <is>
          <t>GM0131</t>
        </is>
      </c>
      <c r="B3025" s="2" t="inlineStr"/>
      <c r="C3025" s="2" t="inlineStr">
        <is>
          <t>MESETA DELANTERA INFERIOR IZQUIERDA CORSA 00/06</t>
        </is>
      </c>
      <c r="D3025" s="2" t="inlineStr">
        <is>
          <t>LUCAS VARITY</t>
        </is>
      </c>
      <c r="E3025" s="3" t="n">
        <v>26.9231</v>
      </c>
      <c r="F3025" s="4" t="n">
        <v>0.3</v>
      </c>
      <c r="G3025" s="5">
        <f>ROUND(E3025*(1+F3025),2)</f>
        <v>35.00</v>
      </c>
      <c r="H3025" s="5">
        <f>ROUND(G3025*NOTAS!$B$2,2)</f>
        <v>25247.10</v>
      </c>
      <c r="I3025" s="6">
        <f>ROUND(G3025*NOTAS!$B$3,0)</f>
        <v>113710</v>
      </c>
      <c r="J3025" s="2" t="n">
        <v>15</v>
      </c>
    </row>
    <row r="3026">
      <c r="A3026" s="2" t="inlineStr">
        <is>
          <t>92100960</t>
        </is>
      </c>
      <c r="B3026" s="2" t="inlineStr"/>
      <c r="C3026" s="2" t="inlineStr">
        <is>
          <t>MESETA DELANTERA INFERIOR IZQUIERDA CORSA 00/06</t>
        </is>
      </c>
      <c r="D3026" s="2" t="inlineStr">
        <is>
          <t>GM</t>
        </is>
      </c>
      <c r="E3026" s="3" t="n">
        <v>26.9231</v>
      </c>
      <c r="F3026" s="4" t="n">
        <v>0.3</v>
      </c>
      <c r="G3026" s="5">
        <f>ROUND(E3026*(1+F3026),2)</f>
        <v>35.00</v>
      </c>
      <c r="H3026" s="5">
        <f>ROUND(G3026*NOTAS!$B$2,2)</f>
        <v>25247.10</v>
      </c>
      <c r="I3026" s="6">
        <f>ROUND(G3026*NOTAS!$B$3,0)</f>
        <v>113710</v>
      </c>
      <c r="J3026" s="2" t="n">
        <v>4</v>
      </c>
    </row>
    <row r="3027">
      <c r="A3027" s="2" t="inlineStr">
        <is>
          <t>90445118</t>
        </is>
      </c>
      <c r="B3027" s="2" t="inlineStr"/>
      <c r="C3027" s="2" t="inlineStr">
        <is>
          <t>MESETA DELANTERA INFERIOR IZQUIERDA CORSA 96/99</t>
        </is>
      </c>
      <c r="D3027" s="2" t="inlineStr">
        <is>
          <t>REMIK</t>
        </is>
      </c>
      <c r="E3027" s="3" t="n">
        <v>26.9231</v>
      </c>
      <c r="F3027" s="4" t="n">
        <v>0.3</v>
      </c>
      <c r="G3027" s="5">
        <f>ROUND(E3027*(1+F3027),2)</f>
        <v>35.00</v>
      </c>
      <c r="H3027" s="5">
        <f>ROUND(G3027*NOTAS!$B$2,2)</f>
        <v>25247.10</v>
      </c>
      <c r="I3027" s="6">
        <f>ROUND(G3027*NOTAS!$B$3,0)</f>
        <v>113710</v>
      </c>
      <c r="J3027" s="2" t="n">
        <v>1</v>
      </c>
    </row>
    <row r="3028">
      <c r="A3028" s="2" t="inlineStr">
        <is>
          <t>FD0051</t>
        </is>
      </c>
      <c r="B3028" s="2" t="inlineStr"/>
      <c r="C3028" s="2" t="inlineStr">
        <is>
          <t>MESETA DELANTERA INFERIOR IZQUIERDA FIESTA 00/03</t>
        </is>
      </c>
      <c r="D3028" s="2" t="inlineStr">
        <is>
          <t>LUCAS VARITY</t>
        </is>
      </c>
      <c r="E3028" s="3" t="n">
        <v>25</v>
      </c>
      <c r="F3028" s="4" t="n">
        <v>0.3</v>
      </c>
      <c r="G3028" s="5">
        <f>ROUND(E3028*(1+F3028),2)</f>
        <v>32.50</v>
      </c>
      <c r="H3028" s="5">
        <f>ROUND(G3028*NOTAS!$B$2,2)</f>
        <v>23443.73</v>
      </c>
      <c r="I3028" s="6">
        <f>ROUND(G3028*NOTAS!$B$3,0)</f>
        <v>105588</v>
      </c>
      <c r="J3028" s="2" t="n">
        <v>2</v>
      </c>
    </row>
    <row r="3029">
      <c r="A3029" s="2" t="inlineStr">
        <is>
          <t>1212808</t>
        </is>
      </c>
      <c r="B3029" s="2" t="inlineStr"/>
      <c r="C3029" s="2" t="inlineStr">
        <is>
          <t>MESETA DELANTERA INFERIOR IZQUIERDA FIESTA/ECOSPORT</t>
        </is>
      </c>
      <c r="D3029" s="2" t="inlineStr">
        <is>
          <t>GKP</t>
        </is>
      </c>
      <c r="E3029" s="3" t="n">
        <v>26</v>
      </c>
      <c r="F3029" s="4" t="n">
        <v>0.3</v>
      </c>
      <c r="G3029" s="5">
        <f>ROUND(E3029*(1+F3029),2)</f>
        <v>33.80</v>
      </c>
      <c r="H3029" s="5">
        <f>ROUND(G3029*NOTAS!$B$2,2)</f>
        <v>24381.48</v>
      </c>
      <c r="I3029" s="6">
        <f>ROUND(G3029*NOTAS!$B$3,0)</f>
        <v>109812</v>
      </c>
      <c r="J3029" s="2" t="n">
        <v>2</v>
      </c>
    </row>
    <row r="3030">
      <c r="A3030" s="2" t="inlineStr">
        <is>
          <t>46454597</t>
        </is>
      </c>
      <c r="B3030" s="2" t="inlineStr"/>
      <c r="C3030" s="2" t="inlineStr">
        <is>
          <t>MESETA DELANTERA INFERIOR IZQUIERDA F-PALIO/SIENA</t>
        </is>
      </c>
      <c r="D3030" s="2" t="inlineStr">
        <is>
          <t>GKP</t>
        </is>
      </c>
      <c r="E3030" s="3" t="n">
        <v>26.51</v>
      </c>
      <c r="F3030" s="4" t="n">
        <v>0.3</v>
      </c>
      <c r="G3030" s="5">
        <f>ROUND(E3030*(1+F3030),2)</f>
        <v>34.46</v>
      </c>
      <c r="H3030" s="5">
        <f>ROUND(G3030*NOTAS!$B$2,2)</f>
        <v>24857.57</v>
      </c>
      <c r="I3030" s="6">
        <f>ROUND(G3030*NOTAS!$B$3,0)</f>
        <v>111956</v>
      </c>
      <c r="J3030" s="2" t="n">
        <v>1</v>
      </c>
    </row>
    <row r="3031">
      <c r="A3031" s="2" t="inlineStr">
        <is>
          <t>BJC03015</t>
        </is>
      </c>
      <c r="B3031" s="2" t="inlineStr"/>
      <c r="C3031" s="2" t="inlineStr">
        <is>
          <t>MESETA DELANTERA INFERIOR IZQUIERDA F-PALIO/SIENA</t>
        </is>
      </c>
      <c r="D3031" s="2" t="inlineStr">
        <is>
          <t>COFAP</t>
        </is>
      </c>
      <c r="E3031" s="3" t="n">
        <v>30</v>
      </c>
      <c r="F3031" s="4" t="n">
        <v>0.3</v>
      </c>
      <c r="G3031" s="5">
        <f>ROUND(E3031*(1+F3031),2)</f>
        <v>39.00</v>
      </c>
      <c r="H3031" s="5">
        <f>ROUND(G3031*NOTAS!$B$2,2)</f>
        <v>28132.48</v>
      </c>
      <c r="I3031" s="6">
        <f>ROUND(G3031*NOTAS!$B$3,0)</f>
        <v>126706</v>
      </c>
      <c r="J3031" s="2" t="n">
        <v>1</v>
      </c>
    </row>
    <row r="3032">
      <c r="A3032" s="2" t="inlineStr">
        <is>
          <t>FI0012</t>
        </is>
      </c>
      <c r="B3032" s="2" t="inlineStr"/>
      <c r="C3032" s="2" t="inlineStr">
        <is>
          <t xml:space="preserve">MESETA DELANTERA INFERIOR IZQUIERDA F-PALIO/SIENA </t>
        </is>
      </c>
      <c r="D3032" s="2" t="inlineStr">
        <is>
          <t>LUCAS VARITY</t>
        </is>
      </c>
      <c r="E3032" s="3" t="n">
        <v>24</v>
      </c>
      <c r="F3032" s="4" t="n">
        <v>0.3</v>
      </c>
      <c r="G3032" s="5">
        <f>ROUND(E3032*(1+F3032),2)</f>
        <v>31.20</v>
      </c>
      <c r="H3032" s="5">
        <f>ROUND(G3032*NOTAS!$B$2,2)</f>
        <v>22505.98</v>
      </c>
      <c r="I3032" s="6">
        <f>ROUND(G3032*NOTAS!$B$3,0)</f>
        <v>101365</v>
      </c>
      <c r="J3032" s="2" t="n">
        <v>1</v>
      </c>
    </row>
    <row r="3033">
      <c r="A3033" s="2" t="inlineStr">
        <is>
          <t>FI0091</t>
        </is>
      </c>
      <c r="B3033" s="2" t="inlineStr"/>
      <c r="C3033" s="2" t="inlineStr">
        <is>
          <t>MESETA DELANTERA INFERIOR IZQUIERDA F-PALIO/SIENA 1.3 16V FIRE</t>
        </is>
      </c>
      <c r="D3033" s="2" t="inlineStr">
        <is>
          <t>LUCAS VARITY</t>
        </is>
      </c>
      <c r="E3033" s="3" t="n">
        <v>30</v>
      </c>
      <c r="F3033" s="4" t="n">
        <v>0.3</v>
      </c>
      <c r="G3033" s="5">
        <f>ROUND(E3033*(1+F3033),2)</f>
        <v>39.00</v>
      </c>
      <c r="H3033" s="5">
        <f>ROUND(G3033*NOTAS!$B$2,2)</f>
        <v>28132.48</v>
      </c>
      <c r="I3033" s="6">
        <f>ROUND(G3033*NOTAS!$B$3,0)</f>
        <v>126706</v>
      </c>
      <c r="J3033" s="2" t="n">
        <v>1</v>
      </c>
    </row>
    <row r="3034">
      <c r="A3034" s="2" t="inlineStr">
        <is>
          <t>BR1606</t>
        </is>
      </c>
      <c r="B3034" s="2" t="inlineStr"/>
      <c r="C3034" s="2" t="inlineStr">
        <is>
          <t>MESETA DELANTERA INFERIOR IZQUIERDA F-PALIO/SIENA 1.3 16V FIRE</t>
        </is>
      </c>
      <c r="D3034" s="2" t="inlineStr">
        <is>
          <t>ORIGINAL BIRTH</t>
        </is>
      </c>
      <c r="E3034" s="3" t="n">
        <v>30</v>
      </c>
      <c r="F3034" s="4" t="n">
        <v>0.3</v>
      </c>
      <c r="G3034" s="5">
        <f>ROUND(E3034*(1+F3034),2)</f>
        <v>39.00</v>
      </c>
      <c r="H3034" s="5">
        <f>ROUND(G3034*NOTAS!$B$2,2)</f>
        <v>28132.48</v>
      </c>
      <c r="I3034" s="6">
        <f>ROUND(G3034*NOTAS!$B$3,0)</f>
        <v>126706</v>
      </c>
      <c r="J3034" s="2" t="n">
        <v>1</v>
      </c>
    </row>
    <row r="3035">
      <c r="A3035" s="2" t="inlineStr">
        <is>
          <t>46777742</t>
        </is>
      </c>
      <c r="B3035" s="2" t="inlineStr"/>
      <c r="C3035" s="2" t="inlineStr">
        <is>
          <t>MESETA DELANTERA INFERIOR IZQUIERDA F-PALIO/SIENA 1.3 16V FIRE</t>
        </is>
      </c>
      <c r="D3035" s="2" t="inlineStr">
        <is>
          <t>GKP</t>
        </is>
      </c>
      <c r="E3035" s="3" t="n">
        <v>27</v>
      </c>
      <c r="F3035" s="4" t="n">
        <v>0.3</v>
      </c>
      <c r="G3035" s="5">
        <f>ROUND(E3035*(1+F3035),2)</f>
        <v>35.10</v>
      </c>
      <c r="H3035" s="5">
        <f>ROUND(G3035*NOTAS!$B$2,2)</f>
        <v>25319.23</v>
      </c>
      <c r="I3035" s="6">
        <f>ROUND(G3035*NOTAS!$B$3,0)</f>
        <v>114035</v>
      </c>
      <c r="J3035" s="2" t="n">
        <v>2</v>
      </c>
    </row>
    <row r="3036">
      <c r="A3036" s="2" t="inlineStr">
        <is>
          <t>CQKD-13L</t>
        </is>
      </c>
      <c r="B3036" s="2" t="inlineStr"/>
      <c r="C3036" s="2" t="inlineStr">
        <is>
          <t>MESETA DELANTERA INFERIOR IZQUIERDA OPTRA</t>
        </is>
      </c>
      <c r="D3036" s="2" t="inlineStr">
        <is>
          <t>CTR</t>
        </is>
      </c>
      <c r="E3036" s="3" t="n">
        <v>30</v>
      </c>
      <c r="F3036" s="4" t="n">
        <v>0.3</v>
      </c>
      <c r="G3036" s="5">
        <f>ROUND(E3036*(1+F3036),2)</f>
        <v>39.00</v>
      </c>
      <c r="H3036" s="5">
        <f>ROUND(G3036*NOTAS!$B$2,2)</f>
        <v>28132.48</v>
      </c>
      <c r="I3036" s="6">
        <f>ROUND(G3036*NOTAS!$B$3,0)</f>
        <v>126706</v>
      </c>
      <c r="J3036" s="2" t="n">
        <v>1</v>
      </c>
    </row>
    <row r="3037">
      <c r="A3037" s="2" t="inlineStr">
        <is>
          <t>SNS7700831368</t>
        </is>
      </c>
      <c r="B3037" s="2" t="inlineStr"/>
      <c r="C3037" s="2" t="inlineStr">
        <is>
          <t xml:space="preserve">MESETA DELANTERA INFERIOR IZQUIERDA R-11 </t>
        </is>
      </c>
      <c r="D3037" s="2" t="inlineStr">
        <is>
          <t>KAPARS</t>
        </is>
      </c>
      <c r="E3037" s="3" t="n">
        <v>23.0769</v>
      </c>
      <c r="F3037" s="4" t="n">
        <v>0.3</v>
      </c>
      <c r="G3037" s="5">
        <f>ROUND(E3037*(1+F3037),2)</f>
        <v>30.00</v>
      </c>
      <c r="H3037" s="5">
        <f>ROUND(G3037*NOTAS!$B$2,2)</f>
        <v>21640.37</v>
      </c>
      <c r="I3037" s="6">
        <f>ROUND(G3037*NOTAS!$B$3,0)</f>
        <v>97466</v>
      </c>
      <c r="J3037" s="2" t="n">
        <v>2</v>
      </c>
    </row>
    <row r="3038">
      <c r="A3038" s="2" t="inlineStr"/>
      <c r="B3038" s="2" t="inlineStr"/>
      <c r="C3038" s="2" t="inlineStr">
        <is>
          <t>MESETA DELANTERA INFERIOR IZQUIERDA R-11 SIN MUNON</t>
        </is>
      </c>
      <c r="D3038" s="2" t="inlineStr">
        <is>
          <t>TEKNOROT</t>
        </is>
      </c>
      <c r="E3038" s="3" t="n">
        <v>19.2308</v>
      </c>
      <c r="F3038" s="4" t="n">
        <v>0.3</v>
      </c>
      <c r="G3038" s="5">
        <f>ROUND(E3038*(1+F3038),2)</f>
        <v>25.00</v>
      </c>
      <c r="H3038" s="5">
        <f>ROUND(G3038*NOTAS!$B$2,2)</f>
        <v>18033.64</v>
      </c>
      <c r="I3038" s="6">
        <f>ROUND(G3038*NOTAS!$B$3,0)</f>
        <v>81222</v>
      </c>
      <c r="J3038" s="2" t="n">
        <v>1</v>
      </c>
    </row>
    <row r="3039">
      <c r="A3039" s="2" t="inlineStr">
        <is>
          <t>R-526</t>
        </is>
      </c>
      <c r="B3039" s="2" t="inlineStr"/>
      <c r="C3039" s="2" t="inlineStr">
        <is>
          <t xml:space="preserve">MESETA DELANTERA INFERIOR IZQUIERDA R-19 </t>
        </is>
      </c>
      <c r="D3039" s="2" t="inlineStr">
        <is>
          <t>TEKNOROT</t>
        </is>
      </c>
      <c r="E3039" s="3" t="n">
        <v>23.0769</v>
      </c>
      <c r="F3039" s="4" t="n">
        <v>0.3</v>
      </c>
      <c r="G3039" s="5">
        <f>ROUND(E3039*(1+F3039),2)</f>
        <v>30.00</v>
      </c>
      <c r="H3039" s="5">
        <f>ROUND(G3039*NOTAS!$B$2,2)</f>
        <v>21640.37</v>
      </c>
      <c r="I3039" s="6">
        <f>ROUND(G3039*NOTAS!$B$3,0)</f>
        <v>97466</v>
      </c>
      <c r="J3039" s="2" t="n">
        <v>2</v>
      </c>
    </row>
    <row r="3040">
      <c r="A3040" s="2" t="inlineStr">
        <is>
          <t>7700831368</t>
        </is>
      </c>
      <c r="B3040" s="2" t="inlineStr"/>
      <c r="C3040" s="2" t="inlineStr">
        <is>
          <t xml:space="preserve">MESETA DELANTERA INFERIOR IZQUIERDA R-19 </t>
        </is>
      </c>
      <c r="D3040" s="2" t="inlineStr">
        <is>
          <t>KAPARS</t>
        </is>
      </c>
      <c r="E3040" s="3" t="n">
        <v>23.0769</v>
      </c>
      <c r="F3040" s="4" t="n">
        <v>0.3</v>
      </c>
      <c r="G3040" s="5">
        <f>ROUND(E3040*(1+F3040),2)</f>
        <v>30.00</v>
      </c>
      <c r="H3040" s="5">
        <f>ROUND(G3040*NOTAS!$B$2,2)</f>
        <v>21640.37</v>
      </c>
      <c r="I3040" s="6">
        <f>ROUND(G3040*NOTAS!$B$3,0)</f>
        <v>97466</v>
      </c>
      <c r="J3040" s="2" t="n">
        <v>3</v>
      </c>
    </row>
    <row r="3041">
      <c r="A3041" s="2" t="inlineStr">
        <is>
          <t>R-526S</t>
        </is>
      </c>
      <c r="B3041" s="2" t="inlineStr"/>
      <c r="C3041" s="2" t="inlineStr">
        <is>
          <t>MESETA DELANTERA INFERIOR IZQUIERDA R-19 SIN MUNON</t>
        </is>
      </c>
      <c r="D3041" s="2" t="inlineStr">
        <is>
          <t>TEKNOROT</t>
        </is>
      </c>
      <c r="E3041" s="3" t="n">
        <v>19.2308</v>
      </c>
      <c r="F3041" s="4" t="n">
        <v>0.3</v>
      </c>
      <c r="G3041" s="5">
        <f>ROUND(E3041*(1+F3041),2)</f>
        <v>25.00</v>
      </c>
      <c r="H3041" s="5">
        <f>ROUND(G3041*NOTAS!$B$2,2)</f>
        <v>18033.64</v>
      </c>
      <c r="I3041" s="6">
        <f>ROUND(G3041*NOTAS!$B$3,0)</f>
        <v>81222</v>
      </c>
      <c r="J3041" s="2" t="n">
        <v>2</v>
      </c>
    </row>
    <row r="3042">
      <c r="A3042" s="2" t="inlineStr"/>
      <c r="B3042" s="2" t="inlineStr"/>
      <c r="C3042" s="2" t="inlineStr">
        <is>
          <t>MESETA DELANTERA INFERIOR IZQUIERDA R-CLIO …/99</t>
        </is>
      </c>
      <c r="D3042" s="2" t="inlineStr"/>
      <c r="E3042" s="3" t="n">
        <v>24.6154</v>
      </c>
      <c r="F3042" s="4" t="n">
        <v>0.3</v>
      </c>
      <c r="G3042" s="5">
        <f>ROUND(E3042*(1+F3042),2)</f>
        <v>32.00</v>
      </c>
      <c r="H3042" s="5">
        <f>ROUND(G3042*NOTAS!$B$2,2)</f>
        <v>23083.06</v>
      </c>
      <c r="I3042" s="6">
        <f>ROUND(G3042*NOTAS!$B$3,0)</f>
        <v>103964</v>
      </c>
      <c r="J3042" s="2" t="n">
        <v>1</v>
      </c>
    </row>
    <row r="3043">
      <c r="A3043" s="2" t="inlineStr">
        <is>
          <t>SNS6001547520</t>
        </is>
      </c>
      <c r="B3043" s="2" t="inlineStr"/>
      <c r="C3043" s="2" t="inlineStr">
        <is>
          <t>MESETA DELANTERA INFERIOR IZQUIERDA R-LOGAN</t>
        </is>
      </c>
      <c r="D3043" s="2" t="inlineStr">
        <is>
          <t>KAPARS</t>
        </is>
      </c>
      <c r="E3043" s="3" t="n">
        <v>28</v>
      </c>
      <c r="F3043" s="4" t="n">
        <v>0.3</v>
      </c>
      <c r="G3043" s="5">
        <f>ROUND(E3043*(1+F3043),2)</f>
        <v>36.40</v>
      </c>
      <c r="H3043" s="5">
        <f>ROUND(G3043*NOTAS!$B$2,2)</f>
        <v>26256.98</v>
      </c>
      <c r="I3043" s="6">
        <f>ROUND(G3043*NOTAS!$B$3,0)</f>
        <v>118259</v>
      </c>
      <c r="J3043" s="2" t="n">
        <v>2</v>
      </c>
    </row>
    <row r="3044">
      <c r="A3044" s="2" t="inlineStr">
        <is>
          <t>RE0064</t>
        </is>
      </c>
      <c r="B3044" s="2" t="inlineStr"/>
      <c r="C3044" s="2" t="inlineStr">
        <is>
          <t>MESETA DELANTERA INFERIOR IZQUIERDA R-LOGAN</t>
        </is>
      </c>
      <c r="D3044" s="2" t="inlineStr">
        <is>
          <t>LUCAS VARITY</t>
        </is>
      </c>
      <c r="E3044" s="3" t="n">
        <v>23</v>
      </c>
      <c r="F3044" s="4" t="n">
        <v>0.3</v>
      </c>
      <c r="G3044" s="5">
        <f>ROUND(E3044*(1+F3044),2)</f>
        <v>29.90</v>
      </c>
      <c r="H3044" s="5">
        <f>ROUND(G3044*NOTAS!$B$2,2)</f>
        <v>21568.23</v>
      </c>
      <c r="I3044" s="6">
        <f>ROUND(G3044*NOTAS!$B$3,0)</f>
        <v>97141</v>
      </c>
      <c r="J3044" s="2" t="n">
        <v>3</v>
      </c>
    </row>
    <row r="3045">
      <c r="A3045" s="2" t="inlineStr">
        <is>
          <t>7700425227</t>
        </is>
      </c>
      <c r="B3045" s="2" t="inlineStr"/>
      <c r="C3045" s="2" t="inlineStr">
        <is>
          <t xml:space="preserve">MESETA DELANTERA INFERIOR IZQUIERDA R-SYMBOL </t>
        </is>
      </c>
      <c r="D3045" s="2" t="inlineStr">
        <is>
          <t>GKP</t>
        </is>
      </c>
      <c r="E3045" s="3" t="n">
        <v>25</v>
      </c>
      <c r="F3045" s="4" t="n">
        <v>0.3</v>
      </c>
      <c r="G3045" s="5">
        <f>ROUND(E3045*(1+F3045),2)</f>
        <v>32.50</v>
      </c>
      <c r="H3045" s="5">
        <f>ROUND(G3045*NOTAS!$B$2,2)</f>
        <v>23443.73</v>
      </c>
      <c r="I3045" s="6">
        <f>ROUND(G3045*NOTAS!$B$3,0)</f>
        <v>105588</v>
      </c>
      <c r="J3045" s="2" t="n">
        <v>2</v>
      </c>
    </row>
    <row r="3046">
      <c r="A3046" s="2" t="inlineStr"/>
      <c r="B3046" s="2" t="inlineStr"/>
      <c r="C3046" s="2" t="inlineStr">
        <is>
          <t>MESETA DELANTERA INFERIOR IZQUIERDA R-SYMBOL SIN MUNON</t>
        </is>
      </c>
      <c r="D3046" s="2" t="inlineStr"/>
      <c r="E3046" s="3" t="n">
        <v>15</v>
      </c>
      <c r="F3046" s="4" t="n">
        <v>0.3</v>
      </c>
      <c r="G3046" s="5">
        <f>ROUND(E3046*(1+F3046),2)</f>
        <v>19.50</v>
      </c>
      <c r="H3046" s="5">
        <f>ROUND(G3046*NOTAS!$B$2,2)</f>
        <v>14066.24</v>
      </c>
      <c r="I3046" s="6">
        <f>ROUND(G3046*NOTAS!$B$3,0)</f>
        <v>63353</v>
      </c>
      <c r="J3046" s="2" t="n">
        <v>10</v>
      </c>
    </row>
    <row r="3047">
      <c r="A3047" s="2" t="inlineStr">
        <is>
          <t>7700820028</t>
        </is>
      </c>
      <c r="B3047" s="2" t="inlineStr"/>
      <c r="C3047" s="2" t="inlineStr">
        <is>
          <t>MESETA DELANTERA INFERIOR IZQUIERDA R-TWINGO</t>
        </is>
      </c>
      <c r="D3047" s="2" t="inlineStr">
        <is>
          <t>KAPARS</t>
        </is>
      </c>
      <c r="E3047" s="3" t="n">
        <v>25</v>
      </c>
      <c r="F3047" s="4" t="n">
        <v>0.3</v>
      </c>
      <c r="G3047" s="5">
        <f>ROUND(E3047*(1+F3047),2)</f>
        <v>32.50</v>
      </c>
      <c r="H3047" s="5">
        <f>ROUND(G3047*NOTAS!$B$2,2)</f>
        <v>23443.73</v>
      </c>
      <c r="I3047" s="6">
        <f>ROUND(G3047*NOTAS!$B$3,0)</f>
        <v>105588</v>
      </c>
      <c r="J3047" s="2" t="n">
        <v>1</v>
      </c>
    </row>
    <row r="3048">
      <c r="A3048" s="2" t="inlineStr"/>
      <c r="B3048" s="2" t="inlineStr"/>
      <c r="C3048" s="2" t="inlineStr">
        <is>
          <t>MESETA DELANTERA INFERIOR IZQUIERDA R-TWINGO</t>
        </is>
      </c>
      <c r="D3048" s="2" t="inlineStr">
        <is>
          <t>CCP</t>
        </is>
      </c>
      <c r="E3048" s="3" t="n">
        <v>25</v>
      </c>
      <c r="F3048" s="4" t="n">
        <v>0.3</v>
      </c>
      <c r="G3048" s="5">
        <f>ROUND(E3048*(1+F3048),2)</f>
        <v>32.50</v>
      </c>
      <c r="H3048" s="5">
        <f>ROUND(G3048*NOTAS!$B$2,2)</f>
        <v>23443.73</v>
      </c>
      <c r="I3048" s="6">
        <f>ROUND(G3048*NOTAS!$B$3,0)</f>
        <v>105588</v>
      </c>
      <c r="J3048" s="2" t="n">
        <v>2</v>
      </c>
    </row>
    <row r="3049">
      <c r="A3049" s="2" t="inlineStr"/>
      <c r="B3049" s="2" t="inlineStr"/>
      <c r="C3049" s="2" t="inlineStr">
        <is>
          <t xml:space="preserve">MESETA DELANTERA INFERIOR R-12/18 1.6 </t>
        </is>
      </c>
      <c r="D3049" s="2" t="inlineStr"/>
      <c r="E3049" s="3" t="n">
        <v>15</v>
      </c>
      <c r="F3049" s="4" t="n">
        <v>0.3</v>
      </c>
      <c r="G3049" s="5">
        <f>ROUND(E3049*(1+F3049),2)</f>
        <v>19.50</v>
      </c>
      <c r="H3049" s="5">
        <f>ROUND(G3049*NOTAS!$B$2,2)</f>
        <v>14066.24</v>
      </c>
      <c r="I3049" s="6">
        <f>ROUND(G3049*NOTAS!$B$3,0)</f>
        <v>63353</v>
      </c>
      <c r="J3049" s="2" t="n">
        <v>1</v>
      </c>
    </row>
    <row r="3050">
      <c r="A3050" s="2" t="inlineStr">
        <is>
          <t>R-325S</t>
        </is>
      </c>
      <c r="B3050" s="2" t="inlineStr"/>
      <c r="C3050" s="2" t="inlineStr">
        <is>
          <t xml:space="preserve">MESETA DELANTERA INFERIOR R-12/18 1.6 SIN MUNOM </t>
        </is>
      </c>
      <c r="D3050" s="2" t="inlineStr">
        <is>
          <t>TEKNOROT</t>
        </is>
      </c>
      <c r="E3050" s="3" t="n">
        <v>10</v>
      </c>
      <c r="F3050" s="4" t="n">
        <v>0.3</v>
      </c>
      <c r="G3050" s="5">
        <f>ROUND(E3050*(1+F3050),2)</f>
        <v>13.00</v>
      </c>
      <c r="H3050" s="5">
        <f>ROUND(G3050*NOTAS!$B$2,2)</f>
        <v>9377.49</v>
      </c>
      <c r="I3050" s="6">
        <f>ROUND(G3050*NOTAS!$B$3,0)</f>
        <v>42235</v>
      </c>
      <c r="J3050" s="2" t="n">
        <v>1</v>
      </c>
    </row>
    <row r="3051">
      <c r="A3051" s="2" t="inlineStr">
        <is>
          <t>BJC04106</t>
        </is>
      </c>
      <c r="B3051" s="2" t="inlineStr"/>
      <c r="C3051" s="2" t="inlineStr">
        <is>
          <t>MESETA DELANTERA SUPERIOR DERECHA CHEVETTE</t>
        </is>
      </c>
      <c r="D3051" s="2" t="inlineStr">
        <is>
          <t>COFAP</t>
        </is>
      </c>
      <c r="E3051" s="3" t="n">
        <v>20</v>
      </c>
      <c r="F3051" s="4" t="n">
        <v>0.3</v>
      </c>
      <c r="G3051" s="5">
        <f>ROUND(E3051*(1+F3051),2)</f>
        <v>26.00</v>
      </c>
      <c r="H3051" s="5">
        <f>ROUND(G3051*NOTAS!$B$2,2)</f>
        <v>18754.99</v>
      </c>
      <c r="I3051" s="6">
        <f>ROUND(G3051*NOTAS!$B$3,0)</f>
        <v>84471</v>
      </c>
      <c r="J3051" s="2" t="n">
        <v>8</v>
      </c>
    </row>
    <row r="3052">
      <c r="A3052" s="2" t="inlineStr">
        <is>
          <t>BJC04104</t>
        </is>
      </c>
      <c r="B3052" s="2" t="inlineStr"/>
      <c r="C3052" s="2" t="inlineStr">
        <is>
          <t>MESETA DELANTERA SUPERIOR IZQUIERDA CHEVETTE</t>
        </is>
      </c>
      <c r="D3052" s="2" t="inlineStr">
        <is>
          <t>COFAP</t>
        </is>
      </c>
      <c r="E3052" s="3" t="n">
        <v>20</v>
      </c>
      <c r="F3052" s="4" t="n">
        <v>0.3</v>
      </c>
      <c r="G3052" s="5">
        <f>ROUND(E3052*(1+F3052),2)</f>
        <v>26.00</v>
      </c>
      <c r="H3052" s="5">
        <f>ROUND(G3052*NOTAS!$B$2,2)</f>
        <v>18754.99</v>
      </c>
      <c r="I3052" s="6">
        <f>ROUND(G3052*NOTAS!$B$3,0)</f>
        <v>84471</v>
      </c>
      <c r="J3052" s="2" t="n">
        <v>3</v>
      </c>
    </row>
    <row r="3053">
      <c r="A3053" s="2" t="inlineStr"/>
      <c r="B3053" s="2" t="inlineStr"/>
      <c r="C3053" s="2" t="inlineStr">
        <is>
          <t>MESETA DELANTERA SUPERIOR IZQUIERDA CHEVETTE</t>
        </is>
      </c>
      <c r="D3053" s="2" t="inlineStr">
        <is>
          <t>BRAZIL</t>
        </is>
      </c>
      <c r="E3053" s="3" t="n">
        <v>20</v>
      </c>
      <c r="F3053" s="4" t="n">
        <v>0.3</v>
      </c>
      <c r="G3053" s="5">
        <f>ROUND(E3053*(1+F3053),2)</f>
        <v>26.00</v>
      </c>
      <c r="H3053" s="5">
        <f>ROUND(G3053*NOTAS!$B$2,2)</f>
        <v>18754.99</v>
      </c>
      <c r="I3053" s="6">
        <f>ROUND(G3053*NOTAS!$B$3,0)</f>
        <v>84471</v>
      </c>
      <c r="J3053" s="2" t="n">
        <v>1</v>
      </c>
    </row>
    <row r="3054">
      <c r="A3054" s="2" t="inlineStr"/>
      <c r="B3054" s="2" t="inlineStr"/>
      <c r="C3054" s="2" t="inlineStr">
        <is>
          <t xml:space="preserve">MESETA DELANTERA SUPERIOR R-12/18 1.6 </t>
        </is>
      </c>
      <c r="D3054" s="2" t="inlineStr"/>
      <c r="E3054" s="3" t="n">
        <v>12</v>
      </c>
      <c r="F3054" s="4" t="n">
        <v>0.3</v>
      </c>
      <c r="G3054" s="5">
        <f>ROUND(E3054*(1+F3054),2)</f>
        <v>15.60</v>
      </c>
      <c r="H3054" s="5">
        <f>ROUND(G3054*NOTAS!$B$2,2)</f>
        <v>11252.99</v>
      </c>
      <c r="I3054" s="6">
        <f>ROUND(G3054*NOTAS!$B$3,0)</f>
        <v>50682</v>
      </c>
      <c r="J3054" s="2" t="n">
        <v>1</v>
      </c>
    </row>
    <row r="3055">
      <c r="A3055" s="2" t="inlineStr">
        <is>
          <t>R-326S</t>
        </is>
      </c>
      <c r="B3055" s="2" t="inlineStr"/>
      <c r="C3055" s="2" t="inlineStr">
        <is>
          <t>MESETA DELANTERA SUPERIOR R-12/18 1.6 SIN MUNON</t>
        </is>
      </c>
      <c r="D3055" s="2" t="inlineStr">
        <is>
          <t>TEKNOROT</t>
        </is>
      </c>
      <c r="E3055" s="3" t="n">
        <v>10</v>
      </c>
      <c r="F3055" s="4" t="n">
        <v>0.3</v>
      </c>
      <c r="G3055" s="5">
        <f>ROUND(E3055*(1+F3055),2)</f>
        <v>13.00</v>
      </c>
      <c r="H3055" s="5">
        <f>ROUND(G3055*NOTAS!$B$2,2)</f>
        <v>9377.49</v>
      </c>
      <c r="I3055" s="6">
        <f>ROUND(G3055*NOTAS!$B$3,0)</f>
        <v>42235</v>
      </c>
      <c r="J3055" s="2" t="n">
        <v>4</v>
      </c>
    </row>
    <row r="3056">
      <c r="A3056" s="2" t="inlineStr"/>
      <c r="B3056" s="2" t="inlineStr"/>
      <c r="C3056" s="2" t="inlineStr">
        <is>
          <t>MESETA DELANTERA SUPERIOR R-18 2.0/FUEGO SIN MUNON</t>
        </is>
      </c>
      <c r="D3056" s="2" t="inlineStr"/>
      <c r="E3056" s="3" t="n">
        <v>10</v>
      </c>
      <c r="F3056" s="4" t="n">
        <v>0.3</v>
      </c>
      <c r="G3056" s="5">
        <f>ROUND(E3056*(1+F3056),2)</f>
        <v>13.00</v>
      </c>
      <c r="H3056" s="5">
        <f>ROUND(G3056*NOTAS!$B$2,2)</f>
        <v>9377.49</v>
      </c>
      <c r="I3056" s="6">
        <f>ROUND(G3056*NOTAS!$B$3,0)</f>
        <v>42235</v>
      </c>
      <c r="J3056" s="2" t="n">
        <v>1</v>
      </c>
    </row>
    <row r="3057">
      <c r="A3057" s="2" t="inlineStr">
        <is>
          <t>FI0218</t>
        </is>
      </c>
      <c r="B3057" s="2" t="inlineStr"/>
      <c r="C3057" s="2" t="inlineStr">
        <is>
          <t>MESETA TRASERA F-UNO</t>
        </is>
      </c>
      <c r="D3057" s="2" t="inlineStr">
        <is>
          <t>LUCAS VARITY</t>
        </is>
      </c>
      <c r="E3057" s="3" t="n">
        <v>25</v>
      </c>
      <c r="F3057" s="4" t="n">
        <v>0.3</v>
      </c>
      <c r="G3057" s="5">
        <f>ROUND(E3057*(1+F3057),2)</f>
        <v>32.50</v>
      </c>
      <c r="H3057" s="5">
        <f>ROUND(G3057*NOTAS!$B$2,2)</f>
        <v>23443.73</v>
      </c>
      <c r="I3057" s="6">
        <f>ROUND(G3057*NOTAS!$B$3,0)</f>
        <v>105588</v>
      </c>
      <c r="J3057" s="2" t="n">
        <v>5</v>
      </c>
    </row>
    <row r="3058">
      <c r="A3058" s="2" t="inlineStr"/>
      <c r="B3058" s="2" t="inlineStr"/>
      <c r="C3058" s="2" t="inlineStr">
        <is>
          <t>MICA COCUYO CRUCE DERECHO F-SPAZIO/TUCAN</t>
        </is>
      </c>
      <c r="D3058" s="2" t="inlineStr">
        <is>
          <t>BRAZIL</t>
        </is>
      </c>
      <c r="E3058" s="3" t="n">
        <v>9.2308</v>
      </c>
      <c r="F3058" s="4" t="n">
        <v>0.3</v>
      </c>
      <c r="G3058" s="5">
        <f>ROUND(E3058*(1+F3058),2)</f>
        <v>12.00</v>
      </c>
      <c r="H3058" s="5">
        <f>ROUND(G3058*NOTAS!$B$2,2)</f>
        <v>8656.15</v>
      </c>
      <c r="I3058" s="6">
        <f>ROUND(G3058*NOTAS!$B$3,0)</f>
        <v>38986</v>
      </c>
      <c r="J3058" s="2" t="n">
        <v>1</v>
      </c>
    </row>
    <row r="3059">
      <c r="A3059" s="2" t="inlineStr"/>
      <c r="B3059" s="2" t="inlineStr"/>
      <c r="C3059" s="2" t="inlineStr">
        <is>
          <t>MICA STOP DERECHO CRUCE AMARILLO  F-147</t>
        </is>
      </c>
      <c r="D3059" s="2" t="inlineStr">
        <is>
          <t>BRAZIL</t>
        </is>
      </c>
      <c r="E3059" s="3" t="n">
        <v>9.2308</v>
      </c>
      <c r="F3059" s="4" t="n">
        <v>0.3</v>
      </c>
      <c r="G3059" s="5">
        <f>ROUND(E3059*(1+F3059),2)</f>
        <v>12.00</v>
      </c>
      <c r="H3059" s="5">
        <f>ROUND(G3059*NOTAS!$B$2,2)</f>
        <v>8656.15</v>
      </c>
      <c r="I3059" s="6">
        <f>ROUND(G3059*NOTAS!$B$3,0)</f>
        <v>38986</v>
      </c>
      <c r="J3059" s="2" t="n">
        <v>2</v>
      </c>
    </row>
    <row r="3060">
      <c r="A3060" s="2" t="inlineStr">
        <is>
          <t>7.1125.01</t>
        </is>
      </c>
      <c r="B3060" s="2" t="inlineStr"/>
      <c r="C3060" s="2" t="inlineStr">
        <is>
          <t>MICA STOP DERECHO F-UNO AMARILLO</t>
        </is>
      </c>
      <c r="D3060" s="2" t="inlineStr">
        <is>
          <t>GODKS</t>
        </is>
      </c>
      <c r="E3060" s="3" t="n">
        <v>11.5385</v>
      </c>
      <c r="F3060" s="4" t="n">
        <v>0.3</v>
      </c>
      <c r="G3060" s="5">
        <f>ROUND(E3060*(1+F3060),2)</f>
        <v>15.00</v>
      </c>
      <c r="H3060" s="5">
        <f>ROUND(G3060*NOTAS!$B$2,2)</f>
        <v>10820.18</v>
      </c>
      <c r="I3060" s="6">
        <f>ROUND(G3060*NOTAS!$B$3,0)</f>
        <v>48733</v>
      </c>
      <c r="J3060" s="2" t="n">
        <v>2</v>
      </c>
    </row>
    <row r="3061">
      <c r="A3061" s="2" t="inlineStr">
        <is>
          <t>260084</t>
        </is>
      </c>
      <c r="B3061" s="2" t="inlineStr"/>
      <c r="C3061" s="2" t="inlineStr">
        <is>
          <t>MICA STOP DERECHO F-UNO FUME</t>
        </is>
      </c>
      <c r="D3061" s="2" t="inlineStr">
        <is>
          <t>ARTEB</t>
        </is>
      </c>
      <c r="E3061" s="3" t="n">
        <v>11.5385</v>
      </c>
      <c r="F3061" s="4" t="n">
        <v>0.3</v>
      </c>
      <c r="G3061" s="5">
        <f>ROUND(E3061*(1+F3061),2)</f>
        <v>15.00</v>
      </c>
      <c r="H3061" s="5">
        <f>ROUND(G3061*NOTAS!$B$2,2)</f>
        <v>10820.18</v>
      </c>
      <c r="I3061" s="6">
        <f>ROUND(G3061*NOTAS!$B$3,0)</f>
        <v>48733</v>
      </c>
      <c r="J3061" s="2" t="n">
        <v>1</v>
      </c>
    </row>
    <row r="3062">
      <c r="A3062" s="2" t="inlineStr"/>
      <c r="B3062" s="2" t="inlineStr"/>
      <c r="C3062" s="2" t="inlineStr">
        <is>
          <t>MICA STOP DERECHO RETROCESO   F-147</t>
        </is>
      </c>
      <c r="D3062" s="2" t="inlineStr">
        <is>
          <t>BRAZIL</t>
        </is>
      </c>
      <c r="E3062" s="3" t="n">
        <v>9.2308</v>
      </c>
      <c r="F3062" s="4" t="n">
        <v>0.3</v>
      </c>
      <c r="G3062" s="5">
        <f>ROUND(E3062*(1+F3062),2)</f>
        <v>12.00</v>
      </c>
      <c r="H3062" s="5">
        <f>ROUND(G3062*NOTAS!$B$2,2)</f>
        <v>8656.15</v>
      </c>
      <c r="I3062" s="6">
        <f>ROUND(G3062*NOTAS!$B$3,0)</f>
        <v>38986</v>
      </c>
      <c r="J3062" s="2" t="n">
        <v>3</v>
      </c>
    </row>
    <row r="3063">
      <c r="A3063" s="2" t="inlineStr"/>
      <c r="B3063" s="2" t="inlineStr"/>
      <c r="C3063" s="2" t="inlineStr">
        <is>
          <t>MICA STOP IZQUIERDO CRUCE AMARILLO  F-147</t>
        </is>
      </c>
      <c r="D3063" s="2" t="inlineStr">
        <is>
          <t>BRAZIL</t>
        </is>
      </c>
      <c r="E3063" s="3" t="n">
        <v>9.2308</v>
      </c>
      <c r="F3063" s="4" t="n">
        <v>0.3</v>
      </c>
      <c r="G3063" s="5">
        <f>ROUND(E3063*(1+F3063),2)</f>
        <v>12.00</v>
      </c>
      <c r="H3063" s="5">
        <f>ROUND(G3063*NOTAS!$B$2,2)</f>
        <v>8656.15</v>
      </c>
      <c r="I3063" s="6">
        <f>ROUND(G3063*NOTAS!$B$3,0)</f>
        <v>38986</v>
      </c>
      <c r="J3063" s="2" t="n">
        <v>2</v>
      </c>
    </row>
    <row r="3064">
      <c r="A3064" s="2" t="inlineStr"/>
      <c r="B3064" s="2" t="inlineStr"/>
      <c r="C3064" s="2" t="inlineStr">
        <is>
          <t>MICA STOP IZQUIERDO RETROCESO   F-147</t>
        </is>
      </c>
      <c r="D3064" s="2" t="inlineStr">
        <is>
          <t>BRAZIL</t>
        </is>
      </c>
      <c r="E3064" s="3" t="n">
        <v>9.2308</v>
      </c>
      <c r="F3064" s="4" t="n">
        <v>0.3</v>
      </c>
      <c r="G3064" s="5">
        <f>ROUND(E3064*(1+F3064),2)</f>
        <v>12.00</v>
      </c>
      <c r="H3064" s="5">
        <f>ROUND(G3064*NOTAS!$B$2,2)</f>
        <v>8656.15</v>
      </c>
      <c r="I3064" s="6">
        <f>ROUND(G3064*NOTAS!$B$3,0)</f>
        <v>38986</v>
      </c>
      <c r="J3064" s="2" t="n">
        <v>1</v>
      </c>
    </row>
    <row r="3065">
      <c r="A3065" s="2" t="inlineStr">
        <is>
          <t>96180483</t>
        </is>
      </c>
      <c r="B3065" s="2" t="inlineStr"/>
      <c r="C3065" s="2" t="inlineStr">
        <is>
          <t>MODULO BOMBA GASOLINA COMPLETA CIELO TAPA METAL</t>
        </is>
      </c>
      <c r="D3065" s="2" t="inlineStr">
        <is>
          <t>KOREA</t>
        </is>
      </c>
      <c r="E3065" s="3" t="n">
        <v>25</v>
      </c>
      <c r="F3065" s="4" t="n">
        <v>0.3</v>
      </c>
      <c r="G3065" s="5">
        <f>ROUND(E3065*(1+F3065),2)</f>
        <v>32.50</v>
      </c>
      <c r="H3065" s="5">
        <f>ROUND(G3065*NOTAS!$B$2,2)</f>
        <v>23443.73</v>
      </c>
      <c r="I3065" s="6">
        <f>ROUND(G3065*NOTAS!$B$3,0)</f>
        <v>105588</v>
      </c>
      <c r="J3065" s="2" t="n">
        <v>3</v>
      </c>
    </row>
    <row r="3066">
      <c r="A3066" s="2" t="inlineStr">
        <is>
          <t>90325950</t>
        </is>
      </c>
      <c r="B3066" s="2" t="inlineStr"/>
      <c r="C3066" s="2" t="inlineStr">
        <is>
          <t>MODULO BOMBA GASOLINA COMPLETA CIELO TAPA METAL</t>
        </is>
      </c>
      <c r="D3066" s="2" t="inlineStr">
        <is>
          <t>AP KOREA</t>
        </is>
      </c>
      <c r="E3066" s="3" t="n">
        <v>25</v>
      </c>
      <c r="F3066" s="4" t="n">
        <v>0.3</v>
      </c>
      <c r="G3066" s="5">
        <f>ROUND(E3066*(1+F3066),2)</f>
        <v>32.50</v>
      </c>
      <c r="H3066" s="5">
        <f>ROUND(G3066*NOTAS!$B$2,2)</f>
        <v>23443.73</v>
      </c>
      <c r="I3066" s="6">
        <f>ROUND(G3066*NOTAS!$B$3,0)</f>
        <v>105588</v>
      </c>
      <c r="J3066" s="2" t="n">
        <v>1</v>
      </c>
    </row>
    <row r="3067">
      <c r="A3067" s="2" t="inlineStr">
        <is>
          <t>F000TE1055</t>
        </is>
      </c>
      <c r="B3067" s="2" t="inlineStr"/>
      <c r="C3067" s="2" t="inlineStr">
        <is>
          <t>MODULO BOMBA GASOLINA COMPLETA CORSA</t>
        </is>
      </c>
      <c r="D3067" s="2" t="inlineStr">
        <is>
          <t>BOSCH</t>
        </is>
      </c>
      <c r="E3067" s="3" t="n">
        <v>57.6923</v>
      </c>
      <c r="F3067" s="4" t="n">
        <v>0.3</v>
      </c>
      <c r="G3067" s="5">
        <f>ROUND(E3067*(1+F3067),2)</f>
        <v>75.00</v>
      </c>
      <c r="H3067" s="5">
        <f>ROUND(G3067*NOTAS!$B$2,2)</f>
        <v>54100.92</v>
      </c>
      <c r="I3067" s="6">
        <f>ROUND(G3067*NOTAS!$B$3,0)</f>
        <v>243665</v>
      </c>
      <c r="J3067" s="2" t="n">
        <v>10</v>
      </c>
    </row>
    <row r="3068">
      <c r="A3068" s="2" t="inlineStr">
        <is>
          <t>228234055R</t>
        </is>
      </c>
      <c r="B3068" s="2" t="inlineStr"/>
      <c r="C3068" s="2" t="inlineStr">
        <is>
          <t>MODULO BOMBA GASOLINA COMPLETA CORSA</t>
        </is>
      </c>
      <c r="D3068" s="2" t="inlineStr">
        <is>
          <t>VDO</t>
        </is>
      </c>
      <c r="E3068" s="3" t="n">
        <v>57.6923</v>
      </c>
      <c r="F3068" s="4" t="n">
        <v>0.3</v>
      </c>
      <c r="G3068" s="5">
        <f>ROUND(E3068*(1+F3068),2)</f>
        <v>75.00</v>
      </c>
      <c r="H3068" s="5">
        <f>ROUND(G3068*NOTAS!$B$2,2)</f>
        <v>54100.92</v>
      </c>
      <c r="I3068" s="6">
        <f>ROUND(G3068*NOTAS!$B$3,0)</f>
        <v>243665</v>
      </c>
      <c r="J3068" s="2" t="n">
        <v>2</v>
      </c>
    </row>
    <row r="3069">
      <c r="A3069" s="2" t="inlineStr">
        <is>
          <t>MAM00097</t>
        </is>
      </c>
      <c r="B3069" s="2" t="inlineStr"/>
      <c r="C3069" s="2" t="inlineStr">
        <is>
          <t>MODULO BOMBA GASOLINA COMPLETA F-UNO INY/PALIO SIENA 1.3 MPI</t>
        </is>
      </c>
      <c r="D3069" s="2" t="inlineStr">
        <is>
          <t>MAGNETI MARELLI</t>
        </is>
      </c>
      <c r="E3069" s="3" t="n">
        <v>53.8462</v>
      </c>
      <c r="F3069" s="4" t="n">
        <v>0.3</v>
      </c>
      <c r="G3069" s="5">
        <f>ROUND(E3069*(1+F3069),2)</f>
        <v>70.00</v>
      </c>
      <c r="H3069" s="5">
        <f>ROUND(G3069*NOTAS!$B$2,2)</f>
        <v>50494.19</v>
      </c>
      <c r="I3069" s="6">
        <f>ROUND(G3069*NOTAS!$B$3,0)</f>
        <v>227421</v>
      </c>
      <c r="J3069" s="2" t="n">
        <v>3</v>
      </c>
    </row>
    <row r="3070">
      <c r="A3070" s="2" t="inlineStr">
        <is>
          <t>9220087004</t>
        </is>
      </c>
      <c r="B3070" s="2" t="inlineStr"/>
      <c r="C3070" s="2" t="inlineStr">
        <is>
          <t>MODULO ENCENDIDO CHEVETTE</t>
        </is>
      </c>
      <c r="D3070" s="2" t="inlineStr">
        <is>
          <t>BOSCH</t>
        </is>
      </c>
      <c r="E3070" s="3" t="n">
        <v>26.9231</v>
      </c>
      <c r="F3070" s="4" t="n">
        <v>0.3</v>
      </c>
      <c r="G3070" s="5">
        <f>ROUND(E3070*(1+F3070),2)</f>
        <v>35.00</v>
      </c>
      <c r="H3070" s="5">
        <f>ROUND(G3070*NOTAS!$B$2,2)</f>
        <v>25247.10</v>
      </c>
      <c r="I3070" s="6">
        <f>ROUND(G3070*NOTAS!$B$3,0)</f>
        <v>113710</v>
      </c>
      <c r="J3070" s="2" t="n">
        <v>2</v>
      </c>
    </row>
    <row r="3071">
      <c r="A3071" s="2" t="inlineStr">
        <is>
          <t>93311014</t>
        </is>
      </c>
      <c r="B3071" s="2" t="inlineStr"/>
      <c r="C3071" s="2" t="inlineStr">
        <is>
          <t>MOTOR 3/4 CORSA 1.6</t>
        </is>
      </c>
      <c r="D3071" s="2" t="inlineStr">
        <is>
          <t>GM</t>
        </is>
      </c>
      <c r="E3071" s="3" t="n">
        <v>1000</v>
      </c>
      <c r="F3071" s="4" t="n">
        <v>0.3</v>
      </c>
      <c r="G3071" s="5">
        <f>ROUND(E3071*(1+F3071),2)</f>
        <v>1300.00</v>
      </c>
      <c r="H3071" s="5">
        <f>ROUND(G3071*NOTAS!$B$2,2)</f>
        <v>937749.28</v>
      </c>
      <c r="I3071" s="6">
        <f>ROUND(G3071*NOTAS!$B$3,0)</f>
        <v>4223531</v>
      </c>
      <c r="J3071" s="2" t="n">
        <v>1</v>
      </c>
    </row>
    <row r="3072">
      <c r="A3072" s="2" t="inlineStr"/>
      <c r="B3072" s="2" t="inlineStr"/>
      <c r="C3072" s="2" t="inlineStr">
        <is>
          <t>MOTOR BOMBA AGUA LIMPIAPARABRISA CORSA</t>
        </is>
      </c>
      <c r="D3072" s="2" t="inlineStr">
        <is>
          <t>BRAZIL</t>
        </is>
      </c>
      <c r="E3072" s="3" t="n">
        <v>13.8462</v>
      </c>
      <c r="F3072" s="4" t="n">
        <v>0.3</v>
      </c>
      <c r="G3072" s="5">
        <f>ROUND(E3072*(1+F3072),2)</f>
        <v>18.00</v>
      </c>
      <c r="H3072" s="5">
        <f>ROUND(G3072*NOTAS!$B$2,2)</f>
        <v>12984.22</v>
      </c>
      <c r="I3072" s="6">
        <f>ROUND(G3072*NOTAS!$B$3,0)</f>
        <v>58480</v>
      </c>
      <c r="J3072" s="2" t="n">
        <v>2</v>
      </c>
    </row>
    <row r="3073">
      <c r="A3073" s="2" t="inlineStr">
        <is>
          <t>LD510071</t>
        </is>
      </c>
      <c r="B3073" s="2" t="inlineStr"/>
      <c r="C3073" s="2" t="inlineStr">
        <is>
          <t>MOTOR LIMPIAPARABRISA DELANTERO F-UNO</t>
        </is>
      </c>
      <c r="D3073" s="2" t="inlineStr">
        <is>
          <t>MAGNETI MARELLI</t>
        </is>
      </c>
      <c r="E3073" s="3" t="n">
        <v>30.7692</v>
      </c>
      <c r="F3073" s="4" t="n">
        <v>0.3</v>
      </c>
      <c r="G3073" s="5">
        <f>ROUND(E3073*(1+F3073),2)</f>
        <v>40.00</v>
      </c>
      <c r="H3073" s="5">
        <f>ROUND(G3073*NOTAS!$B$2,2)</f>
        <v>28853.82</v>
      </c>
      <c r="I3073" s="6">
        <f>ROUND(G3073*NOTAS!$B$3,0)</f>
        <v>129955</v>
      </c>
      <c r="J3073" s="2" t="n">
        <v>1</v>
      </c>
    </row>
    <row r="3074">
      <c r="A3074" s="2" t="inlineStr">
        <is>
          <t>GM0159</t>
        </is>
      </c>
      <c r="B3074" s="2" t="inlineStr"/>
      <c r="C3074" s="2" t="inlineStr">
        <is>
          <t>MOZO CUBO RUEDA DELANTERA AVEO</t>
        </is>
      </c>
      <c r="D3074" s="2" t="inlineStr">
        <is>
          <t>MAXXUN</t>
        </is>
      </c>
      <c r="E3074" s="3" t="n">
        <v>10.1</v>
      </c>
      <c r="F3074" s="4" t="n">
        <v>0.3</v>
      </c>
      <c r="G3074" s="5">
        <f>ROUND(E3074*(1+F3074),2)</f>
        <v>13.13</v>
      </c>
      <c r="H3074" s="5">
        <f>ROUND(G3074*NOTAS!$B$2,2)</f>
        <v>9471.27</v>
      </c>
      <c r="I3074" s="6">
        <f>ROUND(G3074*NOTAS!$B$3,0)</f>
        <v>42658</v>
      </c>
      <c r="J3074" s="2" t="n">
        <v>2</v>
      </c>
    </row>
    <row r="3075">
      <c r="A3075" s="2" t="inlineStr">
        <is>
          <t>SI87EU1104AA</t>
        </is>
      </c>
      <c r="B3075" s="2" t="inlineStr"/>
      <c r="C3075" s="2" t="inlineStr">
        <is>
          <t>MOZO CUBO RUEDA DELANTERA CORCEL/DEL REY</t>
        </is>
      </c>
      <c r="D3075" s="2" t="inlineStr">
        <is>
          <t>SIMS</t>
        </is>
      </c>
      <c r="E3075" s="3" t="n">
        <v>15</v>
      </c>
      <c r="F3075" s="4" t="n">
        <v>0.3</v>
      </c>
      <c r="G3075" s="5">
        <f>ROUND(E3075*(1+F3075),2)</f>
        <v>19.50</v>
      </c>
      <c r="H3075" s="5">
        <f>ROUND(G3075*NOTAS!$B$2,2)</f>
        <v>14066.24</v>
      </c>
      <c r="I3075" s="6">
        <f>ROUND(G3075*NOTAS!$B$3,0)</f>
        <v>63353</v>
      </c>
      <c r="J3075" s="2" t="n">
        <v>4</v>
      </c>
    </row>
    <row r="3076">
      <c r="A3076" s="2" t="inlineStr">
        <is>
          <t>105044</t>
        </is>
      </c>
      <c r="B3076" s="2" t="inlineStr"/>
      <c r="C3076" s="2" t="inlineStr">
        <is>
          <t>MOZO CUBO RUEDA DELANTERA CORCEL/DEL REY</t>
        </is>
      </c>
      <c r="D3076" s="2" t="inlineStr">
        <is>
          <t>AXIS</t>
        </is>
      </c>
      <c r="E3076" s="3" t="n">
        <v>15</v>
      </c>
      <c r="F3076" s="4" t="n">
        <v>0.3</v>
      </c>
      <c r="G3076" s="5">
        <f>ROUND(E3076*(1+F3076),2)</f>
        <v>19.50</v>
      </c>
      <c r="H3076" s="5">
        <f>ROUND(G3076*NOTAS!$B$2,2)</f>
        <v>14066.24</v>
      </c>
      <c r="I3076" s="6">
        <f>ROUND(G3076*NOTAS!$B$3,0)</f>
        <v>63353</v>
      </c>
      <c r="J3076" s="2" t="n">
        <v>1</v>
      </c>
    </row>
    <row r="3077">
      <c r="A3077" s="2" t="inlineStr">
        <is>
          <t>HFCD11</t>
        </is>
      </c>
      <c r="B3077" s="2" t="inlineStr"/>
      <c r="C3077" s="2" t="inlineStr">
        <is>
          <t>MOZO CUBO RUEDA DELANTERA CORCEL/DEL REY</t>
        </is>
      </c>
      <c r="D3077" s="2" t="inlineStr">
        <is>
          <t>HIPPERFREIOS</t>
        </is>
      </c>
      <c r="E3077" s="3" t="n">
        <v>20</v>
      </c>
      <c r="F3077" s="4" t="n">
        <v>0.3</v>
      </c>
      <c r="G3077" s="5">
        <f>ROUND(E3077*(1+F3077),2)</f>
        <v>26.00</v>
      </c>
      <c r="H3077" s="5">
        <f>ROUND(G3077*NOTAS!$B$2,2)</f>
        <v>18754.99</v>
      </c>
      <c r="I3077" s="6">
        <f>ROUND(G3077*NOTAS!$B$3,0)</f>
        <v>84471</v>
      </c>
      <c r="J3077" s="2" t="n">
        <v>6</v>
      </c>
    </row>
    <row r="3078">
      <c r="A3078" s="2" t="inlineStr">
        <is>
          <t>GM0012</t>
        </is>
      </c>
      <c r="B3078" s="2" t="inlineStr"/>
      <c r="C3078" s="2" t="inlineStr">
        <is>
          <t>MOZO CUBO RUEDA DELANTERA CORSA/CIELO/LANOS</t>
        </is>
      </c>
      <c r="D3078" s="2" t="inlineStr">
        <is>
          <t>MAXXUN</t>
        </is>
      </c>
      <c r="E3078" s="3" t="n">
        <v>8.32</v>
      </c>
      <c r="F3078" s="4" t="n">
        <v>0.3</v>
      </c>
      <c r="G3078" s="5">
        <f>ROUND(E3078*(1+F3078),2)</f>
        <v>10.82</v>
      </c>
      <c r="H3078" s="5">
        <f>ROUND(G3078*NOTAS!$B$2,2)</f>
        <v>7804.96</v>
      </c>
      <c r="I3078" s="6">
        <f>ROUND(G3078*NOTAS!$B$3,0)</f>
        <v>35153</v>
      </c>
      <c r="J3078" s="2" t="n">
        <v>16</v>
      </c>
    </row>
    <row r="3079">
      <c r="A3079" s="2" t="inlineStr">
        <is>
          <t>96176252-2</t>
        </is>
      </c>
      <c r="B3079" s="2" t="inlineStr"/>
      <c r="C3079" s="2" t="inlineStr">
        <is>
          <t>MOZO CUBO RUEDA DELANTERA CORSA/CIELO/LANOS</t>
        </is>
      </c>
      <c r="D3079" s="2" t="inlineStr">
        <is>
          <t>AXN</t>
        </is>
      </c>
      <c r="E3079" s="3" t="n">
        <v>11</v>
      </c>
      <c r="F3079" s="4" t="n">
        <v>0.3</v>
      </c>
      <c r="G3079" s="5">
        <f>ROUND(E3079*(1+F3079),2)</f>
        <v>14.30</v>
      </c>
      <c r="H3079" s="5">
        <f>ROUND(G3079*NOTAS!$B$2,2)</f>
        <v>10315.24</v>
      </c>
      <c r="I3079" s="6">
        <f>ROUND(G3079*NOTAS!$B$3,0)</f>
        <v>46459</v>
      </c>
      <c r="J3079" s="2" t="n">
        <v>5</v>
      </c>
    </row>
    <row r="3080">
      <c r="A3080" s="2" t="inlineStr">
        <is>
          <t>FI0152</t>
        </is>
      </c>
      <c r="B3080" s="2" t="inlineStr"/>
      <c r="C3080" s="2" t="inlineStr">
        <is>
          <t>MOZO CUBO RUEDA DELANTERA F-147/SPAZIO</t>
        </is>
      </c>
      <c r="D3080" s="2" t="inlineStr">
        <is>
          <t>MAXXUN</t>
        </is>
      </c>
      <c r="E3080" s="3" t="n">
        <v>11</v>
      </c>
      <c r="F3080" s="4" t="n">
        <v>0.3</v>
      </c>
      <c r="G3080" s="5">
        <f>ROUND(E3080*(1+F3080),2)</f>
        <v>14.30</v>
      </c>
      <c r="H3080" s="5">
        <f>ROUND(G3080*NOTAS!$B$2,2)</f>
        <v>10315.24</v>
      </c>
      <c r="I3080" s="6">
        <f>ROUND(G3080*NOTAS!$B$3,0)</f>
        <v>46459</v>
      </c>
      <c r="J3080" s="2" t="n">
        <v>3</v>
      </c>
    </row>
    <row r="3081">
      <c r="A3081" s="2" t="inlineStr">
        <is>
          <t>4399777-1</t>
        </is>
      </c>
      <c r="B3081" s="2" t="inlineStr"/>
      <c r="C3081" s="2" t="inlineStr">
        <is>
          <t>MOZO CUBO RUEDA DELANTERA F-147/SPAZIO</t>
        </is>
      </c>
      <c r="D3081" s="2" t="inlineStr">
        <is>
          <t>AXN</t>
        </is>
      </c>
      <c r="E3081" s="3" t="n">
        <v>10</v>
      </c>
      <c r="F3081" s="4" t="n">
        <v>0.3</v>
      </c>
      <c r="G3081" s="5">
        <f>ROUND(E3081*(1+F3081),2)</f>
        <v>13.00</v>
      </c>
      <c r="H3081" s="5">
        <f>ROUND(G3081*NOTAS!$B$2,2)</f>
        <v>9377.49</v>
      </c>
      <c r="I3081" s="6">
        <f>ROUND(G3081*NOTAS!$B$3,0)</f>
        <v>42235</v>
      </c>
      <c r="J3081" s="2" t="n">
        <v>1</v>
      </c>
    </row>
    <row r="3082">
      <c r="A3082" s="2" t="inlineStr">
        <is>
          <t>FD0025</t>
        </is>
      </c>
      <c r="B3082" s="2" t="inlineStr"/>
      <c r="C3082" s="2" t="inlineStr">
        <is>
          <t>MOZO CUBO RUEDA DELANTERA FESTIVA</t>
        </is>
      </c>
      <c r="D3082" s="2" t="inlineStr">
        <is>
          <t>MAXXUN</t>
        </is>
      </c>
      <c r="E3082" s="3" t="n">
        <v>10.4</v>
      </c>
      <c r="F3082" s="4" t="n">
        <v>0.3</v>
      </c>
      <c r="G3082" s="5">
        <f>ROUND(E3082*(1+F3082),2)</f>
        <v>13.52</v>
      </c>
      <c r="H3082" s="5">
        <f>ROUND(G3082*NOTAS!$B$2,2)</f>
        <v>9752.59</v>
      </c>
      <c r="I3082" s="6">
        <f>ROUND(G3082*NOTAS!$B$3,0)</f>
        <v>43925</v>
      </c>
      <c r="J3082" s="2" t="n">
        <v>5</v>
      </c>
    </row>
    <row r="3083">
      <c r="A3083" s="2" t="inlineStr"/>
      <c r="B3083" s="2" t="inlineStr"/>
      <c r="C3083" s="2" t="inlineStr">
        <is>
          <t>MOZO CUBO RUEDA DELANTERA FIESTA/KA</t>
        </is>
      </c>
      <c r="D3083" s="2" t="inlineStr">
        <is>
          <t>MAXXUN</t>
        </is>
      </c>
      <c r="E3083" s="3" t="n">
        <v>13</v>
      </c>
      <c r="F3083" s="4" t="n">
        <v>0.3</v>
      </c>
      <c r="G3083" s="5">
        <f>ROUND(E3083*(1+F3083),2)</f>
        <v>16.90</v>
      </c>
      <c r="H3083" s="5">
        <f>ROUND(G3083*NOTAS!$B$2,2)</f>
        <v>12190.74</v>
      </c>
      <c r="I3083" s="6">
        <f>ROUND(G3083*NOTAS!$B$3,0)</f>
        <v>54906</v>
      </c>
      <c r="J3083" s="2" t="n">
        <v>1</v>
      </c>
    </row>
    <row r="3084">
      <c r="A3084" s="2" t="inlineStr">
        <is>
          <t>FD0026</t>
        </is>
      </c>
      <c r="B3084" s="2" t="inlineStr"/>
      <c r="C3084" s="2" t="inlineStr">
        <is>
          <t>MOZO CUBO RUEDA DELANTERA FIESTA/KA</t>
        </is>
      </c>
      <c r="D3084" s="2" t="inlineStr">
        <is>
          <t>MAXXUN</t>
        </is>
      </c>
      <c r="E3084" s="3" t="n">
        <v>13</v>
      </c>
      <c r="F3084" s="4" t="n">
        <v>0.3</v>
      </c>
      <c r="G3084" s="5">
        <f>ROUND(E3084*(1+F3084),2)</f>
        <v>16.90</v>
      </c>
      <c r="H3084" s="5">
        <f>ROUND(G3084*NOTAS!$B$2,2)</f>
        <v>12190.74</v>
      </c>
      <c r="I3084" s="6">
        <f>ROUND(G3084*NOTAS!$B$3,0)</f>
        <v>54906</v>
      </c>
      <c r="J3084" s="2" t="n">
        <v>11</v>
      </c>
    </row>
    <row r="3085">
      <c r="A3085" s="2" t="inlineStr">
        <is>
          <t>MP-58</t>
        </is>
      </c>
      <c r="B3085" s="2" t="inlineStr"/>
      <c r="C3085" s="2" t="inlineStr">
        <is>
          <t>MOZO CUBO RUEDA DELANTERA FIESTA/KA</t>
        </is>
      </c>
      <c r="D3085" s="2" t="inlineStr">
        <is>
          <t>EUROBERING</t>
        </is>
      </c>
      <c r="E3085" s="3" t="n">
        <v>24</v>
      </c>
      <c r="F3085" s="4" t="n">
        <v>0.3</v>
      </c>
      <c r="G3085" s="5">
        <f>ROUND(E3085*(1+F3085),2)</f>
        <v>31.20</v>
      </c>
      <c r="H3085" s="5">
        <f>ROUND(G3085*NOTAS!$B$2,2)</f>
        <v>22505.98</v>
      </c>
      <c r="I3085" s="6">
        <f>ROUND(G3085*NOTAS!$B$3,0)</f>
        <v>101365</v>
      </c>
      <c r="J3085" s="2" t="n">
        <v>2</v>
      </c>
    </row>
    <row r="3086">
      <c r="A3086" s="2" t="inlineStr">
        <is>
          <t>HB5N111104A</t>
        </is>
      </c>
      <c r="B3086" s="2" t="inlineStr"/>
      <c r="C3086" s="2" t="inlineStr">
        <is>
          <t>MOZO CUBO RUEDA DELANTERA FIESTA/KA</t>
        </is>
      </c>
      <c r="D3086" s="2" t="inlineStr">
        <is>
          <t>KAPARS</t>
        </is>
      </c>
      <c r="E3086" s="3" t="n">
        <v>13</v>
      </c>
      <c r="F3086" s="4" t="n">
        <v>0.3</v>
      </c>
      <c r="G3086" s="5">
        <f>ROUND(E3086*(1+F3086),2)</f>
        <v>16.90</v>
      </c>
      <c r="H3086" s="5">
        <f>ROUND(G3086*NOTAS!$B$2,2)</f>
        <v>12190.74</v>
      </c>
      <c r="I3086" s="6">
        <f>ROUND(G3086*NOTAS!$B$3,0)</f>
        <v>54906</v>
      </c>
      <c r="J3086" s="2" t="n">
        <v>2</v>
      </c>
    </row>
    <row r="3087">
      <c r="A3087" s="2" t="inlineStr">
        <is>
          <t>46745258-1</t>
        </is>
      </c>
      <c r="B3087" s="2" t="inlineStr"/>
      <c r="C3087" s="2" t="inlineStr">
        <is>
          <t>MOZO CUBO RUEDA DELANTERA F-PALIO/SIENA 1.8</t>
        </is>
      </c>
      <c r="D3087" s="2" t="inlineStr">
        <is>
          <t>AXN</t>
        </is>
      </c>
      <c r="E3087" s="3" t="n">
        <v>14</v>
      </c>
      <c r="F3087" s="4" t="n">
        <v>0.3</v>
      </c>
      <c r="G3087" s="5">
        <f>ROUND(E3087*(1+F3087),2)</f>
        <v>18.20</v>
      </c>
      <c r="H3087" s="5">
        <f>ROUND(G3087*NOTAS!$B$2,2)</f>
        <v>13128.49</v>
      </c>
      <c r="I3087" s="6">
        <f>ROUND(G3087*NOTAS!$B$3,0)</f>
        <v>59129</v>
      </c>
      <c r="J3087" s="2" t="n">
        <v>1</v>
      </c>
    </row>
    <row r="3088">
      <c r="A3088" s="2" t="inlineStr">
        <is>
          <t>HFCD42</t>
        </is>
      </c>
      <c r="B3088" s="2" t="inlineStr"/>
      <c r="C3088" s="2" t="inlineStr">
        <is>
          <t>MOZO CUBO RUEDA DELANTERA F-PALIO/SIENA 1.8</t>
        </is>
      </c>
      <c r="D3088" s="2" t="inlineStr">
        <is>
          <t>HIPPERFREIOS</t>
        </is>
      </c>
      <c r="E3088" s="3" t="n">
        <v>18</v>
      </c>
      <c r="F3088" s="4" t="n">
        <v>0.3</v>
      </c>
      <c r="G3088" s="5">
        <f>ROUND(E3088*(1+F3088),2)</f>
        <v>23.40</v>
      </c>
      <c r="H3088" s="5">
        <f>ROUND(G3088*NOTAS!$B$2,2)</f>
        <v>16879.49</v>
      </c>
      <c r="I3088" s="6">
        <f>ROUND(G3088*NOTAS!$B$3,0)</f>
        <v>76024</v>
      </c>
      <c r="J3088" s="2" t="n">
        <v>1</v>
      </c>
    </row>
    <row r="3089">
      <c r="A3089" s="2" t="inlineStr"/>
      <c r="B3089" s="2" t="inlineStr"/>
      <c r="C3089" s="2" t="inlineStr">
        <is>
          <t>MOZO CUBO RUEDA DELANTERA F-TEMPRA 1.6</t>
        </is>
      </c>
      <c r="D3089" s="2" t="inlineStr">
        <is>
          <t>VELTEX</t>
        </is>
      </c>
      <c r="E3089" s="3" t="n">
        <v>10</v>
      </c>
      <c r="F3089" s="4" t="n">
        <v>0.3</v>
      </c>
      <c r="G3089" s="5">
        <f>ROUND(E3089*(1+F3089),2)</f>
        <v>13.00</v>
      </c>
      <c r="H3089" s="5">
        <f>ROUND(G3089*NOTAS!$B$2,2)</f>
        <v>9377.49</v>
      </c>
      <c r="I3089" s="6">
        <f>ROUND(G3089*NOTAS!$B$3,0)</f>
        <v>42235</v>
      </c>
      <c r="J3089" s="2" t="n">
        <v>1</v>
      </c>
    </row>
    <row r="3090">
      <c r="A3090" s="2" t="inlineStr">
        <is>
          <t>FI0013</t>
        </is>
      </c>
      <c r="B3090" s="2" t="inlineStr"/>
      <c r="C3090" s="2" t="inlineStr">
        <is>
          <t>MOZO CUBO RUEDA DELANTERA F-UNO/PREMIO/PALIO/SIENA 1.3</t>
        </is>
      </c>
      <c r="D3090" s="2" t="inlineStr">
        <is>
          <t>MAXXUN</t>
        </is>
      </c>
      <c r="E3090" s="3" t="n">
        <v>8.91</v>
      </c>
      <c r="F3090" s="4" t="n">
        <v>0.3</v>
      </c>
      <c r="G3090" s="5">
        <f>ROUND(E3090*(1+F3090),2)</f>
        <v>11.58</v>
      </c>
      <c r="H3090" s="5">
        <f>ROUND(G3090*NOTAS!$B$2,2)</f>
        <v>8353.18</v>
      </c>
      <c r="I3090" s="6">
        <f>ROUND(G3090*NOTAS!$B$3,0)</f>
        <v>37622</v>
      </c>
      <c r="J3090" s="2" t="n">
        <v>39</v>
      </c>
    </row>
    <row r="3091">
      <c r="A3091" s="2" t="inlineStr">
        <is>
          <t>7591328-1</t>
        </is>
      </c>
      <c r="B3091" s="2" t="inlineStr"/>
      <c r="C3091" s="2" t="inlineStr">
        <is>
          <t>MOZO CUBO RUEDA DELANTERA F-UNO/PREMIO/PALIO/SIENA 1.3</t>
        </is>
      </c>
      <c r="D3091" s="2" t="inlineStr">
        <is>
          <t>AXN</t>
        </is>
      </c>
      <c r="E3091" s="3" t="n">
        <v>11</v>
      </c>
      <c r="F3091" s="4" t="n">
        <v>0.3</v>
      </c>
      <c r="G3091" s="5">
        <f>ROUND(E3091*(1+F3091),2)</f>
        <v>14.30</v>
      </c>
      <c r="H3091" s="5">
        <f>ROUND(G3091*NOTAS!$B$2,2)</f>
        <v>10315.24</v>
      </c>
      <c r="I3091" s="6">
        <f>ROUND(G3091*NOTAS!$B$3,0)</f>
        <v>46459</v>
      </c>
      <c r="J3091" s="2" t="n">
        <v>5</v>
      </c>
    </row>
    <row r="3092">
      <c r="A3092" s="2" t="inlineStr">
        <is>
          <t>3115</t>
        </is>
      </c>
      <c r="B3092" s="2" t="inlineStr"/>
      <c r="C3092" s="2" t="inlineStr">
        <is>
          <t>MOZO CUBO RUEDA DELANTERA F-UNO/PREMIO/PALIO/SIENA 1.3</t>
        </is>
      </c>
      <c r="D3092" s="2" t="inlineStr">
        <is>
          <t>ORIGINAL BIRTH</t>
        </is>
      </c>
      <c r="E3092" s="3" t="n">
        <v>13</v>
      </c>
      <c r="F3092" s="4" t="n">
        <v>0.3</v>
      </c>
      <c r="G3092" s="5">
        <f>ROUND(E3092*(1+F3092),2)</f>
        <v>16.90</v>
      </c>
      <c r="H3092" s="5">
        <f>ROUND(G3092*NOTAS!$B$2,2)</f>
        <v>12190.74</v>
      </c>
      <c r="I3092" s="6">
        <f>ROUND(G3092*NOTAS!$B$3,0)</f>
        <v>54906</v>
      </c>
      <c r="J3092" s="2" t="n">
        <v>8</v>
      </c>
    </row>
    <row r="3093">
      <c r="A3093" s="2" t="inlineStr">
        <is>
          <t>KI0016</t>
        </is>
      </c>
      <c r="B3093" s="2" t="inlineStr"/>
      <c r="C3093" s="2" t="inlineStr">
        <is>
          <t>MOZO CUBO RUEDA DELANTERA KIA RIO</t>
        </is>
      </c>
      <c r="D3093" s="2" t="inlineStr">
        <is>
          <t>MAXXUN</t>
        </is>
      </c>
      <c r="E3093" s="3" t="n">
        <v>10.1</v>
      </c>
      <c r="F3093" s="4" t="n">
        <v>0.3</v>
      </c>
      <c r="G3093" s="5">
        <f>ROUND(E3093*(1+F3093),2)</f>
        <v>13.13</v>
      </c>
      <c r="H3093" s="5">
        <f>ROUND(G3093*NOTAS!$B$2,2)</f>
        <v>9471.27</v>
      </c>
      <c r="I3093" s="6">
        <f>ROUND(G3093*NOTAS!$B$3,0)</f>
        <v>42658</v>
      </c>
      <c r="J3093" s="2" t="n">
        <v>4</v>
      </c>
    </row>
    <row r="3094">
      <c r="A3094" s="2" t="inlineStr">
        <is>
          <t>MDX50-33-061</t>
        </is>
      </c>
      <c r="B3094" s="2" t="inlineStr"/>
      <c r="C3094" s="2" t="inlineStr">
        <is>
          <t>MOZO CUBO RUEDA DELANTERA KIA RIO</t>
        </is>
      </c>
      <c r="D3094" s="2" t="inlineStr">
        <is>
          <t>X2-HUB</t>
        </is>
      </c>
      <c r="E3094" s="3" t="n">
        <v>15</v>
      </c>
      <c r="F3094" s="4" t="n">
        <v>0.3</v>
      </c>
      <c r="G3094" s="5">
        <f>ROUND(E3094*(1+F3094),2)</f>
        <v>19.50</v>
      </c>
      <c r="H3094" s="5">
        <f>ROUND(G3094*NOTAS!$B$2,2)</f>
        <v>14066.24</v>
      </c>
      <c r="I3094" s="6">
        <f>ROUND(G3094*NOTAS!$B$3,0)</f>
        <v>63353</v>
      </c>
      <c r="J3094" s="2" t="n">
        <v>1</v>
      </c>
    </row>
    <row r="3095">
      <c r="A3095" s="2" t="inlineStr">
        <is>
          <t>90576767</t>
        </is>
      </c>
      <c r="B3095" s="2" t="inlineStr"/>
      <c r="C3095" s="2" t="inlineStr">
        <is>
          <t>MOZO CUBO RUEDA DELANTERA MONTANA/MERIVA/CORSA 1.8</t>
        </is>
      </c>
      <c r="D3095" s="2" t="inlineStr">
        <is>
          <t>AXN</t>
        </is>
      </c>
      <c r="E3095" s="3" t="n">
        <v>42.3077</v>
      </c>
      <c r="F3095" s="4" t="n">
        <v>0.3</v>
      </c>
      <c r="G3095" s="5">
        <f>ROUND(E3095*(1+F3095),2)</f>
        <v>55.00</v>
      </c>
      <c r="H3095" s="5">
        <f>ROUND(G3095*NOTAS!$B$2,2)</f>
        <v>39674.01</v>
      </c>
      <c r="I3095" s="6">
        <f>ROUND(G3095*NOTAS!$B$3,0)</f>
        <v>178688</v>
      </c>
      <c r="J3095" s="2" t="n">
        <v>2</v>
      </c>
    </row>
    <row r="3096">
      <c r="A3096" s="2" t="inlineStr">
        <is>
          <t>GM0161</t>
        </is>
      </c>
      <c r="B3096" s="2" t="inlineStr"/>
      <c r="C3096" s="2" t="inlineStr">
        <is>
          <t>MOZO CUBO RUEDA DELANTERA OPTRA</t>
        </is>
      </c>
      <c r="D3096" s="2" t="inlineStr">
        <is>
          <t>MAXXUN</t>
        </is>
      </c>
      <c r="E3096" s="3" t="n">
        <v>12</v>
      </c>
      <c r="F3096" s="4" t="n">
        <v>0.3</v>
      </c>
      <c r="G3096" s="5">
        <f>ROUND(E3096*(1+F3096),2)</f>
        <v>15.60</v>
      </c>
      <c r="H3096" s="5">
        <f>ROUND(G3096*NOTAS!$B$2,2)</f>
        <v>11252.99</v>
      </c>
      <c r="I3096" s="6">
        <f>ROUND(G3096*NOTAS!$B$3,0)</f>
        <v>50682</v>
      </c>
      <c r="J3096" s="2" t="n">
        <v>4</v>
      </c>
    </row>
    <row r="3097">
      <c r="A3097" s="2" t="inlineStr">
        <is>
          <t>SI96549779</t>
        </is>
      </c>
      <c r="B3097" s="2" t="inlineStr"/>
      <c r="C3097" s="2" t="inlineStr">
        <is>
          <t>MOZO CUBO RUEDA DELANTERA OPTRA</t>
        </is>
      </c>
      <c r="D3097" s="2" t="inlineStr">
        <is>
          <t>SIMS</t>
        </is>
      </c>
      <c r="E3097" s="3" t="n">
        <v>20</v>
      </c>
      <c r="F3097" s="4" t="n">
        <v>0.3</v>
      </c>
      <c r="G3097" s="5">
        <f>ROUND(E3097*(1+F3097),2)</f>
        <v>26.00</v>
      </c>
      <c r="H3097" s="5">
        <f>ROUND(G3097*NOTAS!$B$2,2)</f>
        <v>18754.99</v>
      </c>
      <c r="I3097" s="6">
        <f>ROUND(G3097*NOTAS!$B$3,0)</f>
        <v>84471</v>
      </c>
      <c r="J3097" s="2" t="n">
        <v>2</v>
      </c>
    </row>
    <row r="3098">
      <c r="A3098" s="2" t="inlineStr">
        <is>
          <t>RE0113</t>
        </is>
      </c>
      <c r="B3098" s="2" t="inlineStr"/>
      <c r="C3098" s="2" t="inlineStr">
        <is>
          <t>MOZO CUBO RUEDA DELANTERA R-11/TWINGO/SYMBOL</t>
        </is>
      </c>
      <c r="D3098" s="2" t="inlineStr">
        <is>
          <t>MAXXUN</t>
        </is>
      </c>
      <c r="E3098" s="3" t="n">
        <v>9.5</v>
      </c>
      <c r="F3098" s="4" t="n">
        <v>0.3</v>
      </c>
      <c r="G3098" s="5">
        <f>ROUND(E3098*(1+F3098),2)</f>
        <v>12.35</v>
      </c>
      <c r="H3098" s="5">
        <f>ROUND(G3098*NOTAS!$B$2,2)</f>
        <v>8908.62</v>
      </c>
      <c r="I3098" s="6">
        <f>ROUND(G3098*NOTAS!$B$3,0)</f>
        <v>40124</v>
      </c>
      <c r="J3098" s="2" t="n">
        <v>16</v>
      </c>
    </row>
    <row r="3099">
      <c r="A3099" s="2" t="inlineStr">
        <is>
          <t>7700719140</t>
        </is>
      </c>
      <c r="B3099" s="2" t="inlineStr"/>
      <c r="C3099" s="2" t="inlineStr">
        <is>
          <t>MOZO CUBO RUEDA DELANTERA R-11/TWINGO/SYMBOL</t>
        </is>
      </c>
      <c r="D3099" s="2" t="inlineStr">
        <is>
          <t>GKP</t>
        </is>
      </c>
      <c r="E3099" s="3" t="n">
        <v>12</v>
      </c>
      <c r="F3099" s="4" t="n">
        <v>0.3</v>
      </c>
      <c r="G3099" s="5">
        <f>ROUND(E3099*(1+F3099),2)</f>
        <v>15.60</v>
      </c>
      <c r="H3099" s="5">
        <f>ROUND(G3099*NOTAS!$B$2,2)</f>
        <v>11252.99</v>
      </c>
      <c r="I3099" s="6">
        <f>ROUND(G3099*NOTAS!$B$3,0)</f>
        <v>50682</v>
      </c>
      <c r="J3099" s="2" t="n">
        <v>2</v>
      </c>
    </row>
    <row r="3100">
      <c r="A3100" s="2" t="inlineStr">
        <is>
          <t>7700719140-1</t>
        </is>
      </c>
      <c r="B3100" s="2" t="inlineStr"/>
      <c r="C3100" s="2" t="inlineStr">
        <is>
          <t>MOZO CUBO RUEDA DELANTERA R-11/TWINGO/SYMBOL</t>
        </is>
      </c>
      <c r="D3100" s="2" t="inlineStr">
        <is>
          <t>AXN</t>
        </is>
      </c>
      <c r="E3100" s="3" t="n">
        <v>12</v>
      </c>
      <c r="F3100" s="4" t="n">
        <v>0.3</v>
      </c>
      <c r="G3100" s="5">
        <f>ROUND(E3100*(1+F3100),2)</f>
        <v>15.60</v>
      </c>
      <c r="H3100" s="5">
        <f>ROUND(G3100*NOTAS!$B$2,2)</f>
        <v>11252.99</v>
      </c>
      <c r="I3100" s="6">
        <f>ROUND(G3100*NOTAS!$B$3,0)</f>
        <v>50682</v>
      </c>
      <c r="J3100" s="2" t="n">
        <v>6</v>
      </c>
    </row>
    <row r="3101">
      <c r="A3101" s="2" t="inlineStr">
        <is>
          <t>CR1922</t>
        </is>
      </c>
      <c r="B3101" s="2" t="inlineStr"/>
      <c r="C3101" s="2" t="inlineStr">
        <is>
          <t>MOZO CUBO RUEDA DELANTERA R-18//FUEGO/21</t>
        </is>
      </c>
      <c r="D3101" s="2" t="inlineStr">
        <is>
          <t>BREDA</t>
        </is>
      </c>
      <c r="E3101" s="3" t="n">
        <v>34.6154</v>
      </c>
      <c r="F3101" s="4" t="n">
        <v>0.3</v>
      </c>
      <c r="G3101" s="5">
        <f>ROUND(E3101*(1+F3101),2)</f>
        <v>45.00</v>
      </c>
      <c r="H3101" s="5">
        <f>ROUND(G3101*NOTAS!$B$2,2)</f>
        <v>32460.55</v>
      </c>
      <c r="I3101" s="6">
        <f>ROUND(G3101*NOTAS!$B$3,0)</f>
        <v>146199</v>
      </c>
      <c r="J3101" s="2" t="n">
        <v>2</v>
      </c>
    </row>
    <row r="3102">
      <c r="A3102" s="2" t="inlineStr">
        <is>
          <t>RE0114</t>
        </is>
      </c>
      <c r="B3102" s="2" t="inlineStr"/>
      <c r="C3102" s="2" t="inlineStr">
        <is>
          <t>MOZO CUBO RUEDA DELANTERA R-19/LOGAN/MEGANE/SYMBOL</t>
        </is>
      </c>
      <c r="D3102" s="2" t="inlineStr">
        <is>
          <t>MAXXUN</t>
        </is>
      </c>
      <c r="E3102" s="3" t="n">
        <v>9.5</v>
      </c>
      <c r="F3102" s="4" t="n">
        <v>0.3</v>
      </c>
      <c r="G3102" s="5">
        <f>ROUND(E3102*(1+F3102),2)</f>
        <v>12.35</v>
      </c>
      <c r="H3102" s="5">
        <f>ROUND(G3102*NOTAS!$B$2,2)</f>
        <v>8908.62</v>
      </c>
      <c r="I3102" s="6">
        <f>ROUND(G3102*NOTAS!$B$3,0)</f>
        <v>40124</v>
      </c>
      <c r="J3102" s="2" t="n">
        <v>10</v>
      </c>
    </row>
    <row r="3103">
      <c r="A3103" s="2" t="inlineStr">
        <is>
          <t>RE0114</t>
        </is>
      </c>
      <c r="B3103" s="2" t="inlineStr"/>
      <c r="C3103" s="2" t="inlineStr">
        <is>
          <t>MOZO CUBO RUEDA DELANTERA R-19/LOGAN/MEGANE/SYMBOL</t>
        </is>
      </c>
      <c r="D3103" s="2" t="inlineStr">
        <is>
          <t>LUCAS VARITY</t>
        </is>
      </c>
      <c r="E3103" s="3" t="n">
        <v>9.5</v>
      </c>
      <c r="F3103" s="4" t="n">
        <v>0.3</v>
      </c>
      <c r="G3103" s="5">
        <f>ROUND(E3103*(1+F3103),2)</f>
        <v>12.35</v>
      </c>
      <c r="H3103" s="5">
        <f>ROUND(G3103*NOTAS!$B$2,2)</f>
        <v>8908.62</v>
      </c>
      <c r="I3103" s="6">
        <f>ROUND(G3103*NOTAS!$B$3,0)</f>
        <v>40124</v>
      </c>
      <c r="J3103" s="2" t="n">
        <v>5</v>
      </c>
    </row>
    <row r="3104">
      <c r="A3104" s="2" t="inlineStr">
        <is>
          <t>HB7700768318</t>
        </is>
      </c>
      <c r="B3104" s="2" t="inlineStr"/>
      <c r="C3104" s="2" t="inlineStr">
        <is>
          <t>MOZO CUBO RUEDA DELANTERA R-19/LOGAN/MEGANE/SYMBOL</t>
        </is>
      </c>
      <c r="D3104" s="2" t="inlineStr">
        <is>
          <t>KAPARS</t>
        </is>
      </c>
      <c r="E3104" s="3" t="n">
        <v>14</v>
      </c>
      <c r="F3104" s="4" t="n">
        <v>0.3</v>
      </c>
      <c r="G3104" s="5">
        <f>ROUND(E3104*(1+F3104),2)</f>
        <v>18.20</v>
      </c>
      <c r="H3104" s="5">
        <f>ROUND(G3104*NOTAS!$B$2,2)</f>
        <v>13128.49</v>
      </c>
      <c r="I3104" s="6">
        <f>ROUND(G3104*NOTAS!$B$3,0)</f>
        <v>59129</v>
      </c>
      <c r="J3104" s="2" t="n">
        <v>1</v>
      </c>
    </row>
    <row r="3105">
      <c r="A3105" s="2" t="inlineStr">
        <is>
          <t>15006</t>
        </is>
      </c>
      <c r="B3105" s="2" t="inlineStr">
        <is>
          <t>7700768319</t>
        </is>
      </c>
      <c r="C3105" s="2" t="inlineStr">
        <is>
          <t>MOZO CUBO RUEDA DELANTERA R-19/LOGAN/MEGANE/SYMBOL</t>
        </is>
      </c>
      <c r="D3105" s="2" t="inlineStr">
        <is>
          <t>YOTO</t>
        </is>
      </c>
      <c r="E3105" s="3" t="n">
        <v>14</v>
      </c>
      <c r="F3105" s="4" t="n">
        <v>0.3</v>
      </c>
      <c r="G3105" s="5">
        <f>ROUND(E3105*(1+F3105),2)</f>
        <v>18.20</v>
      </c>
      <c r="H3105" s="5">
        <f>ROUND(G3105*NOTAS!$B$2,2)</f>
        <v>13128.49</v>
      </c>
      <c r="I3105" s="6">
        <f>ROUND(G3105*NOTAS!$B$3,0)</f>
        <v>59129</v>
      </c>
      <c r="J3105" s="2" t="n">
        <v>1</v>
      </c>
    </row>
    <row r="3106">
      <c r="A3106" s="2" t="inlineStr">
        <is>
          <t>RE0177</t>
        </is>
      </c>
      <c r="B3106" s="2" t="inlineStr"/>
      <c r="C3106" s="2" t="inlineStr">
        <is>
          <t>MOZO CUBO RUEDA DELANTERA R-5</t>
        </is>
      </c>
      <c r="D3106" s="2" t="inlineStr">
        <is>
          <t>MAXXUN</t>
        </is>
      </c>
      <c r="E3106" s="3" t="n">
        <v>34.6154</v>
      </c>
      <c r="F3106" s="4" t="n">
        <v>0.3</v>
      </c>
      <c r="G3106" s="5">
        <f>ROUND(E3106*(1+F3106),2)</f>
        <v>45.00</v>
      </c>
      <c r="H3106" s="5">
        <f>ROUND(G3106*NOTAS!$B$2,2)</f>
        <v>32460.55</v>
      </c>
      <c r="I3106" s="6">
        <f>ROUND(G3106*NOTAS!$B$3,0)</f>
        <v>146199</v>
      </c>
      <c r="J3106" s="2" t="n">
        <v>2</v>
      </c>
    </row>
    <row r="3107">
      <c r="A3107" s="2" t="inlineStr">
        <is>
          <t>AM0240</t>
        </is>
      </c>
      <c r="B3107" s="2" t="inlineStr"/>
      <c r="C3107" s="2" t="inlineStr">
        <is>
          <t>MOZO CUBO RUEDA DELANTERA SWIFT</t>
        </is>
      </c>
      <c r="D3107" s="2" t="inlineStr">
        <is>
          <t>MAXXUN</t>
        </is>
      </c>
      <c r="E3107" s="3" t="n">
        <v>34.6154</v>
      </c>
      <c r="F3107" s="4" t="n">
        <v>0.3</v>
      </c>
      <c r="G3107" s="5">
        <f>ROUND(E3107*(1+F3107),2)</f>
        <v>45.00</v>
      </c>
      <c r="H3107" s="5">
        <f>ROUND(G3107*NOTAS!$B$2,2)</f>
        <v>32460.55</v>
      </c>
      <c r="I3107" s="6">
        <f>ROUND(G3107*NOTAS!$B$3,0)</f>
        <v>146199</v>
      </c>
      <c r="J3107" s="2" t="n">
        <v>2</v>
      </c>
    </row>
    <row r="3108">
      <c r="A3108" s="2" t="inlineStr">
        <is>
          <t>F-113364</t>
        </is>
      </c>
      <c r="B3108" s="2" t="inlineStr"/>
      <c r="C3108" s="2" t="inlineStr">
        <is>
          <t>MOZO CUBO RUEDA TRASERA F-PALIO SIENA</t>
        </is>
      </c>
      <c r="D3108" s="2" t="inlineStr">
        <is>
          <t>INA</t>
        </is>
      </c>
      <c r="E3108" s="3" t="n">
        <v>35</v>
      </c>
      <c r="F3108" s="4" t="n">
        <v>0.3</v>
      </c>
      <c r="G3108" s="5">
        <f>ROUND(E3108*(1+F3108),2)</f>
        <v>45.50</v>
      </c>
      <c r="H3108" s="5">
        <f>ROUND(G3108*NOTAS!$B$2,2)</f>
        <v>32821.22</v>
      </c>
      <c r="I3108" s="6">
        <f>ROUND(G3108*NOTAS!$B$3,0)</f>
        <v>147824</v>
      </c>
      <c r="J3108" s="2" t="n">
        <v>9</v>
      </c>
    </row>
    <row r="3109">
      <c r="A3109" s="2" t="inlineStr">
        <is>
          <t>7603679-1</t>
        </is>
      </c>
      <c r="B3109" s="2" t="inlineStr"/>
      <c r="C3109" s="2" t="inlineStr">
        <is>
          <t>MOZO CUBO RUEDA TRASERA F-PALIO SIENA</t>
        </is>
      </c>
      <c r="D3109" s="2" t="inlineStr">
        <is>
          <t>AXN</t>
        </is>
      </c>
      <c r="E3109" s="3" t="n">
        <v>22</v>
      </c>
      <c r="F3109" s="4" t="n">
        <v>0.3</v>
      </c>
      <c r="G3109" s="5">
        <f>ROUND(E3109*(1+F3109),2)</f>
        <v>28.60</v>
      </c>
      <c r="H3109" s="5">
        <f>ROUND(G3109*NOTAS!$B$2,2)</f>
        <v>20630.48</v>
      </c>
      <c r="I3109" s="6">
        <f>ROUND(G3109*NOTAS!$B$3,0)</f>
        <v>92918</v>
      </c>
      <c r="J3109" s="2" t="n">
        <v>2</v>
      </c>
    </row>
    <row r="3110">
      <c r="A3110" s="2" t="inlineStr">
        <is>
          <t>FI0083</t>
        </is>
      </c>
      <c r="B3110" s="2" t="inlineStr"/>
      <c r="C3110" s="2" t="inlineStr">
        <is>
          <t>MOZO CUBO RUEDA TRASERA F-UNO/PREMIO/REGATA/147/SPAZIO</t>
        </is>
      </c>
      <c r="D3110" s="2" t="inlineStr">
        <is>
          <t>MAXXUN</t>
        </is>
      </c>
      <c r="E3110" s="3" t="n">
        <v>16.02</v>
      </c>
      <c r="F3110" s="4" t="n">
        <v>0.3</v>
      </c>
      <c r="G3110" s="5">
        <f>ROUND(E3110*(1+F3110),2)</f>
        <v>20.83</v>
      </c>
      <c r="H3110" s="5">
        <f>ROUND(G3110*NOTAS!$B$2,2)</f>
        <v>15025.63</v>
      </c>
      <c r="I3110" s="6">
        <f>ROUND(G3110*NOTAS!$B$3,0)</f>
        <v>67674</v>
      </c>
      <c r="J3110" s="2" t="n">
        <v>23</v>
      </c>
    </row>
    <row r="3111">
      <c r="A3111" s="2" t="inlineStr">
        <is>
          <t>7591328-1</t>
        </is>
      </c>
      <c r="B3111" s="2" t="inlineStr"/>
      <c r="C3111" s="2" t="inlineStr">
        <is>
          <t>MOZO CUBO RUEDA TRASERA F-UNO/PREMIO/REGATA/147/SPAZIO</t>
        </is>
      </c>
      <c r="D3111" s="2" t="inlineStr">
        <is>
          <t>AXN</t>
        </is>
      </c>
      <c r="E3111" s="3" t="n">
        <v>22</v>
      </c>
      <c r="F3111" s="4" t="n">
        <v>0.3</v>
      </c>
      <c r="G3111" s="5">
        <f>ROUND(E3111*(1+F3111),2)</f>
        <v>28.60</v>
      </c>
      <c r="H3111" s="5">
        <f>ROUND(G3111*NOTAS!$B$2,2)</f>
        <v>20630.48</v>
      </c>
      <c r="I3111" s="6">
        <f>ROUND(G3111*NOTAS!$B$3,0)</f>
        <v>92918</v>
      </c>
      <c r="J3111" s="2" t="n">
        <v>1</v>
      </c>
    </row>
    <row r="3112">
      <c r="A3112" s="2" t="inlineStr">
        <is>
          <t>VKBA4625A</t>
        </is>
      </c>
      <c r="B3112" s="2" t="inlineStr"/>
      <c r="C3112" s="2" t="inlineStr">
        <is>
          <t>MOZO CUBO RUEDA TRASERA F-UNO/PREMIO/REGATA/147/SPAZIO</t>
        </is>
      </c>
      <c r="D3112" s="2" t="inlineStr">
        <is>
          <t>SKF</t>
        </is>
      </c>
      <c r="E3112" s="3" t="n">
        <v>30</v>
      </c>
      <c r="F3112" s="4" t="n">
        <v>0.3</v>
      </c>
      <c r="G3112" s="5">
        <f>ROUND(E3112*(1+F3112),2)</f>
        <v>39.00</v>
      </c>
      <c r="H3112" s="5">
        <f>ROUND(G3112*NOTAS!$B$2,2)</f>
        <v>28132.48</v>
      </c>
      <c r="I3112" s="6">
        <f>ROUND(G3112*NOTAS!$B$3,0)</f>
        <v>126706</v>
      </c>
      <c r="J3112" s="2" t="n">
        <v>18</v>
      </c>
    </row>
    <row r="3113">
      <c r="A3113" s="2" t="inlineStr">
        <is>
          <t>F-112250</t>
        </is>
      </c>
      <c r="B3113" s="2" t="inlineStr"/>
      <c r="C3113" s="2" t="inlineStr">
        <is>
          <t>MOZO CUBO RUEDA TRASERA F-UNO/PREMIO/REGATA/147/SPAZIO</t>
        </is>
      </c>
      <c r="D3113" s="2" t="inlineStr">
        <is>
          <t>INA</t>
        </is>
      </c>
      <c r="E3113" s="3" t="n">
        <v>30</v>
      </c>
      <c r="F3113" s="4" t="n">
        <v>0.3</v>
      </c>
      <c r="G3113" s="5">
        <f>ROUND(E3113*(1+F3113),2)</f>
        <v>39.00</v>
      </c>
      <c r="H3113" s="5">
        <f>ROUND(G3113*NOTAS!$B$2,2)</f>
        <v>28132.48</v>
      </c>
      <c r="I3113" s="6">
        <f>ROUND(G3113*NOTAS!$B$3,0)</f>
        <v>126706</v>
      </c>
      <c r="J3113" s="2" t="n">
        <v>12</v>
      </c>
    </row>
    <row r="3114">
      <c r="A3114" s="2" t="inlineStr">
        <is>
          <t>C190</t>
        </is>
      </c>
      <c r="B3114" s="2" t="inlineStr">
        <is>
          <t>7599461</t>
        </is>
      </c>
      <c r="C3114" s="2" t="inlineStr">
        <is>
          <t>MOZO CUBO RUEDA TRASERA F-UNO/PREMIO/REGATA/147/SPAZIO</t>
        </is>
      </c>
      <c r="D3114" s="2" t="inlineStr">
        <is>
          <t>BREDA</t>
        </is>
      </c>
      <c r="E3114" s="3" t="n">
        <v>22</v>
      </c>
      <c r="F3114" s="4" t="n">
        <v>0.3</v>
      </c>
      <c r="G3114" s="5">
        <f>ROUND(E3114*(1+F3114),2)</f>
        <v>28.60</v>
      </c>
      <c r="H3114" s="5">
        <f>ROUND(G3114*NOTAS!$B$2,2)</f>
        <v>20630.48</v>
      </c>
      <c r="I3114" s="6">
        <f>ROUND(G3114*NOTAS!$B$3,0)</f>
        <v>92918</v>
      </c>
      <c r="J3114" s="2" t="n">
        <v>3</v>
      </c>
    </row>
    <row r="3115">
      <c r="A3115" s="2" t="inlineStr">
        <is>
          <t>4381043</t>
        </is>
      </c>
      <c r="B3115" s="2" t="inlineStr"/>
      <c r="C3115" s="2" t="inlineStr">
        <is>
          <t>MOZO CUBO RUEDA TRASERA F-UNO/PREMIO/REGATA/147/SPAZIO</t>
        </is>
      </c>
      <c r="D3115" s="2" t="inlineStr">
        <is>
          <t>ORIGINAL BIRTH</t>
        </is>
      </c>
      <c r="E3115" s="3" t="n">
        <v>25</v>
      </c>
      <c r="F3115" s="4" t="n">
        <v>0.3</v>
      </c>
      <c r="G3115" s="5">
        <f>ROUND(E3115*(1+F3115),2)</f>
        <v>32.50</v>
      </c>
      <c r="H3115" s="5">
        <f>ROUND(G3115*NOTAS!$B$2,2)</f>
        <v>23443.73</v>
      </c>
      <c r="I3115" s="6">
        <f>ROUND(G3115*NOTAS!$B$3,0)</f>
        <v>105588</v>
      </c>
      <c r="J3115" s="2" t="n">
        <v>1</v>
      </c>
    </row>
    <row r="3116">
      <c r="A3116" s="2" t="inlineStr">
        <is>
          <t>DA0091</t>
        </is>
      </c>
      <c r="B3116" s="2" t="inlineStr"/>
      <c r="C3116" s="2" t="inlineStr">
        <is>
          <t>MOZO CUBO RUEDA TRASERA MONZA/CIELO/LANOS</t>
        </is>
      </c>
      <c r="D3116" s="2" t="inlineStr">
        <is>
          <t>LUCAS VARITY</t>
        </is>
      </c>
      <c r="E3116" s="3" t="n">
        <v>34.6154</v>
      </c>
      <c r="F3116" s="4" t="n">
        <v>0.3</v>
      </c>
      <c r="G3116" s="5">
        <f>ROUND(E3116*(1+F3116),2)</f>
        <v>45.00</v>
      </c>
      <c r="H3116" s="5">
        <f>ROUND(G3116*NOTAS!$B$2,2)</f>
        <v>32460.55</v>
      </c>
      <c r="I3116" s="6">
        <f>ROUND(G3116*NOTAS!$B$3,0)</f>
        <v>146199</v>
      </c>
      <c r="J3116" s="2" t="n">
        <v>8</v>
      </c>
    </row>
    <row r="3117">
      <c r="A3117" s="2" t="inlineStr">
        <is>
          <t>90157011</t>
        </is>
      </c>
      <c r="B3117" s="2" t="inlineStr"/>
      <c r="C3117" s="2" t="inlineStr">
        <is>
          <t>MOZO CUBO RUEDA TRASERA MONZA/CIELO/LANOS CON ESTOPERA Y RODAMIENTO</t>
        </is>
      </c>
      <c r="D3117" s="2" t="inlineStr">
        <is>
          <t>VOBER</t>
        </is>
      </c>
      <c r="E3117" s="3" t="n">
        <v>42.3077</v>
      </c>
      <c r="F3117" s="4" t="n">
        <v>0.3</v>
      </c>
      <c r="G3117" s="5">
        <f>ROUND(E3117*(1+F3117),2)</f>
        <v>55.00</v>
      </c>
      <c r="H3117" s="5">
        <f>ROUND(G3117*NOTAS!$B$2,2)</f>
        <v>39674.01</v>
      </c>
      <c r="I3117" s="6">
        <f>ROUND(G3117*NOTAS!$B$3,0)</f>
        <v>178688</v>
      </c>
      <c r="J3117" s="2" t="n">
        <v>1</v>
      </c>
    </row>
    <row r="3118">
      <c r="A3118" s="2" t="inlineStr">
        <is>
          <t>GM0252</t>
        </is>
      </c>
      <c r="B3118" s="2" t="inlineStr"/>
      <c r="C3118" s="2" t="inlineStr">
        <is>
          <t>MOZO CUBO RUEDA TRASERA OPTRA CON ABS</t>
        </is>
      </c>
      <c r="D3118" s="2" t="inlineStr">
        <is>
          <t>MAXXUN</t>
        </is>
      </c>
      <c r="E3118" s="3" t="n">
        <v>50</v>
      </c>
      <c r="F3118" s="4" t="n">
        <v>0.3</v>
      </c>
      <c r="G3118" s="5">
        <f>ROUND(E3118*(1+F3118),2)</f>
        <v>65.00</v>
      </c>
      <c r="H3118" s="5">
        <f>ROUND(G3118*NOTAS!$B$2,2)</f>
        <v>46887.46</v>
      </c>
      <c r="I3118" s="6">
        <f>ROUND(G3118*NOTAS!$B$3,0)</f>
        <v>211177</v>
      </c>
      <c r="J3118" s="2" t="n">
        <v>2</v>
      </c>
    </row>
    <row r="3119">
      <c r="A3119" s="2" t="inlineStr">
        <is>
          <t>MP-77</t>
        </is>
      </c>
      <c r="B3119" s="2" t="inlineStr"/>
      <c r="C3119" s="2" t="inlineStr">
        <is>
          <t>MOZO CUBO RUEDA TRASERA R-18/FUEGO/21</t>
        </is>
      </c>
      <c r="D3119" s="2" t="inlineStr">
        <is>
          <t>CORAM</t>
        </is>
      </c>
      <c r="E3119" s="3" t="n">
        <v>34</v>
      </c>
      <c r="F3119" s="4" t="n">
        <v>0.3</v>
      </c>
      <c r="G3119" s="5">
        <f>ROUND(E3119*(1+F3119),2)</f>
        <v>44.20</v>
      </c>
      <c r="H3119" s="5">
        <f>ROUND(G3119*NOTAS!$B$2,2)</f>
        <v>31883.48</v>
      </c>
      <c r="I3119" s="6">
        <f>ROUND(G3119*NOTAS!$B$3,0)</f>
        <v>143600</v>
      </c>
      <c r="J3119" s="2" t="n">
        <v>6</v>
      </c>
    </row>
    <row r="3120">
      <c r="A3120" s="2" t="inlineStr">
        <is>
          <t>TGB12095</t>
        </is>
      </c>
      <c r="B3120" s="2" t="inlineStr"/>
      <c r="C3120" s="2" t="inlineStr">
        <is>
          <t>MOZO CUBO RUEDA TRASERA R-18/FUEGO/21</t>
        </is>
      </c>
      <c r="D3120" s="2" t="inlineStr">
        <is>
          <t>KML</t>
        </is>
      </c>
      <c r="E3120" s="3" t="n">
        <v>34.6154</v>
      </c>
      <c r="F3120" s="4" t="n">
        <v>0.3</v>
      </c>
      <c r="G3120" s="5">
        <f>ROUND(E3120*(1+F3120),2)</f>
        <v>45.00</v>
      </c>
      <c r="H3120" s="5">
        <f>ROUND(G3120*NOTAS!$B$2,2)</f>
        <v>32460.55</v>
      </c>
      <c r="I3120" s="6">
        <f>ROUND(G3120*NOTAS!$B$3,0)</f>
        <v>146199</v>
      </c>
      <c r="J3120" s="2" t="n">
        <v>7</v>
      </c>
    </row>
    <row r="3121">
      <c r="A3121" s="2" t="inlineStr">
        <is>
          <t>7700308572</t>
        </is>
      </c>
      <c r="B3121" s="2" t="inlineStr"/>
      <c r="C3121" s="2" t="inlineStr">
        <is>
          <t>MOZO CUBO RUEDA TRASERA R-18/FUEGO/21</t>
        </is>
      </c>
      <c r="D3121" s="2" t="inlineStr">
        <is>
          <t>DDT</t>
        </is>
      </c>
      <c r="E3121" s="3" t="n">
        <v>34.6154</v>
      </c>
      <c r="F3121" s="4" t="n">
        <v>0.3</v>
      </c>
      <c r="G3121" s="5">
        <f>ROUND(E3121*(1+F3121),2)</f>
        <v>45.00</v>
      </c>
      <c r="H3121" s="5">
        <f>ROUND(G3121*NOTAS!$B$2,2)</f>
        <v>32460.55</v>
      </c>
      <c r="I3121" s="6">
        <f>ROUND(G3121*NOTAS!$B$3,0)</f>
        <v>146199</v>
      </c>
      <c r="J3121" s="2" t="n">
        <v>1</v>
      </c>
    </row>
    <row r="3122">
      <c r="A3122" s="2" t="inlineStr">
        <is>
          <t>24024N</t>
        </is>
      </c>
      <c r="B3122" s="2" t="inlineStr"/>
      <c r="C3122" s="2" t="inlineStr">
        <is>
          <t>MOZZO CAJA 3RA 4TA F-RITMO</t>
        </is>
      </c>
      <c r="D3122" s="2" t="inlineStr">
        <is>
          <t>ITALY</t>
        </is>
      </c>
      <c r="E3122" s="3" t="n">
        <v>19.2308</v>
      </c>
      <c r="F3122" s="4" t="n">
        <v>0.3</v>
      </c>
      <c r="G3122" s="5">
        <f>ROUND(E3122*(1+F3122),2)</f>
        <v>25.00</v>
      </c>
      <c r="H3122" s="5">
        <f>ROUND(G3122*NOTAS!$B$2,2)</f>
        <v>18033.64</v>
      </c>
      <c r="I3122" s="6">
        <f>ROUND(G3122*NOTAS!$B$3,0)</f>
        <v>81222</v>
      </c>
      <c r="J3122" s="2" t="n">
        <v>1</v>
      </c>
    </row>
    <row r="3123">
      <c r="A3123" s="2" t="inlineStr">
        <is>
          <t>C2139</t>
        </is>
      </c>
      <c r="B3123" s="2" t="inlineStr"/>
      <c r="C3123" s="2" t="inlineStr">
        <is>
          <t>MUNON INFERIOR AVEO</t>
        </is>
      </c>
      <c r="D3123" s="2" t="inlineStr">
        <is>
          <t>AUTOMOTIVE PARTS</t>
        </is>
      </c>
      <c r="E3123" s="3" t="n">
        <v>6</v>
      </c>
      <c r="F3123" s="4" t="n">
        <v>0.3</v>
      </c>
      <c r="G3123" s="5">
        <f>ROUND(E3123*(1+F3123),2)</f>
        <v>7.80</v>
      </c>
      <c r="H3123" s="5">
        <f>ROUND(G3123*NOTAS!$B$2,2)</f>
        <v>5626.50</v>
      </c>
      <c r="I3123" s="6">
        <f>ROUND(G3123*NOTAS!$B$3,0)</f>
        <v>25341</v>
      </c>
      <c r="J3123" s="2" t="n">
        <v>2</v>
      </c>
    </row>
    <row r="3124">
      <c r="A3124" s="2" t="inlineStr">
        <is>
          <t>96535089</t>
        </is>
      </c>
      <c r="B3124" s="2" t="inlineStr"/>
      <c r="C3124" s="2" t="inlineStr">
        <is>
          <t>MUNON INFERIOR AVEO</t>
        </is>
      </c>
      <c r="D3124" s="2" t="inlineStr">
        <is>
          <t>GM</t>
        </is>
      </c>
      <c r="E3124" s="3" t="n">
        <v>12</v>
      </c>
      <c r="F3124" s="4" t="n">
        <v>0.3</v>
      </c>
      <c r="G3124" s="5">
        <f>ROUND(E3124*(1+F3124),2)</f>
        <v>15.60</v>
      </c>
      <c r="H3124" s="5">
        <f>ROUND(G3124*NOTAS!$B$2,2)</f>
        <v>11252.99</v>
      </c>
      <c r="I3124" s="6">
        <f>ROUND(G3124*NOTAS!$B$3,0)</f>
        <v>50682</v>
      </c>
      <c r="J3124" s="2" t="n">
        <v>4</v>
      </c>
    </row>
    <row r="3125">
      <c r="A3125" s="2" t="inlineStr">
        <is>
          <t>C09017</t>
        </is>
      </c>
      <c r="B3125" s="2" t="inlineStr"/>
      <c r="C3125" s="2" t="inlineStr">
        <is>
          <t>MUNON INFERIOR AVEO</t>
        </is>
      </c>
      <c r="D3125" s="2" t="inlineStr">
        <is>
          <t>CCP</t>
        </is>
      </c>
      <c r="E3125" s="3" t="n">
        <v>5</v>
      </c>
      <c r="F3125" s="4" t="n">
        <v>0.3</v>
      </c>
      <c r="G3125" s="5">
        <f>ROUND(E3125*(1+F3125),2)</f>
        <v>6.50</v>
      </c>
      <c r="H3125" s="5">
        <f>ROUND(G3125*NOTAS!$B$2,2)</f>
        <v>4688.75</v>
      </c>
      <c r="I3125" s="6">
        <f>ROUND(G3125*NOTAS!$B$3,0)</f>
        <v>21118</v>
      </c>
      <c r="J3125" s="2" t="n">
        <v>1</v>
      </c>
    </row>
    <row r="3126">
      <c r="A3126" s="2" t="inlineStr">
        <is>
          <t>GM0148</t>
        </is>
      </c>
      <c r="B3126" s="2" t="inlineStr"/>
      <c r="C3126" s="2" t="inlineStr">
        <is>
          <t>MUNON INFERIOR AVEO</t>
        </is>
      </c>
      <c r="D3126" s="2" t="inlineStr">
        <is>
          <t>DRIVEX</t>
        </is>
      </c>
      <c r="E3126" s="3" t="n">
        <v>5</v>
      </c>
      <c r="F3126" s="4" t="n">
        <v>0.3</v>
      </c>
      <c r="G3126" s="5">
        <f>ROUND(E3126*(1+F3126),2)</f>
        <v>6.50</v>
      </c>
      <c r="H3126" s="5">
        <f>ROUND(G3126*NOTAS!$B$2,2)</f>
        <v>4688.75</v>
      </c>
      <c r="I3126" s="6">
        <f>ROUND(G3126*NOTAS!$B$3,0)</f>
        <v>21118</v>
      </c>
      <c r="J3126" s="2" t="n">
        <v>4</v>
      </c>
    </row>
    <row r="3127">
      <c r="A3127" s="2" t="inlineStr">
        <is>
          <t>93-03146</t>
        </is>
      </c>
      <c r="B3127" s="2" t="inlineStr"/>
      <c r="C3127" s="2" t="inlineStr">
        <is>
          <t>MUNON INFERIOR AVEO</t>
        </is>
      </c>
      <c r="D3127" s="2" t="inlineStr">
        <is>
          <t>RTS</t>
        </is>
      </c>
      <c r="E3127" s="3" t="n">
        <v>8.720000000000001</v>
      </c>
      <c r="F3127" s="4" t="n">
        <v>0.3</v>
      </c>
      <c r="G3127" s="5">
        <f>ROUND(E3127*(1+F3127),2)</f>
        <v>11.34</v>
      </c>
      <c r="H3127" s="5">
        <f>ROUND(G3127*NOTAS!$B$2,2)</f>
        <v>8180.06</v>
      </c>
      <c r="I3127" s="6">
        <f>ROUND(G3127*NOTAS!$B$3,0)</f>
        <v>36842</v>
      </c>
      <c r="J3127" s="2" t="n">
        <v>4</v>
      </c>
    </row>
    <row r="3128">
      <c r="A3128" s="2" t="inlineStr">
        <is>
          <t>CBKD-10</t>
        </is>
      </c>
      <c r="B3128" s="2" t="inlineStr"/>
      <c r="C3128" s="2" t="inlineStr">
        <is>
          <t>MUNON INFERIOR AVEO</t>
        </is>
      </c>
      <c r="D3128" s="2" t="inlineStr">
        <is>
          <t>CTR</t>
        </is>
      </c>
      <c r="E3128" s="3" t="n">
        <v>10</v>
      </c>
      <c r="F3128" s="4" t="n">
        <v>0.3</v>
      </c>
      <c r="G3128" s="5">
        <f>ROUND(E3128*(1+F3128),2)</f>
        <v>13.00</v>
      </c>
      <c r="H3128" s="5">
        <f>ROUND(G3128*NOTAS!$B$2,2)</f>
        <v>9377.49</v>
      </c>
      <c r="I3128" s="6">
        <f>ROUND(G3128*NOTAS!$B$3,0)</f>
        <v>42235</v>
      </c>
      <c r="J3128" s="2" t="n">
        <v>11</v>
      </c>
    </row>
    <row r="3129">
      <c r="A3129" s="2" t="inlineStr">
        <is>
          <t>10277</t>
        </is>
      </c>
      <c r="B3129" s="2" t="inlineStr"/>
      <c r="C3129" s="2" t="inlineStr">
        <is>
          <t>MUNON INFERIOR BLAZER 4X2 MALIBU CAPRICE</t>
        </is>
      </c>
      <c r="D3129" s="2" t="inlineStr">
        <is>
          <t>TRW</t>
        </is>
      </c>
      <c r="E3129" s="3" t="n">
        <v>34.6154</v>
      </c>
      <c r="F3129" s="4" t="n">
        <v>0.3</v>
      </c>
      <c r="G3129" s="5">
        <f>ROUND(E3129*(1+F3129),2)</f>
        <v>45.00</v>
      </c>
      <c r="H3129" s="5">
        <f>ROUND(G3129*NOTAS!$B$2,2)</f>
        <v>32460.55</v>
      </c>
      <c r="I3129" s="6">
        <f>ROUND(G3129*NOTAS!$B$3,0)</f>
        <v>146199</v>
      </c>
      <c r="J3129" s="2" t="n">
        <v>1</v>
      </c>
    </row>
    <row r="3130">
      <c r="A3130" s="2" t="inlineStr">
        <is>
          <t>93-05104</t>
        </is>
      </c>
      <c r="B3130" s="2" t="inlineStr"/>
      <c r="C3130" s="2" t="inlineStr">
        <is>
          <t>MUNON INFERIOR CHEVETTE</t>
        </is>
      </c>
      <c r="D3130" s="2" t="inlineStr">
        <is>
          <t>RTS</t>
        </is>
      </c>
      <c r="E3130" s="3" t="n">
        <v>8</v>
      </c>
      <c r="F3130" s="4" t="n">
        <v>0.3</v>
      </c>
      <c r="G3130" s="5">
        <f>ROUND(E3130*(1+F3130),2)</f>
        <v>10.40</v>
      </c>
      <c r="H3130" s="5">
        <f>ROUND(G3130*NOTAS!$B$2,2)</f>
        <v>7501.99</v>
      </c>
      <c r="I3130" s="6">
        <f>ROUND(G3130*NOTAS!$B$3,0)</f>
        <v>33788</v>
      </c>
      <c r="J3130" s="2" t="n">
        <v>4</v>
      </c>
    </row>
    <row r="3131">
      <c r="A3131" s="2" t="inlineStr">
        <is>
          <t>PV2840DB</t>
        </is>
      </c>
      <c r="B3131" s="2" t="inlineStr"/>
      <c r="C3131" s="2" t="inlineStr">
        <is>
          <t>MUNON INFERIOR CHEVETTE</t>
        </is>
      </c>
      <c r="D3131" s="2" t="inlineStr">
        <is>
          <t>HDSMECPAR</t>
        </is>
      </c>
      <c r="E3131" s="3" t="n">
        <v>7</v>
      </c>
      <c r="F3131" s="4" t="n">
        <v>0.3</v>
      </c>
      <c r="G3131" s="5">
        <f>ROUND(E3131*(1+F3131),2)</f>
        <v>9.10</v>
      </c>
      <c r="H3131" s="5">
        <f>ROUND(G3131*NOTAS!$B$2,2)</f>
        <v>6564.24</v>
      </c>
      <c r="I3131" s="6">
        <f>ROUND(G3131*NOTAS!$B$3,0)</f>
        <v>29565</v>
      </c>
      <c r="J3131" s="2" t="n">
        <v>1</v>
      </c>
    </row>
    <row r="3132">
      <c r="A3132" s="2" t="inlineStr">
        <is>
          <t>CA6159</t>
        </is>
      </c>
      <c r="B3132" s="2" t="inlineStr"/>
      <c r="C3132" s="2" t="inlineStr">
        <is>
          <t>MUNON INFERIOR CHEVETTE</t>
        </is>
      </c>
      <c r="D3132" s="2" t="inlineStr">
        <is>
          <t>TNK</t>
        </is>
      </c>
      <c r="E3132" s="3" t="n">
        <v>7</v>
      </c>
      <c r="F3132" s="4" t="n">
        <v>0.3</v>
      </c>
      <c r="G3132" s="5">
        <f>ROUND(E3132*(1+F3132),2)</f>
        <v>9.10</v>
      </c>
      <c r="H3132" s="5">
        <f>ROUND(G3132*NOTAS!$B$2,2)</f>
        <v>6564.24</v>
      </c>
      <c r="I3132" s="6">
        <f>ROUND(G3132*NOTAS!$B$3,0)</f>
        <v>29565</v>
      </c>
      <c r="J3132" s="2" t="n">
        <v>2</v>
      </c>
    </row>
    <row r="3133">
      <c r="A3133" s="2" t="inlineStr">
        <is>
          <t>400333</t>
        </is>
      </c>
      <c r="B3133" s="2" t="inlineStr"/>
      <c r="C3133" s="2" t="inlineStr">
        <is>
          <t>MUNON INFERIOR CHEVETTE</t>
        </is>
      </c>
      <c r="D3133" s="2" t="inlineStr">
        <is>
          <t>OCAP</t>
        </is>
      </c>
      <c r="E3133" s="3" t="n">
        <v>7</v>
      </c>
      <c r="F3133" s="4" t="n">
        <v>0.3</v>
      </c>
      <c r="G3133" s="5">
        <f>ROUND(E3133*(1+F3133),2)</f>
        <v>9.10</v>
      </c>
      <c r="H3133" s="5">
        <f>ROUND(G3133*NOTAS!$B$2,2)</f>
        <v>6564.24</v>
      </c>
      <c r="I3133" s="6">
        <f>ROUND(G3133*NOTAS!$B$3,0)</f>
        <v>29565</v>
      </c>
      <c r="J3133" s="2" t="n">
        <v>6</v>
      </c>
    </row>
    <row r="3134">
      <c r="A3134" s="2" t="inlineStr">
        <is>
          <t>GM0014</t>
        </is>
      </c>
      <c r="B3134" s="2" t="inlineStr"/>
      <c r="C3134" s="2" t="inlineStr">
        <is>
          <t>MUNON INFERIOR CHEVETTE</t>
        </is>
      </c>
      <c r="D3134" s="2" t="inlineStr">
        <is>
          <t>DRIVEX</t>
        </is>
      </c>
      <c r="E3134" s="3" t="n">
        <v>5.99</v>
      </c>
      <c r="F3134" s="4" t="n">
        <v>0.3</v>
      </c>
      <c r="G3134" s="5">
        <f>ROUND(E3134*(1+F3134),2)</f>
        <v>7.79</v>
      </c>
      <c r="H3134" s="5">
        <f>ROUND(G3134*NOTAS!$B$2,2)</f>
        <v>5619.28</v>
      </c>
      <c r="I3134" s="6">
        <f>ROUND(G3134*NOTAS!$B$3,0)</f>
        <v>25309</v>
      </c>
      <c r="J3134" s="2" t="n">
        <v>4</v>
      </c>
    </row>
    <row r="3135">
      <c r="A3135" s="2" t="inlineStr">
        <is>
          <t>DA0044</t>
        </is>
      </c>
      <c r="B3135" s="2" t="inlineStr"/>
      <c r="C3135" s="2" t="inlineStr">
        <is>
          <t>MUNON INFERIOR CIELO/LANOS</t>
        </is>
      </c>
      <c r="D3135" s="2" t="inlineStr">
        <is>
          <t>DRIVEX</t>
        </is>
      </c>
      <c r="E3135" s="3" t="n">
        <v>5</v>
      </c>
      <c r="F3135" s="4" t="n">
        <v>0.3</v>
      </c>
      <c r="G3135" s="5">
        <f>ROUND(E3135*(1+F3135),2)</f>
        <v>6.50</v>
      </c>
      <c r="H3135" s="5">
        <f>ROUND(G3135*NOTAS!$B$2,2)</f>
        <v>4688.75</v>
      </c>
      <c r="I3135" s="6">
        <f>ROUND(G3135*NOTAS!$B$3,0)</f>
        <v>21118</v>
      </c>
      <c r="J3135" s="2" t="n">
        <v>18</v>
      </c>
    </row>
    <row r="3136">
      <c r="A3136" s="2" t="inlineStr">
        <is>
          <t>93-00320</t>
        </is>
      </c>
      <c r="B3136" s="2" t="inlineStr"/>
      <c r="C3136" s="2" t="inlineStr">
        <is>
          <t>MUNON INFERIOR CIELO/LANOS</t>
        </is>
      </c>
      <c r="D3136" s="2" t="inlineStr">
        <is>
          <t>RTS</t>
        </is>
      </c>
      <c r="E3136" s="3" t="n">
        <v>7</v>
      </c>
      <c r="F3136" s="4" t="n">
        <v>0.3</v>
      </c>
      <c r="G3136" s="5">
        <f>ROUND(E3136*(1+F3136),2)</f>
        <v>9.10</v>
      </c>
      <c r="H3136" s="5">
        <f>ROUND(G3136*NOTAS!$B$2,2)</f>
        <v>6564.24</v>
      </c>
      <c r="I3136" s="6">
        <f>ROUND(G3136*NOTAS!$B$3,0)</f>
        <v>29565</v>
      </c>
      <c r="J3136" s="2" t="n">
        <v>63</v>
      </c>
    </row>
    <row r="3137">
      <c r="A3137" s="2" t="inlineStr">
        <is>
          <t>CBKD-1</t>
        </is>
      </c>
      <c r="B3137" s="2" t="inlineStr"/>
      <c r="C3137" s="2" t="inlineStr">
        <is>
          <t>MUNON INFERIOR CIELO/LANOS</t>
        </is>
      </c>
      <c r="D3137" s="2" t="inlineStr">
        <is>
          <t>CTR</t>
        </is>
      </c>
      <c r="E3137" s="3" t="n">
        <v>6</v>
      </c>
      <c r="F3137" s="4" t="n">
        <v>0.3</v>
      </c>
      <c r="G3137" s="5">
        <f>ROUND(E3137*(1+F3137),2)</f>
        <v>7.80</v>
      </c>
      <c r="H3137" s="5">
        <f>ROUND(G3137*NOTAS!$B$2,2)</f>
        <v>5626.50</v>
      </c>
      <c r="I3137" s="6">
        <f>ROUND(G3137*NOTAS!$B$3,0)</f>
        <v>25341</v>
      </c>
      <c r="J3137" s="2" t="n">
        <v>23</v>
      </c>
    </row>
    <row r="3138">
      <c r="A3138" s="2" t="inlineStr">
        <is>
          <t>43330-29136</t>
        </is>
      </c>
      <c r="B3138" s="2" t="inlineStr"/>
      <c r="C3138" s="2" t="inlineStr">
        <is>
          <t>MUNON INFERIOR COROLLA 83/87</t>
        </is>
      </c>
      <c r="D3138" s="2" t="inlineStr">
        <is>
          <t>555</t>
        </is>
      </c>
      <c r="E3138" s="3" t="n">
        <v>30.7692</v>
      </c>
      <c r="F3138" s="4" t="n">
        <v>0.3</v>
      </c>
      <c r="G3138" s="5">
        <f>ROUND(E3138*(1+F3138),2)</f>
        <v>40.00</v>
      </c>
      <c r="H3138" s="5">
        <f>ROUND(G3138*NOTAS!$B$2,2)</f>
        <v>28853.82</v>
      </c>
      <c r="I3138" s="6">
        <f>ROUND(G3138*NOTAS!$B$3,0)</f>
        <v>129955</v>
      </c>
      <c r="J3138" s="2" t="n">
        <v>1</v>
      </c>
    </row>
    <row r="3139">
      <c r="A3139" s="2" t="inlineStr">
        <is>
          <t>CA902</t>
        </is>
      </c>
      <c r="B3139" s="2" t="inlineStr"/>
      <c r="C3139" s="2" t="inlineStr">
        <is>
          <t>MUNON INFERIOR CORSA CORTO …/99</t>
        </is>
      </c>
      <c r="D3139" s="2" t="inlineStr">
        <is>
          <t>TNK</t>
        </is>
      </c>
      <c r="E3139" s="3" t="n">
        <v>7</v>
      </c>
      <c r="F3139" s="4" t="n">
        <v>0.3</v>
      </c>
      <c r="G3139" s="5">
        <f>ROUND(E3139*(1+F3139),2)</f>
        <v>9.10</v>
      </c>
      <c r="H3139" s="5">
        <f>ROUND(G3139*NOTAS!$B$2,2)</f>
        <v>6564.24</v>
      </c>
      <c r="I3139" s="6">
        <f>ROUND(G3139*NOTAS!$B$3,0)</f>
        <v>29565</v>
      </c>
      <c r="J3139" s="2" t="n">
        <v>8</v>
      </c>
    </row>
    <row r="3140">
      <c r="A3140" s="2" t="inlineStr">
        <is>
          <t>93-00303</t>
        </is>
      </c>
      <c r="B3140" s="2" t="inlineStr"/>
      <c r="C3140" s="2" t="inlineStr">
        <is>
          <t>MUNON INFERIOR CORSA CORTO …/99</t>
        </is>
      </c>
      <c r="D3140" s="2" t="inlineStr">
        <is>
          <t>RTS</t>
        </is>
      </c>
      <c r="E3140" s="3" t="n">
        <v>7</v>
      </c>
      <c r="F3140" s="4" t="n">
        <v>0.3</v>
      </c>
      <c r="G3140" s="5">
        <f>ROUND(E3140*(1+F3140),2)</f>
        <v>9.10</v>
      </c>
      <c r="H3140" s="5">
        <f>ROUND(G3140*NOTAS!$B$2,2)</f>
        <v>6564.24</v>
      </c>
      <c r="I3140" s="6">
        <f>ROUND(G3140*NOTAS!$B$3,0)</f>
        <v>29565</v>
      </c>
      <c r="J3140" s="2" t="n">
        <v>9</v>
      </c>
    </row>
    <row r="3141">
      <c r="A3141" s="2" t="inlineStr">
        <is>
          <t>GM0015</t>
        </is>
      </c>
      <c r="B3141" s="2" t="inlineStr"/>
      <c r="C3141" s="2" t="inlineStr">
        <is>
          <t>MUNON INFERIOR CORSA CORTO …/99</t>
        </is>
      </c>
      <c r="D3141" s="2" t="inlineStr">
        <is>
          <t>DRIVEX</t>
        </is>
      </c>
      <c r="E3141" s="3" t="n">
        <v>4.65</v>
      </c>
      <c r="F3141" s="4" t="n">
        <v>0.3</v>
      </c>
      <c r="G3141" s="5">
        <f>ROUND(E3141*(1+F3141),2)</f>
        <v>6.05</v>
      </c>
      <c r="H3141" s="5">
        <f>ROUND(G3141*NOTAS!$B$2,2)</f>
        <v>4364.14</v>
      </c>
      <c r="I3141" s="6">
        <f>ROUND(G3141*NOTAS!$B$3,0)</f>
        <v>19656</v>
      </c>
      <c r="J3141" s="2" t="n">
        <v>13</v>
      </c>
    </row>
    <row r="3142">
      <c r="A3142" s="2" t="inlineStr">
        <is>
          <t>GM0016</t>
        </is>
      </c>
      <c r="B3142" s="2" t="inlineStr"/>
      <c r="C3142" s="2" t="inlineStr">
        <is>
          <t>MUNON INFERIOR CORSA LARGO 00/06</t>
        </is>
      </c>
      <c r="D3142" s="2" t="inlineStr">
        <is>
          <t>DRIVEX</t>
        </is>
      </c>
      <c r="E3142" s="3" t="n">
        <v>5.61</v>
      </c>
      <c r="F3142" s="4" t="n">
        <v>0.3</v>
      </c>
      <c r="G3142" s="5">
        <f>ROUND(E3142*(1+F3142),2)</f>
        <v>7.29</v>
      </c>
      <c r="H3142" s="5">
        <f>ROUND(G3142*NOTAS!$B$2,2)</f>
        <v>5258.61</v>
      </c>
      <c r="I3142" s="6">
        <f>ROUND(G3142*NOTAS!$B$3,0)</f>
        <v>23684</v>
      </c>
      <c r="J3142" s="2" t="n">
        <v>1</v>
      </c>
    </row>
    <row r="3143">
      <c r="A3143" s="2" t="inlineStr">
        <is>
          <t>93-00313</t>
        </is>
      </c>
      <c r="B3143" s="2" t="inlineStr"/>
      <c r="C3143" s="2" t="inlineStr">
        <is>
          <t>MUNON INFERIOR CORSA LARGO 00/06</t>
        </is>
      </c>
      <c r="D3143" s="2" t="inlineStr">
        <is>
          <t>RTS</t>
        </is>
      </c>
      <c r="E3143" s="3" t="n">
        <v>8</v>
      </c>
      <c r="F3143" s="4" t="n">
        <v>0.3</v>
      </c>
      <c r="G3143" s="5">
        <f>ROUND(E3143*(1+F3143),2)</f>
        <v>10.40</v>
      </c>
      <c r="H3143" s="5">
        <f>ROUND(G3143*NOTAS!$B$2,2)</f>
        <v>7501.99</v>
      </c>
      <c r="I3143" s="6">
        <f>ROUND(G3143*NOTAS!$B$3,0)</f>
        <v>33788</v>
      </c>
      <c r="J3143" s="2" t="n">
        <v>10</v>
      </c>
    </row>
    <row r="3144">
      <c r="A3144" s="2" t="inlineStr">
        <is>
          <t>CA903</t>
        </is>
      </c>
      <c r="B3144" s="2" t="inlineStr"/>
      <c r="C3144" s="2" t="inlineStr">
        <is>
          <t>MUNON INFERIOR CORSA LARGO 00/06</t>
        </is>
      </c>
      <c r="D3144" s="2" t="inlineStr">
        <is>
          <t>TNK</t>
        </is>
      </c>
      <c r="E3144" s="3" t="n">
        <v>8</v>
      </c>
      <c r="F3144" s="4" t="n">
        <v>0.3</v>
      </c>
      <c r="G3144" s="5">
        <f>ROUND(E3144*(1+F3144),2)</f>
        <v>10.40</v>
      </c>
      <c r="H3144" s="5">
        <f>ROUND(G3144*NOTAS!$B$2,2)</f>
        <v>7501.99</v>
      </c>
      <c r="I3144" s="6">
        <f>ROUND(G3144*NOTAS!$B$3,0)</f>
        <v>33788</v>
      </c>
      <c r="J3144" s="2" t="n">
        <v>2</v>
      </c>
    </row>
    <row r="3145">
      <c r="A3145" s="2" t="inlineStr">
        <is>
          <t>490015</t>
        </is>
      </c>
      <c r="B3145" s="2" t="inlineStr"/>
      <c r="C3145" s="2" t="inlineStr">
        <is>
          <t>MUNON INFERIOR DERECHO R-5</t>
        </is>
      </c>
      <c r="D3145" s="2" t="inlineStr">
        <is>
          <t>OCAP</t>
        </is>
      </c>
      <c r="E3145" s="3" t="n">
        <v>5</v>
      </c>
      <c r="F3145" s="4" t="n">
        <v>0.3</v>
      </c>
      <c r="G3145" s="5">
        <f>ROUND(E3145*(1+F3145),2)</f>
        <v>6.50</v>
      </c>
      <c r="H3145" s="5">
        <f>ROUND(G3145*NOTAS!$B$2,2)</f>
        <v>4688.75</v>
      </c>
      <c r="I3145" s="6">
        <f>ROUND(G3145*NOTAS!$B$3,0)</f>
        <v>21118</v>
      </c>
      <c r="J3145" s="2" t="n">
        <v>7</v>
      </c>
    </row>
    <row r="3146">
      <c r="A3146" s="2" t="inlineStr">
        <is>
          <t>RE0007</t>
        </is>
      </c>
      <c r="B3146" s="2" t="inlineStr"/>
      <c r="C3146" s="2" t="inlineStr">
        <is>
          <t>MUNON INFERIOR DERECHO R-5</t>
        </is>
      </c>
      <c r="D3146" s="2" t="inlineStr">
        <is>
          <t>DRIVEX</t>
        </is>
      </c>
      <c r="E3146" s="3" t="n">
        <v>5</v>
      </c>
      <c r="F3146" s="4" t="n">
        <v>0.3</v>
      </c>
      <c r="G3146" s="5">
        <f>ROUND(E3146*(1+F3146),2)</f>
        <v>6.50</v>
      </c>
      <c r="H3146" s="5">
        <f>ROUND(G3146*NOTAS!$B$2,2)</f>
        <v>4688.75</v>
      </c>
      <c r="I3146" s="6">
        <f>ROUND(G3146*NOTAS!$B$3,0)</f>
        <v>21118</v>
      </c>
      <c r="J3146" s="2" t="n">
        <v>3</v>
      </c>
    </row>
    <row r="3147">
      <c r="A3147" s="2" t="inlineStr">
        <is>
          <t>R-104</t>
        </is>
      </c>
      <c r="B3147" s="2" t="inlineStr"/>
      <c r="C3147" s="2" t="inlineStr">
        <is>
          <t>MUNON INFERIOR DERECHO R-5</t>
        </is>
      </c>
      <c r="D3147" s="2" t="inlineStr">
        <is>
          <t>TEKNOROT</t>
        </is>
      </c>
      <c r="E3147" s="3" t="n">
        <v>5</v>
      </c>
      <c r="F3147" s="4" t="n">
        <v>0.3</v>
      </c>
      <c r="G3147" s="5">
        <f>ROUND(E3147*(1+F3147),2)</f>
        <v>6.50</v>
      </c>
      <c r="H3147" s="5">
        <f>ROUND(G3147*NOTAS!$B$2,2)</f>
        <v>4688.75</v>
      </c>
      <c r="I3147" s="6">
        <f>ROUND(G3147*NOTAS!$B$3,0)</f>
        <v>21118</v>
      </c>
      <c r="J3147" s="2" t="n">
        <v>1</v>
      </c>
    </row>
    <row r="3148">
      <c r="A3148" s="2" t="inlineStr">
        <is>
          <t>FO-115</t>
        </is>
      </c>
      <c r="B3148" s="2" t="inlineStr"/>
      <c r="C3148" s="2" t="inlineStr">
        <is>
          <t>MUNON INFERIOR FIESTA …/03-KA</t>
        </is>
      </c>
      <c r="D3148" s="2" t="inlineStr">
        <is>
          <t>TEKNOROT</t>
        </is>
      </c>
      <c r="E3148" s="3" t="n">
        <v>29.2308</v>
      </c>
      <c r="F3148" s="4" t="n">
        <v>0.3</v>
      </c>
      <c r="G3148" s="5">
        <f>ROUND(E3148*(1+F3148),2)</f>
        <v>38.00</v>
      </c>
      <c r="H3148" s="5">
        <f>ROUND(G3148*NOTAS!$B$2,2)</f>
        <v>27411.13</v>
      </c>
      <c r="I3148" s="6">
        <f>ROUND(G3148*NOTAS!$B$3,0)</f>
        <v>123457</v>
      </c>
      <c r="J3148" s="2" t="n">
        <v>2</v>
      </c>
    </row>
    <row r="3149">
      <c r="A3149" s="2" t="inlineStr">
        <is>
          <t>GKP-83-00666-K</t>
        </is>
      </c>
      <c r="B3149" s="2" t="inlineStr"/>
      <c r="C3149" s="2" t="inlineStr">
        <is>
          <t>MUNON INFERIOR FIESTA …/03-KA</t>
        </is>
      </c>
      <c r="D3149" s="2" t="inlineStr">
        <is>
          <t>GKP</t>
        </is>
      </c>
      <c r="E3149" s="3" t="n">
        <v>8</v>
      </c>
      <c r="F3149" s="4" t="n">
        <v>0.3</v>
      </c>
      <c r="G3149" s="5">
        <f>ROUND(E3149*(1+F3149),2)</f>
        <v>10.40</v>
      </c>
      <c r="H3149" s="5">
        <f>ROUND(G3149*NOTAS!$B$2,2)</f>
        <v>7501.99</v>
      </c>
      <c r="I3149" s="6">
        <f>ROUND(G3149*NOTAS!$B$3,0)</f>
        <v>33788</v>
      </c>
      <c r="J3149" s="2" t="n">
        <v>2</v>
      </c>
    </row>
    <row r="3150">
      <c r="A3150" s="2" t="inlineStr">
        <is>
          <t>93-00666</t>
        </is>
      </c>
      <c r="B3150" s="2" t="inlineStr"/>
      <c r="C3150" s="2" t="inlineStr">
        <is>
          <t>MUNON INFERIOR FIESTA …/03-KA</t>
        </is>
      </c>
      <c r="D3150" s="2" t="inlineStr">
        <is>
          <t>RTS</t>
        </is>
      </c>
      <c r="E3150" s="3" t="n">
        <v>10</v>
      </c>
      <c r="F3150" s="4" t="n">
        <v>0.3</v>
      </c>
      <c r="G3150" s="5">
        <f>ROUND(E3150*(1+F3150),2)</f>
        <v>13.00</v>
      </c>
      <c r="H3150" s="5">
        <f>ROUND(G3150*NOTAS!$B$2,2)</f>
        <v>9377.49</v>
      </c>
      <c r="I3150" s="6">
        <f>ROUND(G3150*NOTAS!$B$3,0)</f>
        <v>42235</v>
      </c>
      <c r="J3150" s="2" t="n">
        <v>30</v>
      </c>
    </row>
    <row r="3151">
      <c r="A3151" s="2" t="inlineStr">
        <is>
          <t>FD0023</t>
        </is>
      </c>
      <c r="B3151" s="2" t="inlineStr"/>
      <c r="C3151" s="2" t="inlineStr">
        <is>
          <t>MUNON INFERIOR FIESTA …/03-KA</t>
        </is>
      </c>
      <c r="D3151" s="2" t="inlineStr">
        <is>
          <t>DRIVEX</t>
        </is>
      </c>
      <c r="E3151" s="3" t="n">
        <v>6</v>
      </c>
      <c r="F3151" s="4" t="n">
        <v>0.3</v>
      </c>
      <c r="G3151" s="5">
        <f>ROUND(E3151*(1+F3151),2)</f>
        <v>7.80</v>
      </c>
      <c r="H3151" s="5">
        <f>ROUND(G3151*NOTAS!$B$2,2)</f>
        <v>5626.50</v>
      </c>
      <c r="I3151" s="6">
        <f>ROUND(G3151*NOTAS!$B$3,0)</f>
        <v>25341</v>
      </c>
      <c r="J3151" s="2" t="n">
        <v>5</v>
      </c>
    </row>
    <row r="3152">
      <c r="A3152" s="2" t="inlineStr">
        <is>
          <t>403821</t>
        </is>
      </c>
      <c r="B3152" s="2" t="inlineStr"/>
      <c r="C3152" s="2" t="inlineStr">
        <is>
          <t>MUNON INFERIOR FIESTA 04/…-ECOSPORT</t>
        </is>
      </c>
      <c r="D3152" s="2" t="inlineStr">
        <is>
          <t>OCAP</t>
        </is>
      </c>
      <c r="E3152" s="3" t="n">
        <v>10</v>
      </c>
      <c r="F3152" s="4" t="n">
        <v>0.3</v>
      </c>
      <c r="G3152" s="5">
        <f>ROUND(E3152*(1+F3152),2)</f>
        <v>13.00</v>
      </c>
      <c r="H3152" s="5">
        <f>ROUND(G3152*NOTAS!$B$2,2)</f>
        <v>9377.49</v>
      </c>
      <c r="I3152" s="6">
        <f>ROUND(G3152*NOTAS!$B$3,0)</f>
        <v>42235</v>
      </c>
      <c r="J3152" s="2" t="n">
        <v>1</v>
      </c>
    </row>
    <row r="3153">
      <c r="A3153" s="2" t="inlineStr">
        <is>
          <t>2S61-3395-AA</t>
        </is>
      </c>
      <c r="B3153" s="2" t="inlineStr"/>
      <c r="C3153" s="2" t="inlineStr">
        <is>
          <t>MUNON INFERIOR FIESTA 04/…-ECOSPORT</t>
        </is>
      </c>
      <c r="D3153" s="2" t="inlineStr">
        <is>
          <t>MMXC</t>
        </is>
      </c>
      <c r="E3153" s="3" t="n">
        <v>5.24</v>
      </c>
      <c r="F3153" s="4" t="n">
        <v>0.3</v>
      </c>
      <c r="G3153" s="5">
        <f>ROUND(E3153*(1+F3153),2)</f>
        <v>6.81</v>
      </c>
      <c r="H3153" s="5">
        <f>ROUND(G3153*NOTAS!$B$2,2)</f>
        <v>4912.36</v>
      </c>
      <c r="I3153" s="6">
        <f>ROUND(G3153*NOTAS!$B$3,0)</f>
        <v>22125</v>
      </c>
      <c r="J3153" s="2" t="n">
        <v>3</v>
      </c>
    </row>
    <row r="3154">
      <c r="A3154" s="2" t="inlineStr">
        <is>
          <t>93-00679</t>
        </is>
      </c>
      <c r="B3154" s="2" t="inlineStr"/>
      <c r="C3154" s="2" t="inlineStr">
        <is>
          <t>MUNON INFERIOR FIESTA 04/…-ECOSPORT</t>
        </is>
      </c>
      <c r="D3154" s="2" t="inlineStr">
        <is>
          <t>RTS</t>
        </is>
      </c>
      <c r="E3154" s="3" t="n">
        <v>11</v>
      </c>
      <c r="F3154" s="4" t="n">
        <v>0.3</v>
      </c>
      <c r="G3154" s="5">
        <f>ROUND(E3154*(1+F3154),2)</f>
        <v>14.30</v>
      </c>
      <c r="H3154" s="5">
        <f>ROUND(G3154*NOTAS!$B$2,2)</f>
        <v>10315.24</v>
      </c>
      <c r="I3154" s="6">
        <f>ROUND(G3154*NOTAS!$B$3,0)</f>
        <v>46459</v>
      </c>
      <c r="J3154" s="2" t="n">
        <v>13</v>
      </c>
    </row>
    <row r="3155">
      <c r="A3155" s="2" t="inlineStr">
        <is>
          <t>FI0040</t>
        </is>
      </c>
      <c r="B3155" s="2" t="inlineStr"/>
      <c r="C3155" s="2" t="inlineStr">
        <is>
          <t>MUNON INFERIOR F-PAL/SIE 1.3 16V FIRE</t>
        </is>
      </c>
      <c r="D3155" s="2" t="inlineStr">
        <is>
          <t>DRIVEX</t>
        </is>
      </c>
      <c r="E3155" s="3" t="n">
        <v>6</v>
      </c>
      <c r="F3155" s="4" t="n">
        <v>0.3</v>
      </c>
      <c r="G3155" s="5">
        <f>ROUND(E3155*(1+F3155),2)</f>
        <v>7.80</v>
      </c>
      <c r="H3155" s="5">
        <f>ROUND(G3155*NOTAS!$B$2,2)</f>
        <v>5626.50</v>
      </c>
      <c r="I3155" s="6">
        <f>ROUND(G3155*NOTAS!$B$3,0)</f>
        <v>25341</v>
      </c>
      <c r="J3155" s="2" t="n">
        <v>1</v>
      </c>
    </row>
    <row r="3156">
      <c r="A3156" s="2" t="inlineStr">
        <is>
          <t>93-00187</t>
        </is>
      </c>
      <c r="B3156" s="2" t="inlineStr"/>
      <c r="C3156" s="2" t="inlineStr">
        <is>
          <t>MUNON INFERIOR F-PAL/SIE 1.3 16V FIRE</t>
        </is>
      </c>
      <c r="D3156" s="2" t="inlineStr">
        <is>
          <t>RTS</t>
        </is>
      </c>
      <c r="E3156" s="3" t="n">
        <v>8</v>
      </c>
      <c r="F3156" s="4" t="n">
        <v>0.3</v>
      </c>
      <c r="G3156" s="5">
        <f>ROUND(E3156*(1+F3156),2)</f>
        <v>10.40</v>
      </c>
      <c r="H3156" s="5">
        <f>ROUND(G3156*NOTAS!$B$2,2)</f>
        <v>7501.99</v>
      </c>
      <c r="I3156" s="6">
        <f>ROUND(G3156*NOTAS!$B$3,0)</f>
        <v>33788</v>
      </c>
      <c r="J3156" s="2" t="n">
        <v>7</v>
      </c>
    </row>
    <row r="3157">
      <c r="A3157" s="2" t="inlineStr">
        <is>
          <t>N-6058</t>
        </is>
      </c>
      <c r="B3157" s="2" t="inlineStr"/>
      <c r="C3157" s="2" t="inlineStr">
        <is>
          <t>MUNON INFERIOR F-PAL/SIE 1.3 16V FIRE</t>
        </is>
      </c>
      <c r="D3157" s="2" t="inlineStr">
        <is>
          <t>NAKATA</t>
        </is>
      </c>
      <c r="E3157" s="3" t="n">
        <v>7</v>
      </c>
      <c r="F3157" s="4" t="n">
        <v>0.3</v>
      </c>
      <c r="G3157" s="5">
        <f>ROUND(E3157*(1+F3157),2)</f>
        <v>9.10</v>
      </c>
      <c r="H3157" s="5">
        <f>ROUND(G3157*NOTAS!$B$2,2)</f>
        <v>6564.24</v>
      </c>
      <c r="I3157" s="6">
        <f>ROUND(G3157*NOTAS!$B$3,0)</f>
        <v>29565</v>
      </c>
      <c r="J3157" s="2" t="n">
        <v>2</v>
      </c>
    </row>
    <row r="3158">
      <c r="A3158" s="2" t="inlineStr">
        <is>
          <t>93-00151</t>
        </is>
      </c>
      <c r="B3158" s="2" t="inlineStr"/>
      <c r="C3158" s="2" t="inlineStr">
        <is>
          <t>MUNON INFERIOR F-PAL/SIE EJE FINO</t>
        </is>
      </c>
      <c r="D3158" s="2" t="inlineStr">
        <is>
          <t>RTS</t>
        </is>
      </c>
      <c r="E3158" s="3" t="n">
        <v>8</v>
      </c>
      <c r="F3158" s="4" t="n">
        <v>0.3</v>
      </c>
      <c r="G3158" s="5">
        <f>ROUND(E3158*(1+F3158),2)</f>
        <v>10.40</v>
      </c>
      <c r="H3158" s="5">
        <f>ROUND(G3158*NOTAS!$B$2,2)</f>
        <v>7501.99</v>
      </c>
      <c r="I3158" s="6">
        <f>ROUND(G3158*NOTAS!$B$3,0)</f>
        <v>33788</v>
      </c>
      <c r="J3158" s="2" t="n">
        <v>10</v>
      </c>
    </row>
    <row r="3159">
      <c r="A3159" s="2" t="inlineStr">
        <is>
          <t>F-505</t>
        </is>
      </c>
      <c r="B3159" s="2" t="inlineStr"/>
      <c r="C3159" s="2" t="inlineStr">
        <is>
          <t>MUNON INFERIOR F-PAL/SIE EJE FINO</t>
        </is>
      </c>
      <c r="D3159" s="2" t="inlineStr">
        <is>
          <t>TEKNOROT</t>
        </is>
      </c>
      <c r="E3159" s="3" t="n">
        <v>6</v>
      </c>
      <c r="F3159" s="4" t="n">
        <v>0.3</v>
      </c>
      <c r="G3159" s="5">
        <f>ROUND(E3159*(1+F3159),2)</f>
        <v>7.80</v>
      </c>
      <c r="H3159" s="5">
        <f>ROUND(G3159*NOTAS!$B$2,2)</f>
        <v>5626.50</v>
      </c>
      <c r="I3159" s="6">
        <f>ROUND(G3159*NOTAS!$B$3,0)</f>
        <v>25341</v>
      </c>
      <c r="J3159" s="2" t="n">
        <v>1</v>
      </c>
    </row>
    <row r="3160">
      <c r="A3160" s="2" t="inlineStr">
        <is>
          <t>503108</t>
        </is>
      </c>
      <c r="B3160" s="2" t="inlineStr"/>
      <c r="C3160" s="2" t="inlineStr">
        <is>
          <t>MUNON INFERIOR F-PAL/SIE EJE GRUESO</t>
        </is>
      </c>
      <c r="D3160" s="2" t="inlineStr">
        <is>
          <t>VIEMAR</t>
        </is>
      </c>
      <c r="E3160" s="3" t="n">
        <v>9</v>
      </c>
      <c r="F3160" s="4" t="n">
        <v>0.3</v>
      </c>
      <c r="G3160" s="5">
        <f>ROUND(E3160*(1+F3160),2)</f>
        <v>11.70</v>
      </c>
      <c r="H3160" s="5">
        <f>ROUND(G3160*NOTAS!$B$2,2)</f>
        <v>8439.74</v>
      </c>
      <c r="I3160" s="6">
        <f>ROUND(G3160*NOTAS!$B$3,0)</f>
        <v>38012</v>
      </c>
      <c r="J3160" s="2" t="n">
        <v>2</v>
      </c>
    </row>
    <row r="3161">
      <c r="A3161" s="2" t="inlineStr">
        <is>
          <t>93-09707</t>
        </is>
      </c>
      <c r="B3161" s="2" t="inlineStr"/>
      <c r="C3161" s="2" t="inlineStr">
        <is>
          <t>MUNON INFERIOR HYUNDAI EXCEL/ACCENT/GETZ</t>
        </is>
      </c>
      <c r="D3161" s="2" t="inlineStr">
        <is>
          <t>RTS</t>
        </is>
      </c>
      <c r="E3161" s="3" t="n">
        <v>9</v>
      </c>
      <c r="F3161" s="4" t="n">
        <v>0.3</v>
      </c>
      <c r="G3161" s="5">
        <f>ROUND(E3161*(1+F3161),2)</f>
        <v>11.70</v>
      </c>
      <c r="H3161" s="5">
        <f>ROUND(G3161*NOTAS!$B$2,2)</f>
        <v>8439.74</v>
      </c>
      <c r="I3161" s="6">
        <f>ROUND(G3161*NOTAS!$B$3,0)</f>
        <v>38012</v>
      </c>
      <c r="J3161" s="2" t="n">
        <v>3</v>
      </c>
    </row>
    <row r="3162">
      <c r="A3162" s="2" t="inlineStr">
        <is>
          <t>R-105</t>
        </is>
      </c>
      <c r="B3162" s="2" t="inlineStr"/>
      <c r="C3162" s="2" t="inlineStr">
        <is>
          <t>MUNON INFERIOR IZQUIERDO R-5</t>
        </is>
      </c>
      <c r="D3162" s="2" t="inlineStr">
        <is>
          <t>TEKNOROT</t>
        </is>
      </c>
      <c r="E3162" s="3" t="n">
        <v>5</v>
      </c>
      <c r="F3162" s="4" t="n">
        <v>0.3</v>
      </c>
      <c r="G3162" s="5">
        <f>ROUND(E3162*(1+F3162),2)</f>
        <v>6.50</v>
      </c>
      <c r="H3162" s="5">
        <f>ROUND(G3162*NOTAS!$B$2,2)</f>
        <v>4688.75</v>
      </c>
      <c r="I3162" s="6">
        <f>ROUND(G3162*NOTAS!$B$3,0)</f>
        <v>21118</v>
      </c>
      <c r="J3162" s="2" t="n">
        <v>6</v>
      </c>
    </row>
    <row r="3163">
      <c r="A3163" s="2" t="inlineStr">
        <is>
          <t>480015</t>
        </is>
      </c>
      <c r="B3163" s="2" t="inlineStr"/>
      <c r="C3163" s="2" t="inlineStr">
        <is>
          <t>MUNON INFERIOR IZQUIERDO R-5</t>
        </is>
      </c>
      <c r="D3163" s="2" t="inlineStr">
        <is>
          <t>OCAP</t>
        </is>
      </c>
      <c r="E3163" s="3" t="n">
        <v>5</v>
      </c>
      <c r="F3163" s="4" t="n">
        <v>0.3</v>
      </c>
      <c r="G3163" s="5">
        <f>ROUND(E3163*(1+F3163),2)</f>
        <v>6.50</v>
      </c>
      <c r="H3163" s="5">
        <f>ROUND(G3163*NOTAS!$B$2,2)</f>
        <v>4688.75</v>
      </c>
      <c r="I3163" s="6">
        <f>ROUND(G3163*NOTAS!$B$3,0)</f>
        <v>21118</v>
      </c>
      <c r="J3163" s="2" t="n">
        <v>12</v>
      </c>
    </row>
    <row r="3164">
      <c r="A3164" s="2" t="inlineStr">
        <is>
          <t>7701463687</t>
        </is>
      </c>
      <c r="B3164" s="2" t="inlineStr"/>
      <c r="C3164" s="2" t="inlineStr">
        <is>
          <t>MUNON INFERIOR IZQUIERDO R-5</t>
        </is>
      </c>
      <c r="D3164" s="2" t="inlineStr">
        <is>
          <t>GUTTMANN</t>
        </is>
      </c>
      <c r="E3164" s="3" t="n">
        <v>5</v>
      </c>
      <c r="F3164" s="4" t="n">
        <v>0.3</v>
      </c>
      <c r="G3164" s="5">
        <f>ROUND(E3164*(1+F3164),2)</f>
        <v>6.50</v>
      </c>
      <c r="H3164" s="5">
        <f>ROUND(G3164*NOTAS!$B$2,2)</f>
        <v>4688.75</v>
      </c>
      <c r="I3164" s="6">
        <f>ROUND(G3164*NOTAS!$B$3,0)</f>
        <v>21118</v>
      </c>
      <c r="J3164" s="2" t="n">
        <v>1</v>
      </c>
    </row>
    <row r="3165">
      <c r="A3165" s="2" t="inlineStr">
        <is>
          <t>N1014</t>
        </is>
      </c>
      <c r="B3165" s="2" t="inlineStr"/>
      <c r="C3165" s="2" t="inlineStr">
        <is>
          <t>MUNON INFERIOR IZQUIERDO VW GOL SAVEIRO 01/08 PARATI 1.8 PUNTA GRUESA 17MM</t>
        </is>
      </c>
      <c r="D3165" s="2" t="inlineStr">
        <is>
          <t>NAKATA</t>
        </is>
      </c>
      <c r="E3165" s="3" t="n">
        <v>7</v>
      </c>
      <c r="F3165" s="4" t="n">
        <v>0.3</v>
      </c>
      <c r="G3165" s="5">
        <f>ROUND(E3165*(1+F3165),2)</f>
        <v>9.10</v>
      </c>
      <c r="H3165" s="5">
        <f>ROUND(G3165*NOTAS!$B$2,2)</f>
        <v>6564.24</v>
      </c>
      <c r="I3165" s="6">
        <f>ROUND(G3165*NOTAS!$B$3,0)</f>
        <v>29565</v>
      </c>
      <c r="J3165" s="2" t="n">
        <v>5</v>
      </c>
    </row>
    <row r="3166">
      <c r="A3166" s="2" t="inlineStr">
        <is>
          <t>AM0300</t>
        </is>
      </c>
      <c r="B3166" s="2" t="inlineStr"/>
      <c r="C3166" s="2" t="inlineStr">
        <is>
          <t>MUNON INFERIOR MONTANA</t>
        </is>
      </c>
      <c r="D3166" s="2" t="inlineStr">
        <is>
          <t>DRIVEX</t>
        </is>
      </c>
      <c r="E3166" s="3" t="n">
        <v>5.85</v>
      </c>
      <c r="F3166" s="4" t="n">
        <v>0.3</v>
      </c>
      <c r="G3166" s="5">
        <f>ROUND(E3166*(1+F3166),2)</f>
        <v>7.61</v>
      </c>
      <c r="H3166" s="5">
        <f>ROUND(G3166*NOTAS!$B$2,2)</f>
        <v>5489.44</v>
      </c>
      <c r="I3166" s="6">
        <f>ROUND(G3166*NOTAS!$B$3,0)</f>
        <v>24724</v>
      </c>
      <c r="J3166" s="2" t="n">
        <v>5</v>
      </c>
    </row>
    <row r="3167">
      <c r="A3167" s="2" t="inlineStr">
        <is>
          <t>K3069</t>
        </is>
      </c>
      <c r="B3167" s="2" t="inlineStr"/>
      <c r="C3167" s="2" t="inlineStr">
        <is>
          <t>MUNON INFERIOR MONTANA</t>
        </is>
      </c>
      <c r="D3167" s="2" t="inlineStr">
        <is>
          <t>JOINT</t>
        </is>
      </c>
      <c r="E3167" s="3" t="n">
        <v>7</v>
      </c>
      <c r="F3167" s="4" t="n">
        <v>0.3</v>
      </c>
      <c r="G3167" s="5">
        <f>ROUND(E3167*(1+F3167),2)</f>
        <v>9.10</v>
      </c>
      <c r="H3167" s="5">
        <f>ROUND(G3167*NOTAS!$B$2,2)</f>
        <v>6564.24</v>
      </c>
      <c r="I3167" s="6">
        <f>ROUND(G3167*NOTAS!$B$3,0)</f>
        <v>29565</v>
      </c>
      <c r="J3167" s="2" t="n">
        <v>2</v>
      </c>
    </row>
    <row r="3168">
      <c r="A3168" s="2" t="inlineStr">
        <is>
          <t>352803</t>
        </is>
      </c>
      <c r="B3168" s="2" t="inlineStr"/>
      <c r="C3168" s="2" t="inlineStr">
        <is>
          <t>MUNON INFERIOR MONTANA</t>
        </is>
      </c>
      <c r="D3168" s="2" t="inlineStr">
        <is>
          <t>YOKOMITSU</t>
        </is>
      </c>
      <c r="E3168" s="3" t="n">
        <v>6</v>
      </c>
      <c r="F3168" s="4" t="n">
        <v>0.3</v>
      </c>
      <c r="G3168" s="5">
        <f>ROUND(E3168*(1+F3168),2)</f>
        <v>7.80</v>
      </c>
      <c r="H3168" s="5">
        <f>ROUND(G3168*NOTAS!$B$2,2)</f>
        <v>5626.50</v>
      </c>
      <c r="I3168" s="6">
        <f>ROUND(G3168*NOTAS!$B$3,0)</f>
        <v>25341</v>
      </c>
      <c r="J3168" s="2" t="n">
        <v>1</v>
      </c>
    </row>
    <row r="3169">
      <c r="A3169" s="2" t="inlineStr">
        <is>
          <t>40077</t>
        </is>
      </c>
      <c r="B3169" s="2" t="inlineStr"/>
      <c r="C3169" s="2" t="inlineStr">
        <is>
          <t>MUNON INFERIOR MONZA</t>
        </is>
      </c>
      <c r="D3169" s="2" t="inlineStr">
        <is>
          <t>OCAP</t>
        </is>
      </c>
      <c r="E3169" s="3" t="n">
        <v>7</v>
      </c>
      <c r="F3169" s="4" t="n">
        <v>0.3</v>
      </c>
      <c r="G3169" s="5">
        <f>ROUND(E3169*(1+F3169),2)</f>
        <v>9.10</v>
      </c>
      <c r="H3169" s="5">
        <f>ROUND(G3169*NOTAS!$B$2,2)</f>
        <v>6564.24</v>
      </c>
      <c r="I3169" s="6">
        <f>ROUND(G3169*NOTAS!$B$3,0)</f>
        <v>29565</v>
      </c>
      <c r="J3169" s="2" t="n">
        <v>2</v>
      </c>
    </row>
    <row r="3170">
      <c r="A3170" s="2" t="inlineStr"/>
      <c r="B3170" s="2" t="inlineStr"/>
      <c r="C3170" s="2" t="inlineStr">
        <is>
          <t>MUNON INFERIOR MONZA</t>
        </is>
      </c>
      <c r="D3170" s="2" t="inlineStr">
        <is>
          <t>DRIVEX</t>
        </is>
      </c>
      <c r="E3170" s="3" t="n">
        <v>5</v>
      </c>
      <c r="F3170" s="4" t="n">
        <v>0.3</v>
      </c>
      <c r="G3170" s="5">
        <f>ROUND(E3170*(1+F3170),2)</f>
        <v>6.50</v>
      </c>
      <c r="H3170" s="5">
        <f>ROUND(G3170*NOTAS!$B$2,2)</f>
        <v>4688.75</v>
      </c>
      <c r="I3170" s="6">
        <f>ROUND(G3170*NOTAS!$B$3,0)</f>
        <v>21118</v>
      </c>
      <c r="J3170" s="2" t="n">
        <v>1</v>
      </c>
    </row>
    <row r="3171">
      <c r="A3171" s="2" t="inlineStr">
        <is>
          <t>93-00321</t>
        </is>
      </c>
      <c r="B3171" s="2" t="inlineStr"/>
      <c r="C3171" s="2" t="inlineStr">
        <is>
          <t>MUNON INFERIOR MONZA</t>
        </is>
      </c>
      <c r="D3171" s="2" t="inlineStr">
        <is>
          <t>RTS</t>
        </is>
      </c>
      <c r="E3171" s="3" t="n">
        <v>7</v>
      </c>
      <c r="F3171" s="4" t="n">
        <v>0.3</v>
      </c>
      <c r="G3171" s="5">
        <f>ROUND(E3171*(1+F3171),2)</f>
        <v>9.10</v>
      </c>
      <c r="H3171" s="5">
        <f>ROUND(G3171*NOTAS!$B$2,2)</f>
        <v>6564.24</v>
      </c>
      <c r="I3171" s="6">
        <f>ROUND(G3171*NOTAS!$B$3,0)</f>
        <v>29565</v>
      </c>
      <c r="J3171" s="2" t="n">
        <v>2</v>
      </c>
    </row>
    <row r="3172">
      <c r="A3172" s="2" t="inlineStr">
        <is>
          <t>DA-305</t>
        </is>
      </c>
      <c r="B3172" s="2" t="inlineStr"/>
      <c r="C3172" s="2" t="inlineStr">
        <is>
          <t>MUNON INFERIOR NUBIRA</t>
        </is>
      </c>
      <c r="D3172" s="2" t="inlineStr">
        <is>
          <t>TEKNOROT</t>
        </is>
      </c>
      <c r="E3172" s="3" t="n">
        <v>6</v>
      </c>
      <c r="F3172" s="4" t="n">
        <v>0.3</v>
      </c>
      <c r="G3172" s="5">
        <f>ROUND(E3172*(1+F3172),2)</f>
        <v>7.80</v>
      </c>
      <c r="H3172" s="5">
        <f>ROUND(G3172*NOTAS!$B$2,2)</f>
        <v>5626.50</v>
      </c>
      <c r="I3172" s="6">
        <f>ROUND(G3172*NOTAS!$B$3,0)</f>
        <v>25341</v>
      </c>
      <c r="J3172" s="2" t="n">
        <v>4</v>
      </c>
    </row>
    <row r="3173">
      <c r="A3173" s="2" t="inlineStr">
        <is>
          <t>93-08012</t>
        </is>
      </c>
      <c r="B3173" s="2" t="inlineStr"/>
      <c r="C3173" s="2" t="inlineStr">
        <is>
          <t>MUNON INFERIOR NUBIRA</t>
        </is>
      </c>
      <c r="D3173" s="2" t="inlineStr">
        <is>
          <t>RTS</t>
        </is>
      </c>
      <c r="E3173" s="3" t="n">
        <v>8</v>
      </c>
      <c r="F3173" s="4" t="n">
        <v>0.3</v>
      </c>
      <c r="G3173" s="5">
        <f>ROUND(E3173*(1+F3173),2)</f>
        <v>10.40</v>
      </c>
      <c r="H3173" s="5">
        <f>ROUND(G3173*NOTAS!$B$2,2)</f>
        <v>7501.99</v>
      </c>
      <c r="I3173" s="6">
        <f>ROUND(G3173*NOTAS!$B$3,0)</f>
        <v>33788</v>
      </c>
      <c r="J3173" s="2" t="n">
        <v>2</v>
      </c>
    </row>
    <row r="3174">
      <c r="A3174" s="2" t="inlineStr">
        <is>
          <t>CJO96490218</t>
        </is>
      </c>
      <c r="B3174" s="2" t="inlineStr"/>
      <c r="C3174" s="2" t="inlineStr">
        <is>
          <t>MUNON INFERIOR OPTRA</t>
        </is>
      </c>
      <c r="D3174" s="2" t="inlineStr">
        <is>
          <t>JOINT</t>
        </is>
      </c>
      <c r="E3174" s="3" t="n">
        <v>7</v>
      </c>
      <c r="F3174" s="4" t="n">
        <v>0.3</v>
      </c>
      <c r="G3174" s="5">
        <f>ROUND(E3174*(1+F3174),2)</f>
        <v>9.10</v>
      </c>
      <c r="H3174" s="5">
        <f>ROUND(G3174*NOTAS!$B$2,2)</f>
        <v>6564.24</v>
      </c>
      <c r="I3174" s="6">
        <f>ROUND(G3174*NOTAS!$B$3,0)</f>
        <v>29565</v>
      </c>
      <c r="J3174" s="2" t="n">
        <v>4</v>
      </c>
    </row>
    <row r="3175">
      <c r="A3175" s="2" t="inlineStr">
        <is>
          <t>GM0147</t>
        </is>
      </c>
      <c r="B3175" s="2" t="inlineStr"/>
      <c r="C3175" s="2" t="inlineStr">
        <is>
          <t>MUNON INFERIOR OPTRA</t>
        </is>
      </c>
      <c r="D3175" s="2" t="inlineStr">
        <is>
          <t>DRIVEX</t>
        </is>
      </c>
      <c r="E3175" s="3" t="n">
        <v>5.51</v>
      </c>
      <c r="F3175" s="4" t="n">
        <v>0.3</v>
      </c>
      <c r="G3175" s="5">
        <f>ROUND(E3175*(1+F3175),2)</f>
        <v>7.16</v>
      </c>
      <c r="H3175" s="5">
        <f>ROUND(G3175*NOTAS!$B$2,2)</f>
        <v>5164.83</v>
      </c>
      <c r="I3175" s="6">
        <f>ROUND(G3175*NOTAS!$B$3,0)</f>
        <v>23262</v>
      </c>
      <c r="J3175" s="2" t="n">
        <v>6</v>
      </c>
    </row>
    <row r="3176">
      <c r="A3176" s="2" t="inlineStr">
        <is>
          <t>96490218</t>
        </is>
      </c>
      <c r="B3176" s="2" t="inlineStr"/>
      <c r="C3176" s="2" t="inlineStr">
        <is>
          <t>MUNON INFERIOR OPTRA</t>
        </is>
      </c>
      <c r="D3176" s="2" t="inlineStr">
        <is>
          <t>GM</t>
        </is>
      </c>
      <c r="E3176" s="3" t="n">
        <v>12</v>
      </c>
      <c r="F3176" s="4" t="n">
        <v>0.3</v>
      </c>
      <c r="G3176" s="5">
        <f>ROUND(E3176*(1+F3176),2)</f>
        <v>15.60</v>
      </c>
      <c r="H3176" s="5">
        <f>ROUND(G3176*NOTAS!$B$2,2)</f>
        <v>11252.99</v>
      </c>
      <c r="I3176" s="6">
        <f>ROUND(G3176*NOTAS!$B$3,0)</f>
        <v>50682</v>
      </c>
      <c r="J3176" s="2" t="n">
        <v>2</v>
      </c>
    </row>
    <row r="3177">
      <c r="A3177" s="2" t="inlineStr">
        <is>
          <t>CBKD-11</t>
        </is>
      </c>
      <c r="B3177" s="2" t="inlineStr"/>
      <c r="C3177" s="2" t="inlineStr">
        <is>
          <t>MUNON INFERIOR OPTRA</t>
        </is>
      </c>
      <c r="D3177" s="2" t="inlineStr">
        <is>
          <t>CTR</t>
        </is>
      </c>
      <c r="E3177" s="3" t="n">
        <v>10</v>
      </c>
      <c r="F3177" s="4" t="n">
        <v>0.3</v>
      </c>
      <c r="G3177" s="5">
        <f>ROUND(E3177*(1+F3177),2)</f>
        <v>13.00</v>
      </c>
      <c r="H3177" s="5">
        <f>ROUND(G3177*NOTAS!$B$2,2)</f>
        <v>9377.49</v>
      </c>
      <c r="I3177" s="6">
        <f>ROUND(G3177*NOTAS!$B$3,0)</f>
        <v>42235</v>
      </c>
      <c r="J3177" s="2" t="n">
        <v>6</v>
      </c>
    </row>
    <row r="3178">
      <c r="A3178" s="2" t="inlineStr">
        <is>
          <t>7701462182-S03</t>
        </is>
      </c>
      <c r="B3178" s="2" t="inlineStr"/>
      <c r="C3178" s="2" t="inlineStr">
        <is>
          <t>MUNON INFERIOR R-11/19/TWINGO/CLIO</t>
        </is>
      </c>
      <c r="D3178" s="2" t="inlineStr">
        <is>
          <t>JOINT</t>
        </is>
      </c>
      <c r="E3178" s="3" t="n">
        <v>7</v>
      </c>
      <c r="F3178" s="4" t="n">
        <v>0.3</v>
      </c>
      <c r="G3178" s="5">
        <f>ROUND(E3178*(1+F3178),2)</f>
        <v>9.10</v>
      </c>
      <c r="H3178" s="5">
        <f>ROUND(G3178*NOTAS!$B$2,2)</f>
        <v>6564.24</v>
      </c>
      <c r="I3178" s="6">
        <f>ROUND(G3178*NOTAS!$B$3,0)</f>
        <v>29565</v>
      </c>
      <c r="J3178" s="2" t="n">
        <v>1</v>
      </c>
    </row>
    <row r="3179">
      <c r="A3179" s="2" t="inlineStr">
        <is>
          <t>93-00406-056</t>
        </is>
      </c>
      <c r="B3179" s="2" t="inlineStr"/>
      <c r="C3179" s="2" t="inlineStr">
        <is>
          <t>MUNON INFERIOR R-11/19/TWINGO/CLIO</t>
        </is>
      </c>
      <c r="D3179" s="2" t="inlineStr">
        <is>
          <t>RTS</t>
        </is>
      </c>
      <c r="E3179" s="3" t="n">
        <v>9.99</v>
      </c>
      <c r="F3179" s="4" t="n">
        <v>0.3</v>
      </c>
      <c r="G3179" s="5">
        <f>ROUND(E3179*(1+F3179),2)</f>
        <v>12.99</v>
      </c>
      <c r="H3179" s="5">
        <f>ROUND(G3179*NOTAS!$B$2,2)</f>
        <v>9370.28</v>
      </c>
      <c r="I3179" s="6">
        <f>ROUND(G3179*NOTAS!$B$3,0)</f>
        <v>42203</v>
      </c>
      <c r="J3179" s="2" t="n">
        <v>45</v>
      </c>
    </row>
    <row r="3180">
      <c r="A3180" s="2" t="inlineStr">
        <is>
          <t>RA27</t>
        </is>
      </c>
      <c r="B3180" s="2" t="inlineStr"/>
      <c r="C3180" s="2" t="inlineStr">
        <is>
          <t>MUNON INFERIOR R-11/19/TWINGO/CLIO</t>
        </is>
      </c>
      <c r="D3180" s="2" t="inlineStr">
        <is>
          <t>TNK</t>
        </is>
      </c>
      <c r="E3180" s="3" t="n">
        <v>9</v>
      </c>
      <c r="F3180" s="4" t="n">
        <v>0.3</v>
      </c>
      <c r="G3180" s="5">
        <f>ROUND(E3180*(1+F3180),2)</f>
        <v>11.70</v>
      </c>
      <c r="H3180" s="5">
        <f>ROUND(G3180*NOTAS!$B$2,2)</f>
        <v>8439.74</v>
      </c>
      <c r="I3180" s="6">
        <f>ROUND(G3180*NOTAS!$B$3,0)</f>
        <v>38012</v>
      </c>
      <c r="J3180" s="2" t="n">
        <v>28</v>
      </c>
    </row>
    <row r="3181">
      <c r="A3181" s="2" t="inlineStr"/>
      <c r="B3181" s="2" t="inlineStr"/>
      <c r="C3181" s="2" t="inlineStr">
        <is>
          <t>MUNON INFERIOR R-12/CORCEL</t>
        </is>
      </c>
      <c r="D3181" s="2" t="inlineStr">
        <is>
          <t>DRIVEX</t>
        </is>
      </c>
      <c r="E3181" s="3" t="n">
        <v>6</v>
      </c>
      <c r="F3181" s="4" t="n">
        <v>0.3</v>
      </c>
      <c r="G3181" s="5">
        <f>ROUND(E3181*(1+F3181),2)</f>
        <v>7.80</v>
      </c>
      <c r="H3181" s="5">
        <f>ROUND(G3181*NOTAS!$B$2,2)</f>
        <v>5626.50</v>
      </c>
      <c r="I3181" s="6">
        <f>ROUND(G3181*NOTAS!$B$3,0)</f>
        <v>25341</v>
      </c>
      <c r="J3181" s="2" t="n">
        <v>25</v>
      </c>
    </row>
    <row r="3182">
      <c r="A3182" s="2" t="inlineStr">
        <is>
          <t>400009</t>
        </is>
      </c>
      <c r="B3182" s="2" t="inlineStr"/>
      <c r="C3182" s="2" t="inlineStr">
        <is>
          <t>MUNON INFERIOR R-12/CORCEL</t>
        </is>
      </c>
      <c r="D3182" s="2" t="inlineStr">
        <is>
          <t>OCAP</t>
        </is>
      </c>
      <c r="E3182" s="3" t="n">
        <v>9</v>
      </c>
      <c r="F3182" s="4" t="n">
        <v>0.3</v>
      </c>
      <c r="G3182" s="5">
        <f>ROUND(E3182*(1+F3182),2)</f>
        <v>11.70</v>
      </c>
      <c r="H3182" s="5">
        <f>ROUND(G3182*NOTAS!$B$2,2)</f>
        <v>8439.74</v>
      </c>
      <c r="I3182" s="6">
        <f>ROUND(G3182*NOTAS!$B$3,0)</f>
        <v>38012</v>
      </c>
      <c r="J3182" s="2" t="n">
        <v>6</v>
      </c>
    </row>
    <row r="3183">
      <c r="A3183" s="2" t="inlineStr">
        <is>
          <t>400936</t>
        </is>
      </c>
      <c r="B3183" s="2" t="inlineStr"/>
      <c r="C3183" s="2" t="inlineStr">
        <is>
          <t>MUNON INFERIOR R-18/FUEGO</t>
        </is>
      </c>
      <c r="D3183" s="2" t="inlineStr">
        <is>
          <t>OCAP</t>
        </is>
      </c>
      <c r="E3183" s="3" t="n">
        <v>9</v>
      </c>
      <c r="F3183" s="4" t="n">
        <v>0.3</v>
      </c>
      <c r="G3183" s="5">
        <f>ROUND(E3183*(1+F3183),2)</f>
        <v>11.70</v>
      </c>
      <c r="H3183" s="5">
        <f>ROUND(G3183*NOTAS!$B$2,2)</f>
        <v>8439.74</v>
      </c>
      <c r="I3183" s="6">
        <f>ROUND(G3183*NOTAS!$B$3,0)</f>
        <v>38012</v>
      </c>
      <c r="J3183" s="2" t="n">
        <v>3</v>
      </c>
    </row>
    <row r="3184">
      <c r="A3184" s="2" t="inlineStr">
        <is>
          <t>RA90</t>
        </is>
      </c>
      <c r="B3184" s="2" t="inlineStr"/>
      <c r="C3184" s="2" t="inlineStr">
        <is>
          <t>MUNON INFERIOR R-18/FUEGO</t>
        </is>
      </c>
      <c r="D3184" s="2" t="inlineStr">
        <is>
          <t>TNK</t>
        </is>
      </c>
      <c r="E3184" s="3" t="n">
        <v>9</v>
      </c>
      <c r="F3184" s="4" t="n">
        <v>0.3</v>
      </c>
      <c r="G3184" s="5">
        <f>ROUND(E3184*(1+F3184),2)</f>
        <v>11.70</v>
      </c>
      <c r="H3184" s="5">
        <f>ROUND(G3184*NOTAS!$B$2,2)</f>
        <v>8439.74</v>
      </c>
      <c r="I3184" s="6">
        <f>ROUND(G3184*NOTAS!$B$3,0)</f>
        <v>38012</v>
      </c>
      <c r="J3184" s="2" t="n">
        <v>1</v>
      </c>
    </row>
    <row r="3185">
      <c r="A3185" s="2" t="inlineStr">
        <is>
          <t>GKP-83-00424</t>
        </is>
      </c>
      <c r="B3185" s="2" t="inlineStr"/>
      <c r="C3185" s="2" t="inlineStr">
        <is>
          <t>MUNON INFERIOR R-18/FUEGO</t>
        </is>
      </c>
      <c r="D3185" s="2" t="inlineStr">
        <is>
          <t>GKP</t>
        </is>
      </c>
      <c r="E3185" s="3" t="n">
        <v>7</v>
      </c>
      <c r="F3185" s="4" t="n">
        <v>0.3</v>
      </c>
      <c r="G3185" s="5">
        <f>ROUND(E3185*(1+F3185),2)</f>
        <v>9.10</v>
      </c>
      <c r="H3185" s="5">
        <f>ROUND(G3185*NOTAS!$B$2,2)</f>
        <v>6564.24</v>
      </c>
      <c r="I3185" s="6">
        <f>ROUND(G3185*NOTAS!$B$3,0)</f>
        <v>29565</v>
      </c>
      <c r="J3185" s="2" t="n">
        <v>6</v>
      </c>
    </row>
    <row r="3186">
      <c r="A3186" s="2" t="inlineStr">
        <is>
          <t>R-405</t>
        </is>
      </c>
      <c r="B3186" s="2" t="inlineStr"/>
      <c r="C3186" s="2" t="inlineStr">
        <is>
          <t>MUNON INFERIOR R-18/FUEGO</t>
        </is>
      </c>
      <c r="D3186" s="2" t="inlineStr">
        <is>
          <t>TEKNOROT</t>
        </is>
      </c>
      <c r="E3186" s="3" t="n">
        <v>7</v>
      </c>
      <c r="F3186" s="4" t="n">
        <v>0.3</v>
      </c>
      <c r="G3186" s="5">
        <f>ROUND(E3186*(1+F3186),2)</f>
        <v>9.10</v>
      </c>
      <c r="H3186" s="5">
        <f>ROUND(G3186*NOTAS!$B$2,2)</f>
        <v>6564.24</v>
      </c>
      <c r="I3186" s="6">
        <f>ROUND(G3186*NOTAS!$B$3,0)</f>
        <v>29565</v>
      </c>
      <c r="J3186" s="2" t="n">
        <v>4</v>
      </c>
    </row>
    <row r="3187">
      <c r="A3187" s="2" t="inlineStr">
        <is>
          <t>RE0005</t>
        </is>
      </c>
      <c r="B3187" s="2" t="inlineStr"/>
      <c r="C3187" s="2" t="inlineStr">
        <is>
          <t>MUNON INFERIOR R-18/FUEGO</t>
        </is>
      </c>
      <c r="D3187" s="2" t="inlineStr">
        <is>
          <t>DRIVEX</t>
        </is>
      </c>
      <c r="E3187" s="3" t="n">
        <v>6</v>
      </c>
      <c r="F3187" s="4" t="n">
        <v>0.3</v>
      </c>
      <c r="G3187" s="5">
        <f>ROUND(E3187*(1+F3187),2)</f>
        <v>7.80</v>
      </c>
      <c r="H3187" s="5">
        <f>ROUND(G3187*NOTAS!$B$2,2)</f>
        <v>5626.50</v>
      </c>
      <c r="I3187" s="6">
        <f>ROUND(G3187*NOTAS!$B$3,0)</f>
        <v>25341</v>
      </c>
      <c r="J3187" s="2" t="n">
        <v>28</v>
      </c>
    </row>
    <row r="3188">
      <c r="A3188" s="2" t="inlineStr"/>
      <c r="B3188" s="2" t="inlineStr"/>
      <c r="C3188" s="2" t="inlineStr">
        <is>
          <t>MUNON INFERIOR R-21</t>
        </is>
      </c>
      <c r="D3188" s="2" t="inlineStr">
        <is>
          <t>DRIVEX</t>
        </is>
      </c>
      <c r="E3188" s="3" t="n">
        <v>6</v>
      </c>
      <c r="F3188" s="4" t="n">
        <v>0.3</v>
      </c>
      <c r="G3188" s="5">
        <f>ROUND(E3188*(1+F3188),2)</f>
        <v>7.80</v>
      </c>
      <c r="H3188" s="5">
        <f>ROUND(G3188*NOTAS!$B$2,2)</f>
        <v>5626.50</v>
      </c>
      <c r="I3188" s="6">
        <f>ROUND(G3188*NOTAS!$B$3,0)</f>
        <v>25341</v>
      </c>
      <c r="J3188" s="2" t="n">
        <v>8</v>
      </c>
    </row>
    <row r="3189">
      <c r="A3189" s="2" t="inlineStr">
        <is>
          <t>GKP-83-00427</t>
        </is>
      </c>
      <c r="B3189" s="2" t="inlineStr"/>
      <c r="C3189" s="2" t="inlineStr">
        <is>
          <t>MUNON INFERIOR R-21</t>
        </is>
      </c>
      <c r="D3189" s="2" t="inlineStr">
        <is>
          <t>GKP</t>
        </is>
      </c>
      <c r="E3189" s="3" t="n">
        <v>7</v>
      </c>
      <c r="F3189" s="4" t="n">
        <v>0.3</v>
      </c>
      <c r="G3189" s="5">
        <f>ROUND(E3189*(1+F3189),2)</f>
        <v>9.10</v>
      </c>
      <c r="H3189" s="5">
        <f>ROUND(G3189*NOTAS!$B$2,2)</f>
        <v>6564.24</v>
      </c>
      <c r="I3189" s="6">
        <f>ROUND(G3189*NOTAS!$B$3,0)</f>
        <v>29565</v>
      </c>
      <c r="J3189" s="2" t="n">
        <v>5</v>
      </c>
    </row>
    <row r="3190">
      <c r="A3190" s="2" t="inlineStr">
        <is>
          <t>RA427</t>
        </is>
      </c>
      <c r="B3190" s="2" t="inlineStr"/>
      <c r="C3190" s="2" t="inlineStr">
        <is>
          <t>MUNON INFERIOR R-21</t>
        </is>
      </c>
      <c r="D3190" s="2" t="inlineStr">
        <is>
          <t>TNK</t>
        </is>
      </c>
      <c r="E3190" s="3" t="n">
        <v>9</v>
      </c>
      <c r="F3190" s="4" t="n">
        <v>0.3</v>
      </c>
      <c r="G3190" s="5">
        <f>ROUND(E3190*(1+F3190),2)</f>
        <v>11.70</v>
      </c>
      <c r="H3190" s="5">
        <f>ROUND(G3190*NOTAS!$B$2,2)</f>
        <v>8439.74</v>
      </c>
      <c r="I3190" s="6">
        <f>ROUND(G3190*NOTAS!$B$3,0)</f>
        <v>38012</v>
      </c>
      <c r="J3190" s="2" t="n">
        <v>2</v>
      </c>
    </row>
    <row r="3191">
      <c r="A3191" s="2" t="inlineStr">
        <is>
          <t>RE0115</t>
        </is>
      </c>
      <c r="B3191" s="2" t="inlineStr"/>
      <c r="C3191" s="2" t="inlineStr">
        <is>
          <t>MUNON INFERIOR R-LOGAN</t>
        </is>
      </c>
      <c r="D3191" s="2" t="inlineStr">
        <is>
          <t>DRIVEX</t>
        </is>
      </c>
      <c r="E3191" s="3" t="n">
        <v>7</v>
      </c>
      <c r="F3191" s="4" t="n">
        <v>0.3</v>
      </c>
      <c r="G3191" s="5">
        <f>ROUND(E3191*(1+F3191),2)</f>
        <v>9.10</v>
      </c>
      <c r="H3191" s="5">
        <f>ROUND(G3191*NOTAS!$B$2,2)</f>
        <v>6564.24</v>
      </c>
      <c r="I3191" s="6">
        <f>ROUND(G3191*NOTAS!$B$3,0)</f>
        <v>29565</v>
      </c>
      <c r="J3191" s="2" t="n">
        <v>5</v>
      </c>
    </row>
    <row r="3192">
      <c r="A3192" s="2" t="inlineStr">
        <is>
          <t>RA519</t>
        </is>
      </c>
      <c r="B3192" s="2" t="inlineStr"/>
      <c r="C3192" s="2" t="inlineStr">
        <is>
          <t>MUNON INFERIOR R-LOGAN</t>
        </is>
      </c>
      <c r="D3192" s="2" t="inlineStr">
        <is>
          <t>TNK</t>
        </is>
      </c>
      <c r="E3192" s="3" t="n">
        <v>10</v>
      </c>
      <c r="F3192" s="4" t="n">
        <v>0.3</v>
      </c>
      <c r="G3192" s="5">
        <f>ROUND(E3192*(1+F3192),2)</f>
        <v>13.00</v>
      </c>
      <c r="H3192" s="5">
        <f>ROUND(G3192*NOTAS!$B$2,2)</f>
        <v>9377.49</v>
      </c>
      <c r="I3192" s="6">
        <f>ROUND(G3192*NOTAS!$B$3,0)</f>
        <v>42235</v>
      </c>
      <c r="J3192" s="2" t="n">
        <v>13</v>
      </c>
    </row>
    <row r="3193">
      <c r="A3193" s="2" t="inlineStr">
        <is>
          <t>TC1363-2</t>
        </is>
      </c>
      <c r="B3193" s="2" t="inlineStr"/>
      <c r="C3193" s="2" t="inlineStr">
        <is>
          <t>MUNON INFERIOR R-MEGANE II</t>
        </is>
      </c>
      <c r="D3193" s="2" t="inlineStr">
        <is>
          <t>SKP</t>
        </is>
      </c>
      <c r="E3193" s="3" t="n">
        <v>7</v>
      </c>
      <c r="F3193" s="4" t="n">
        <v>0.3</v>
      </c>
      <c r="G3193" s="5">
        <f>ROUND(E3193*(1+F3193),2)</f>
        <v>9.10</v>
      </c>
      <c r="H3193" s="5">
        <f>ROUND(G3193*NOTAS!$B$2,2)</f>
        <v>6564.24</v>
      </c>
      <c r="I3193" s="6">
        <f>ROUND(G3193*NOTAS!$B$3,0)</f>
        <v>29565</v>
      </c>
      <c r="J3193" s="2" t="n">
        <v>2</v>
      </c>
    </row>
    <row r="3194">
      <c r="A3194" s="2" t="inlineStr">
        <is>
          <t>RA28</t>
        </is>
      </c>
      <c r="B3194" s="2" t="inlineStr"/>
      <c r="C3194" s="2" t="inlineStr">
        <is>
          <t>MUNON INFERIOR R-SYMBOL 04/…</t>
        </is>
      </c>
      <c r="D3194" s="2" t="inlineStr">
        <is>
          <t>TNK</t>
        </is>
      </c>
      <c r="E3194" s="3" t="n">
        <v>10</v>
      </c>
      <c r="F3194" s="4" t="n">
        <v>0.3</v>
      </c>
      <c r="G3194" s="5">
        <f>ROUND(E3194*(1+F3194),2)</f>
        <v>13.00</v>
      </c>
      <c r="H3194" s="5">
        <f>ROUND(G3194*NOTAS!$B$2,2)</f>
        <v>9377.49</v>
      </c>
      <c r="I3194" s="6">
        <f>ROUND(G3194*NOTAS!$B$3,0)</f>
        <v>42235</v>
      </c>
      <c r="J3194" s="2" t="n">
        <v>3</v>
      </c>
    </row>
    <row r="3195">
      <c r="A3195" s="2" t="inlineStr">
        <is>
          <t>RA28</t>
        </is>
      </c>
      <c r="B3195" s="2" t="inlineStr"/>
      <c r="C3195" s="2" t="inlineStr">
        <is>
          <t xml:space="preserve">MUNON INFERIOR R-SYMBOL 04/… CLIO </t>
        </is>
      </c>
      <c r="D3195" s="2" t="inlineStr">
        <is>
          <t>TNK</t>
        </is>
      </c>
      <c r="E3195" s="3" t="n">
        <v>10</v>
      </c>
      <c r="F3195" s="4" t="n">
        <v>0.3</v>
      </c>
      <c r="G3195" s="5">
        <f>ROUND(E3195*(1+F3195),2)</f>
        <v>13.00</v>
      </c>
      <c r="H3195" s="5">
        <f>ROUND(G3195*NOTAS!$B$2,2)</f>
        <v>9377.49</v>
      </c>
      <c r="I3195" s="6">
        <f>ROUND(G3195*NOTAS!$B$3,0)</f>
        <v>42235</v>
      </c>
      <c r="J3195" s="2" t="n">
        <v>14</v>
      </c>
    </row>
    <row r="3196">
      <c r="A3196" s="2" t="inlineStr">
        <is>
          <t>93-05117</t>
        </is>
      </c>
      <c r="B3196" s="2" t="inlineStr"/>
      <c r="C3196" s="2" t="inlineStr">
        <is>
          <t>MUNON INFERIOR SWIFT</t>
        </is>
      </c>
      <c r="D3196" s="2" t="inlineStr">
        <is>
          <t>RTS</t>
        </is>
      </c>
      <c r="E3196" s="3" t="n">
        <v>8</v>
      </c>
      <c r="F3196" s="4" t="n">
        <v>0.3</v>
      </c>
      <c r="G3196" s="5">
        <f>ROUND(E3196*(1+F3196),2)</f>
        <v>10.40</v>
      </c>
      <c r="H3196" s="5">
        <f>ROUND(G3196*NOTAS!$B$2,2)</f>
        <v>7501.99</v>
      </c>
      <c r="I3196" s="6">
        <f>ROUND(G3196*NOTAS!$B$3,0)</f>
        <v>33788</v>
      </c>
      <c r="J3196" s="2" t="n">
        <v>1</v>
      </c>
    </row>
    <row r="3197">
      <c r="A3197" s="2" t="inlineStr">
        <is>
          <t>93-05103</t>
        </is>
      </c>
      <c r="B3197" s="2" t="inlineStr"/>
      <c r="C3197" s="2" t="inlineStr">
        <is>
          <t>MUNON SUPERIOR CHEVETTE</t>
        </is>
      </c>
      <c r="D3197" s="2" t="inlineStr">
        <is>
          <t>RTS</t>
        </is>
      </c>
      <c r="E3197" s="3" t="n">
        <v>8</v>
      </c>
      <c r="F3197" s="4" t="n">
        <v>0.3</v>
      </c>
      <c r="G3197" s="5">
        <f>ROUND(E3197*(1+F3197),2)</f>
        <v>10.40</v>
      </c>
      <c r="H3197" s="5">
        <f>ROUND(G3197*NOTAS!$B$2,2)</f>
        <v>7501.99</v>
      </c>
      <c r="I3197" s="6">
        <f>ROUND(G3197*NOTAS!$B$3,0)</f>
        <v>33788</v>
      </c>
      <c r="J3197" s="2" t="n">
        <v>2</v>
      </c>
    </row>
    <row r="3198">
      <c r="A3198" s="2" t="inlineStr"/>
      <c r="B3198" s="2" t="inlineStr"/>
      <c r="C3198" s="2" t="inlineStr">
        <is>
          <t>MUNON SUPERIOR CHEVETTE</t>
        </is>
      </c>
      <c r="D3198" s="2" t="inlineStr">
        <is>
          <t>DRIVEWAY</t>
        </is>
      </c>
      <c r="E3198" s="3" t="n">
        <v>6</v>
      </c>
      <c r="F3198" s="4" t="n">
        <v>0.3</v>
      </c>
      <c r="G3198" s="5">
        <f>ROUND(E3198*(1+F3198),2)</f>
        <v>7.80</v>
      </c>
      <c r="H3198" s="5">
        <f>ROUND(G3198*NOTAS!$B$2,2)</f>
        <v>5626.50</v>
      </c>
      <c r="I3198" s="6">
        <f>ROUND(G3198*NOTAS!$B$3,0)</f>
        <v>25341</v>
      </c>
      <c r="J3198" s="2" t="n">
        <v>2</v>
      </c>
    </row>
    <row r="3199">
      <c r="A3199" s="2" t="inlineStr"/>
      <c r="B3199" s="2" t="inlineStr"/>
      <c r="C3199" s="2" t="inlineStr">
        <is>
          <t>MUNON SUPERIOR CHEVETTE</t>
        </is>
      </c>
      <c r="D3199" s="2" t="inlineStr">
        <is>
          <t>TNK</t>
        </is>
      </c>
      <c r="E3199" s="3" t="n">
        <v>8</v>
      </c>
      <c r="F3199" s="4" t="n">
        <v>0.3</v>
      </c>
      <c r="G3199" s="5">
        <f>ROUND(E3199*(1+F3199),2)</f>
        <v>10.40</v>
      </c>
      <c r="H3199" s="5">
        <f>ROUND(G3199*NOTAS!$B$2,2)</f>
        <v>7501.99</v>
      </c>
      <c r="I3199" s="6">
        <f>ROUND(G3199*NOTAS!$B$3,0)</f>
        <v>33788</v>
      </c>
      <c r="J3199" s="2" t="n">
        <v>1</v>
      </c>
    </row>
    <row r="3200">
      <c r="A3200" s="2" t="inlineStr">
        <is>
          <t>N3005</t>
        </is>
      </c>
      <c r="B3200" s="2" t="inlineStr"/>
      <c r="C3200" s="2" t="inlineStr">
        <is>
          <t>MUNON SUPERIOR CHEVETTE</t>
        </is>
      </c>
      <c r="D3200" s="2" t="inlineStr">
        <is>
          <t>NAKATA</t>
        </is>
      </c>
      <c r="E3200" s="3" t="n">
        <v>8</v>
      </c>
      <c r="F3200" s="4" t="n">
        <v>0.3</v>
      </c>
      <c r="G3200" s="5">
        <f>ROUND(E3200*(1+F3200),2)</f>
        <v>10.40</v>
      </c>
      <c r="H3200" s="5">
        <f>ROUND(G3200*NOTAS!$B$2,2)</f>
        <v>7501.99</v>
      </c>
      <c r="I3200" s="6">
        <f>ROUND(G3200*NOTAS!$B$3,0)</f>
        <v>33788</v>
      </c>
      <c r="J3200" s="2" t="n">
        <v>2</v>
      </c>
    </row>
    <row r="3201">
      <c r="A3201" s="2" t="inlineStr">
        <is>
          <t>GM0017</t>
        </is>
      </c>
      <c r="B3201" s="2" t="inlineStr"/>
      <c r="C3201" s="2" t="inlineStr">
        <is>
          <t>MUNON SUPERIOR CHEVETTE</t>
        </is>
      </c>
      <c r="D3201" s="2" t="inlineStr">
        <is>
          <t>DRIVEX</t>
        </is>
      </c>
      <c r="E3201" s="3" t="n">
        <v>6</v>
      </c>
      <c r="F3201" s="4" t="n">
        <v>0.3</v>
      </c>
      <c r="G3201" s="5">
        <f>ROUND(E3201*(1+F3201),2)</f>
        <v>7.80</v>
      </c>
      <c r="H3201" s="5">
        <f>ROUND(G3201*NOTAS!$B$2,2)</f>
        <v>5626.50</v>
      </c>
      <c r="I3201" s="6">
        <f>ROUND(G3201*NOTAS!$B$3,0)</f>
        <v>25341</v>
      </c>
      <c r="J3201" s="2" t="n">
        <v>3</v>
      </c>
    </row>
    <row r="3202">
      <c r="A3202" s="2" t="inlineStr">
        <is>
          <t>400331</t>
        </is>
      </c>
      <c r="B3202" s="2" t="inlineStr"/>
      <c r="C3202" s="2" t="inlineStr">
        <is>
          <t>MUNON SUPERIOR CHEVETTE</t>
        </is>
      </c>
      <c r="D3202" s="2" t="inlineStr">
        <is>
          <t>OCAP</t>
        </is>
      </c>
      <c r="E3202" s="3" t="n">
        <v>8</v>
      </c>
      <c r="F3202" s="4" t="n">
        <v>0.3</v>
      </c>
      <c r="G3202" s="5">
        <f>ROUND(E3202*(1+F3202),2)</f>
        <v>10.40</v>
      </c>
      <c r="H3202" s="5">
        <f>ROUND(G3202*NOTAS!$B$2,2)</f>
        <v>7501.99</v>
      </c>
      <c r="I3202" s="6">
        <f>ROUND(G3202*NOTAS!$B$3,0)</f>
        <v>33788</v>
      </c>
      <c r="J3202" s="2" t="n">
        <v>35</v>
      </c>
    </row>
    <row r="3203">
      <c r="A3203" s="2" t="inlineStr"/>
      <c r="B3203" s="2" t="inlineStr"/>
      <c r="C3203" s="2" t="inlineStr">
        <is>
          <t>MUNON SUPERIOR CHEVETTE</t>
        </is>
      </c>
      <c r="D3203" s="2" t="inlineStr">
        <is>
          <t>TVA</t>
        </is>
      </c>
      <c r="E3203" s="3" t="n">
        <v>8</v>
      </c>
      <c r="F3203" s="4" t="n">
        <v>0.3</v>
      </c>
      <c r="G3203" s="5">
        <f>ROUND(E3203*(1+F3203),2)</f>
        <v>10.40</v>
      </c>
      <c r="H3203" s="5">
        <f>ROUND(G3203*NOTAS!$B$2,2)</f>
        <v>7501.99</v>
      </c>
      <c r="I3203" s="6">
        <f>ROUND(G3203*NOTAS!$B$3,0)</f>
        <v>33788</v>
      </c>
      <c r="J3203" s="2" t="n">
        <v>2</v>
      </c>
    </row>
    <row r="3204">
      <c r="A3204" s="2" t="inlineStr">
        <is>
          <t>400008</t>
        </is>
      </c>
      <c r="B3204" s="2" t="inlineStr"/>
      <c r="C3204" s="2" t="inlineStr">
        <is>
          <t>MUNON SUPERIOR R-12/CORCEL</t>
        </is>
      </c>
      <c r="D3204" s="2" t="inlineStr">
        <is>
          <t>OCAP</t>
        </is>
      </c>
      <c r="E3204" s="3" t="n">
        <v>8</v>
      </c>
      <c r="F3204" s="4" t="n">
        <v>0.3</v>
      </c>
      <c r="G3204" s="5">
        <f>ROUND(E3204*(1+F3204),2)</f>
        <v>10.40</v>
      </c>
      <c r="H3204" s="5">
        <f>ROUND(G3204*NOTAS!$B$2,2)</f>
        <v>7501.99</v>
      </c>
      <c r="I3204" s="6">
        <f>ROUND(G3204*NOTAS!$B$3,0)</f>
        <v>33788</v>
      </c>
      <c r="J3204" s="2" t="n">
        <v>10</v>
      </c>
    </row>
    <row r="3205">
      <c r="A3205" s="2" t="inlineStr">
        <is>
          <t>7701460885</t>
        </is>
      </c>
      <c r="B3205" s="2" t="inlineStr"/>
      <c r="C3205" s="2" t="inlineStr">
        <is>
          <t>MUNON SUPERIOR R-12/CORCEL</t>
        </is>
      </c>
      <c r="D3205" s="2" t="inlineStr">
        <is>
          <t>REMIK</t>
        </is>
      </c>
      <c r="E3205" s="3" t="n">
        <v>6</v>
      </c>
      <c r="F3205" s="4" t="n">
        <v>0.3</v>
      </c>
      <c r="G3205" s="5">
        <f>ROUND(E3205*(1+F3205),2)</f>
        <v>7.80</v>
      </c>
      <c r="H3205" s="5">
        <f>ROUND(G3205*NOTAS!$B$2,2)</f>
        <v>5626.50</v>
      </c>
      <c r="I3205" s="6">
        <f>ROUND(G3205*NOTAS!$B$3,0)</f>
        <v>25341</v>
      </c>
      <c r="J3205" s="2" t="n">
        <v>4</v>
      </c>
    </row>
    <row r="3206">
      <c r="A3206" s="2" t="inlineStr">
        <is>
          <t>RE0012</t>
        </is>
      </c>
      <c r="B3206" s="2" t="inlineStr"/>
      <c r="C3206" s="2" t="inlineStr">
        <is>
          <t>MUNON SUPERIOR R-12/CORCEL</t>
        </is>
      </c>
      <c r="D3206" s="2" t="inlineStr">
        <is>
          <t>DRIVEX</t>
        </is>
      </c>
      <c r="E3206" s="3" t="n">
        <v>6</v>
      </c>
      <c r="F3206" s="4" t="n">
        <v>0.3</v>
      </c>
      <c r="G3206" s="5">
        <f>ROUND(E3206*(1+F3206),2)</f>
        <v>7.80</v>
      </c>
      <c r="H3206" s="5">
        <f>ROUND(G3206*NOTAS!$B$2,2)</f>
        <v>5626.50</v>
      </c>
      <c r="I3206" s="6">
        <f>ROUND(G3206*NOTAS!$B$3,0)</f>
        <v>25341</v>
      </c>
      <c r="J3206" s="2" t="n">
        <v>32</v>
      </c>
    </row>
    <row r="3207">
      <c r="A3207" s="2" t="inlineStr"/>
      <c r="B3207" s="2" t="inlineStr"/>
      <c r="C3207" s="2" t="inlineStr">
        <is>
          <t>MUNON SUPERIOR R-18/FUEGO</t>
        </is>
      </c>
      <c r="D3207" s="2" t="inlineStr">
        <is>
          <t>DRIVEX</t>
        </is>
      </c>
      <c r="E3207" s="3" t="n">
        <v>6</v>
      </c>
      <c r="F3207" s="4" t="n">
        <v>0.3</v>
      </c>
      <c r="G3207" s="5">
        <f>ROUND(E3207*(1+F3207),2)</f>
        <v>7.80</v>
      </c>
      <c r="H3207" s="5">
        <f>ROUND(G3207*NOTAS!$B$2,2)</f>
        <v>5626.50</v>
      </c>
      <c r="I3207" s="6">
        <f>ROUND(G3207*NOTAS!$B$3,0)</f>
        <v>25341</v>
      </c>
      <c r="J3207" s="2" t="n">
        <v>8</v>
      </c>
    </row>
    <row r="3208">
      <c r="A3208" s="2" t="inlineStr">
        <is>
          <t>7701461332</t>
        </is>
      </c>
      <c r="B3208" s="2" t="inlineStr"/>
      <c r="C3208" s="2" t="inlineStr">
        <is>
          <t>MUNON SUPERIOR R-18/FUEGO</t>
        </is>
      </c>
      <c r="D3208" s="2" t="inlineStr">
        <is>
          <t>STEEL</t>
        </is>
      </c>
      <c r="E3208" s="3" t="n">
        <v>6</v>
      </c>
      <c r="F3208" s="4" t="n">
        <v>0.3</v>
      </c>
      <c r="G3208" s="5">
        <f>ROUND(E3208*(1+F3208),2)</f>
        <v>7.80</v>
      </c>
      <c r="H3208" s="5">
        <f>ROUND(G3208*NOTAS!$B$2,2)</f>
        <v>5626.50</v>
      </c>
      <c r="I3208" s="6">
        <f>ROUND(G3208*NOTAS!$B$3,0)</f>
        <v>25341</v>
      </c>
      <c r="J3208" s="2" t="n">
        <v>1</v>
      </c>
    </row>
    <row r="3209">
      <c r="A3209" s="2" t="inlineStr"/>
      <c r="B3209" s="2" t="inlineStr"/>
      <c r="C3209" s="2" t="inlineStr">
        <is>
          <t>MUNON SUPERIOR R-18/FUEGO</t>
        </is>
      </c>
      <c r="D3209" s="2" t="inlineStr">
        <is>
          <t>TNK</t>
        </is>
      </c>
      <c r="E3209" s="3" t="n">
        <v>9</v>
      </c>
      <c r="F3209" s="4" t="n">
        <v>0.3</v>
      </c>
      <c r="G3209" s="5">
        <f>ROUND(E3209*(1+F3209),2)</f>
        <v>11.70</v>
      </c>
      <c r="H3209" s="5">
        <f>ROUND(G3209*NOTAS!$B$2,2)</f>
        <v>8439.74</v>
      </c>
      <c r="I3209" s="6">
        <f>ROUND(G3209*NOTAS!$B$3,0)</f>
        <v>38012</v>
      </c>
      <c r="J3209" s="2" t="n">
        <v>1</v>
      </c>
    </row>
    <row r="3210">
      <c r="A3210" s="2" t="inlineStr">
        <is>
          <t>7701451904</t>
        </is>
      </c>
      <c r="B3210" s="2" t="inlineStr"/>
      <c r="C3210" s="2" t="inlineStr">
        <is>
          <t>MUNON SUPERIOR R-5</t>
        </is>
      </c>
      <c r="D3210" s="2" t="inlineStr">
        <is>
          <t>STEEL</t>
        </is>
      </c>
      <c r="E3210" s="3" t="n">
        <v>6</v>
      </c>
      <c r="F3210" s="4" t="n">
        <v>0.3</v>
      </c>
      <c r="G3210" s="5">
        <f>ROUND(E3210*(1+F3210),2)</f>
        <v>7.80</v>
      </c>
      <c r="H3210" s="5">
        <f>ROUND(G3210*NOTAS!$B$2,2)</f>
        <v>5626.50</v>
      </c>
      <c r="I3210" s="6">
        <f>ROUND(G3210*NOTAS!$B$3,0)</f>
        <v>25341</v>
      </c>
      <c r="J3210" s="2" t="n">
        <v>2</v>
      </c>
    </row>
    <row r="3211">
      <c r="A3211" s="2" t="inlineStr">
        <is>
          <t>401402</t>
        </is>
      </c>
      <c r="B3211" s="2" t="inlineStr"/>
      <c r="C3211" s="2" t="inlineStr">
        <is>
          <t>MUNON SUPERIOR R-5</t>
        </is>
      </c>
      <c r="D3211" s="2" t="inlineStr">
        <is>
          <t>OCAP</t>
        </is>
      </c>
      <c r="E3211" s="3" t="n">
        <v>8</v>
      </c>
      <c r="F3211" s="4" t="n">
        <v>0.3</v>
      </c>
      <c r="G3211" s="5">
        <f>ROUND(E3211*(1+F3211),2)</f>
        <v>10.40</v>
      </c>
      <c r="H3211" s="5">
        <f>ROUND(G3211*NOTAS!$B$2,2)</f>
        <v>7501.99</v>
      </c>
      <c r="I3211" s="6">
        <f>ROUND(G3211*NOTAS!$B$3,0)</f>
        <v>33788</v>
      </c>
      <c r="J3211" s="2" t="n">
        <v>3</v>
      </c>
    </row>
    <row r="3212">
      <c r="A3212" s="2" t="inlineStr"/>
      <c r="B3212" s="2" t="inlineStr"/>
      <c r="C3212" s="2" t="inlineStr">
        <is>
          <t>ORING BOMBA GASOLINA CORSA</t>
        </is>
      </c>
      <c r="D3212" s="2" t="inlineStr"/>
      <c r="E3212" s="3" t="n">
        <v>3.8462</v>
      </c>
      <c r="F3212" s="4" t="n">
        <v>0.3</v>
      </c>
      <c r="G3212" s="5">
        <f>ROUND(E3212*(1+F3212),2)</f>
        <v>5.00</v>
      </c>
      <c r="H3212" s="5">
        <f>ROUND(G3212*NOTAS!$B$2,2)</f>
        <v>3606.73</v>
      </c>
      <c r="I3212" s="6">
        <f>ROUND(G3212*NOTAS!$B$3,0)</f>
        <v>16244</v>
      </c>
      <c r="J3212" s="2" t="n">
        <v>1</v>
      </c>
    </row>
    <row r="3213">
      <c r="A3213" s="2" t="inlineStr">
        <is>
          <t>GP0833</t>
        </is>
      </c>
      <c r="B3213" s="2" t="inlineStr"/>
      <c r="C3213" s="2" t="inlineStr">
        <is>
          <t>ORING BOMBA GASOLINA RENAULT</t>
        </is>
      </c>
      <c r="D3213" s="2" t="inlineStr"/>
      <c r="E3213" s="3" t="n">
        <v>2.3</v>
      </c>
      <c r="F3213" s="4" t="n">
        <v>0.3</v>
      </c>
      <c r="G3213" s="5">
        <f>ROUND(E3213*(1+F3213),2)</f>
        <v>2.99</v>
      </c>
      <c r="H3213" s="5">
        <f>ROUND(G3213*NOTAS!$B$2,2)</f>
        <v>2156.82</v>
      </c>
      <c r="I3213" s="6">
        <f>ROUND(G3213*NOTAS!$B$3,0)</f>
        <v>9714</v>
      </c>
      <c r="J3213" s="2" t="n">
        <v>1</v>
      </c>
    </row>
    <row r="3214">
      <c r="A3214" s="2" t="inlineStr">
        <is>
          <t>41838048</t>
        </is>
      </c>
      <c r="B3214" s="2" t="inlineStr"/>
      <c r="C3214" s="2" t="inlineStr">
        <is>
          <t>ORING SELLO CUERPO ACELERACION R-LOGAN</t>
        </is>
      </c>
      <c r="D3214" s="2" t="inlineStr">
        <is>
          <t>DELEMPAQUES</t>
        </is>
      </c>
      <c r="E3214" s="3" t="n">
        <v>2.88</v>
      </c>
      <c r="F3214" s="4" t="n">
        <v>0.3</v>
      </c>
      <c r="G3214" s="5">
        <f>ROUND(E3214*(1+F3214),2)</f>
        <v>3.74</v>
      </c>
      <c r="H3214" s="5">
        <f>ROUND(G3214*NOTAS!$B$2,2)</f>
        <v>2697.83</v>
      </c>
      <c r="I3214" s="6">
        <f>ROUND(G3214*NOTAS!$B$3,0)</f>
        <v>12151</v>
      </c>
      <c r="J3214" s="2" t="n">
        <v>2</v>
      </c>
    </row>
    <row r="3215">
      <c r="A3215" s="2" t="inlineStr"/>
      <c r="B3215" s="2" t="inlineStr"/>
      <c r="C3215" s="2" t="inlineStr">
        <is>
          <t>PALANCA FRENO MANO F-UNO/PREMIO</t>
        </is>
      </c>
      <c r="D3215" s="2" t="inlineStr"/>
      <c r="E3215" s="3" t="n">
        <v>13.8462</v>
      </c>
      <c r="F3215" s="4" t="n">
        <v>0.3</v>
      </c>
      <c r="G3215" s="5">
        <f>ROUND(E3215*(1+F3215),2)</f>
        <v>18.00</v>
      </c>
      <c r="H3215" s="5">
        <f>ROUND(G3215*NOTAS!$B$2,2)</f>
        <v>12984.22</v>
      </c>
      <c r="I3215" s="6">
        <f>ROUND(G3215*NOTAS!$B$3,0)</f>
        <v>58480</v>
      </c>
      <c r="J3215" s="2" t="n">
        <v>1</v>
      </c>
    </row>
    <row r="3216">
      <c r="A3216" s="2" t="inlineStr">
        <is>
          <t>96139144</t>
        </is>
      </c>
      <c r="B3216" s="2" t="inlineStr"/>
      <c r="C3216" s="2" t="inlineStr">
        <is>
          <t>PALANCA INTERRUPTOR LIMPIAPARABRISAS CIELO</t>
        </is>
      </c>
      <c r="D3216" s="2" t="inlineStr">
        <is>
          <t>GM</t>
        </is>
      </c>
      <c r="E3216" s="3" t="n">
        <v>9.2308</v>
      </c>
      <c r="F3216" s="4" t="n">
        <v>0.3</v>
      </c>
      <c r="G3216" s="5">
        <f>ROUND(E3216*(1+F3216),2)</f>
        <v>12.00</v>
      </c>
      <c r="H3216" s="5">
        <f>ROUND(G3216*NOTAS!$B$2,2)</f>
        <v>8656.15</v>
      </c>
      <c r="I3216" s="6">
        <f>ROUND(G3216*NOTAS!$B$3,0)</f>
        <v>38986</v>
      </c>
      <c r="J3216" s="2" t="n">
        <v>4</v>
      </c>
    </row>
    <row r="3217">
      <c r="A3217" s="2" t="inlineStr">
        <is>
          <t>V-400</t>
        </is>
      </c>
      <c r="B3217" s="2" t="inlineStr"/>
      <c r="C3217" s="2" t="inlineStr">
        <is>
          <t>PALANCA INTERRUPTOR SWITCH LUCE CRUCE CORNETA F-UNO/PREMIO 85/90</t>
        </is>
      </c>
      <c r="D3217" s="2" t="inlineStr">
        <is>
          <t>THIHER</t>
        </is>
      </c>
      <c r="E3217" s="3" t="n">
        <v>11.5385</v>
      </c>
      <c r="F3217" s="4" t="n">
        <v>0.3</v>
      </c>
      <c r="G3217" s="5">
        <f>ROUND(E3217*(1+F3217),2)</f>
        <v>15.00</v>
      </c>
      <c r="H3217" s="5">
        <f>ROUND(G3217*NOTAS!$B$2,2)</f>
        <v>10820.18</v>
      </c>
      <c r="I3217" s="6">
        <f>ROUND(G3217*NOTAS!$B$3,0)</f>
        <v>48733</v>
      </c>
      <c r="J3217" s="2" t="n">
        <v>1</v>
      </c>
    </row>
    <row r="3218">
      <c r="A3218" s="2" t="inlineStr">
        <is>
          <t>WA70037</t>
        </is>
      </c>
      <c r="B3218" s="2" t="inlineStr"/>
      <c r="C3218" s="2" t="inlineStr">
        <is>
          <t>PALANCA INTERRUPTOR SWITCH LUCES CIELO</t>
        </is>
      </c>
      <c r="D3218" s="2" t="inlineStr">
        <is>
          <t>QCD</t>
        </is>
      </c>
      <c r="E3218" s="3" t="n">
        <v>9.2308</v>
      </c>
      <c r="F3218" s="4" t="n">
        <v>0.3</v>
      </c>
      <c r="G3218" s="5">
        <f>ROUND(E3218*(1+F3218),2)</f>
        <v>12.00</v>
      </c>
      <c r="H3218" s="5">
        <f>ROUND(G3218*NOTAS!$B$2,2)</f>
        <v>8656.15</v>
      </c>
      <c r="I3218" s="6">
        <f>ROUND(G3218*NOTAS!$B$3,0)</f>
        <v>38986</v>
      </c>
      <c r="J3218" s="2" t="n">
        <v>1</v>
      </c>
    </row>
    <row r="3219">
      <c r="A3219" s="2" t="inlineStr"/>
      <c r="B3219" s="2" t="inlineStr"/>
      <c r="C3219" s="2" t="inlineStr">
        <is>
          <t>PALANCA INTERRUPTOR SWITCH LUCES CRUCE Y CORNETA R-19</t>
        </is>
      </c>
      <c r="D3219" s="2" t="inlineStr">
        <is>
          <t>QCD</t>
        </is>
      </c>
      <c r="E3219" s="3" t="n">
        <v>11.5385</v>
      </c>
      <c r="F3219" s="4" t="n">
        <v>0.3</v>
      </c>
      <c r="G3219" s="5">
        <f>ROUND(E3219*(1+F3219),2)</f>
        <v>15.00</v>
      </c>
      <c r="H3219" s="5">
        <f>ROUND(G3219*NOTAS!$B$2,2)</f>
        <v>10820.18</v>
      </c>
      <c r="I3219" s="6">
        <f>ROUND(G3219*NOTAS!$B$3,0)</f>
        <v>48733</v>
      </c>
      <c r="J3219" s="2" t="n">
        <v>2</v>
      </c>
    </row>
    <row r="3220">
      <c r="A3220" s="2" t="inlineStr">
        <is>
          <t>V-308</t>
        </is>
      </c>
      <c r="B3220" s="2" t="inlineStr"/>
      <c r="C3220" s="2" t="inlineStr">
        <is>
          <t>PALANCA INTERRUPTOR SWITCH LUCES R-21</t>
        </is>
      </c>
      <c r="D3220" s="2" t="inlineStr">
        <is>
          <t>VUARAM</t>
        </is>
      </c>
      <c r="E3220" s="3" t="n">
        <v>11.5385</v>
      </c>
      <c r="F3220" s="4" t="n">
        <v>0.3</v>
      </c>
      <c r="G3220" s="5">
        <f>ROUND(E3220*(1+F3220),2)</f>
        <v>15.00</v>
      </c>
      <c r="H3220" s="5">
        <f>ROUND(G3220*NOTAS!$B$2,2)</f>
        <v>10820.18</v>
      </c>
      <c r="I3220" s="6">
        <f>ROUND(G3220*NOTAS!$B$3,0)</f>
        <v>48733</v>
      </c>
      <c r="J3220" s="2" t="n">
        <v>1</v>
      </c>
    </row>
    <row r="3221">
      <c r="A3221" s="2" t="inlineStr">
        <is>
          <t>R302470000</t>
        </is>
      </c>
      <c r="B3221" s="2" t="inlineStr"/>
      <c r="C3221" s="2" t="inlineStr">
        <is>
          <t>PALANCA LUZ CRUCE CORSA</t>
        </is>
      </c>
      <c r="D3221" s="2" t="inlineStr">
        <is>
          <t>TRW</t>
        </is>
      </c>
      <c r="E3221" s="3" t="n">
        <v>11.5385</v>
      </c>
      <c r="F3221" s="4" t="n">
        <v>0.3</v>
      </c>
      <c r="G3221" s="5">
        <f>ROUND(E3221*(1+F3221),2)</f>
        <v>15.00</v>
      </c>
      <c r="H3221" s="5">
        <f>ROUND(G3221*NOTAS!$B$2,2)</f>
        <v>10820.18</v>
      </c>
      <c r="I3221" s="6">
        <f>ROUND(G3221*NOTAS!$B$3,0)</f>
        <v>48733</v>
      </c>
      <c r="J3221" s="2" t="n">
        <v>3</v>
      </c>
    </row>
    <row r="3222">
      <c r="A3222" s="2" t="inlineStr">
        <is>
          <t>90228194P</t>
        </is>
      </c>
      <c r="B3222" s="2" t="inlineStr"/>
      <c r="C3222" s="2" t="inlineStr">
        <is>
          <t>PALANCA LUZ CRUCE CORSA</t>
        </is>
      </c>
      <c r="D3222" s="2" t="inlineStr">
        <is>
          <t>ACDC</t>
        </is>
      </c>
      <c r="E3222" s="3" t="n">
        <v>11.5385</v>
      </c>
      <c r="F3222" s="4" t="n">
        <v>0.3</v>
      </c>
      <c r="G3222" s="5">
        <f>ROUND(E3222*(1+F3222),2)</f>
        <v>15.00</v>
      </c>
      <c r="H3222" s="5">
        <f>ROUND(G3222*NOTAS!$B$2,2)</f>
        <v>10820.18</v>
      </c>
      <c r="I3222" s="6">
        <f>ROUND(G3222*NOTAS!$B$3,0)</f>
        <v>48733</v>
      </c>
      <c r="J3222" s="2" t="n">
        <v>1</v>
      </c>
    </row>
    <row r="3223">
      <c r="A3223" s="2" t="inlineStr">
        <is>
          <t>5482</t>
        </is>
      </c>
      <c r="B3223" s="2" t="inlineStr">
        <is>
          <t>7079061</t>
        </is>
      </c>
      <c r="C3223" s="2" t="inlineStr">
        <is>
          <t>PALANCA REGULADORA CAMBIO F-PALIO/SIENA</t>
        </is>
      </c>
      <c r="D3223" s="2" t="inlineStr">
        <is>
          <t>BRAZIL</t>
        </is>
      </c>
      <c r="E3223" s="3" t="n">
        <v>29</v>
      </c>
      <c r="F3223" s="4" t="n">
        <v>0.3</v>
      </c>
      <c r="G3223" s="5">
        <f>ROUND(E3223*(1+F3223),2)</f>
        <v>37.70</v>
      </c>
      <c r="H3223" s="5">
        <f>ROUND(G3223*NOTAS!$B$2,2)</f>
        <v>27194.73</v>
      </c>
      <c r="I3223" s="6">
        <f>ROUND(G3223*NOTAS!$B$3,0)</f>
        <v>122482</v>
      </c>
      <c r="J3223" s="2" t="n">
        <v>1</v>
      </c>
    </row>
    <row r="3224">
      <c r="A3224" s="2" t="inlineStr">
        <is>
          <t>7860</t>
        </is>
      </c>
      <c r="B3224" s="2" t="inlineStr"/>
      <c r="C3224" s="2" t="inlineStr">
        <is>
          <t>PALANCA REGULADORA CAMBIO MONZA</t>
        </is>
      </c>
      <c r="D3224" s="2" t="inlineStr">
        <is>
          <t>TALIFAMA</t>
        </is>
      </c>
      <c r="E3224" s="3" t="n">
        <v>13.8462</v>
      </c>
      <c r="F3224" s="4" t="n">
        <v>0.3</v>
      </c>
      <c r="G3224" s="5">
        <f>ROUND(E3224*(1+F3224),2)</f>
        <v>18.00</v>
      </c>
      <c r="H3224" s="5">
        <f>ROUND(G3224*NOTAS!$B$2,2)</f>
        <v>12984.22</v>
      </c>
      <c r="I3224" s="6">
        <f>ROUND(G3224*NOTAS!$B$3,0)</f>
        <v>58480</v>
      </c>
      <c r="J3224" s="2" t="n">
        <v>1</v>
      </c>
    </row>
    <row r="3225">
      <c r="A3225" s="2" t="inlineStr"/>
      <c r="B3225" s="2" t="inlineStr"/>
      <c r="C3225" s="2" t="inlineStr">
        <is>
          <t>PARRILLA CHEVETTE</t>
        </is>
      </c>
      <c r="D3225" s="2" t="inlineStr">
        <is>
          <t>BRAZIL</t>
        </is>
      </c>
      <c r="E3225" s="3" t="n">
        <v>15.3846</v>
      </c>
      <c r="F3225" s="4" t="n">
        <v>0.3</v>
      </c>
      <c r="G3225" s="5">
        <f>ROUND(E3225*(1+F3225),2)</f>
        <v>20.00</v>
      </c>
      <c r="H3225" s="5">
        <f>ROUND(G3225*NOTAS!$B$2,2)</f>
        <v>14426.91</v>
      </c>
      <c r="I3225" s="6">
        <f>ROUND(G3225*NOTAS!$B$3,0)</f>
        <v>64977</v>
      </c>
      <c r="J3225" s="2" t="n">
        <v>3</v>
      </c>
    </row>
    <row r="3226">
      <c r="A3226" s="2" t="inlineStr"/>
      <c r="B3226" s="2" t="inlineStr"/>
      <c r="C3226" s="2" t="inlineStr">
        <is>
          <t>PARRILLA CORSA 00/06</t>
        </is>
      </c>
      <c r="D3226" s="2" t="inlineStr">
        <is>
          <t>GM</t>
        </is>
      </c>
      <c r="E3226" s="3" t="n">
        <v>23.0769</v>
      </c>
      <c r="F3226" s="4" t="n">
        <v>0.3</v>
      </c>
      <c r="G3226" s="5">
        <f>ROUND(E3226*(1+F3226),2)</f>
        <v>30.00</v>
      </c>
      <c r="H3226" s="5">
        <f>ROUND(G3226*NOTAS!$B$2,2)</f>
        <v>21640.37</v>
      </c>
      <c r="I3226" s="6">
        <f>ROUND(G3226*NOTAS!$B$3,0)</f>
        <v>97466</v>
      </c>
      <c r="J3226" s="2" t="n">
        <v>5</v>
      </c>
    </row>
    <row r="3227">
      <c r="A3227" s="2" t="inlineStr"/>
      <c r="B3227" s="2" t="inlineStr"/>
      <c r="C3227" s="2" t="inlineStr">
        <is>
          <t>PARRILLA F-147/SPAZIO</t>
        </is>
      </c>
      <c r="D3227" s="2" t="inlineStr">
        <is>
          <t>BRAZIL</t>
        </is>
      </c>
      <c r="E3227" s="3" t="n">
        <v>15.3846</v>
      </c>
      <c r="F3227" s="4" t="n">
        <v>0.3</v>
      </c>
      <c r="G3227" s="5">
        <f>ROUND(E3227*(1+F3227),2)</f>
        <v>20.00</v>
      </c>
      <c r="H3227" s="5">
        <f>ROUND(G3227*NOTAS!$B$2,2)</f>
        <v>14426.91</v>
      </c>
      <c r="I3227" s="6">
        <f>ROUND(G3227*NOTAS!$B$3,0)</f>
        <v>64977</v>
      </c>
      <c r="J3227" s="2" t="n">
        <v>2</v>
      </c>
    </row>
    <row r="3228">
      <c r="A3228" s="2" t="inlineStr"/>
      <c r="B3228" s="2" t="inlineStr"/>
      <c r="C3228" s="2" t="inlineStr">
        <is>
          <t>PARRILLA F-PALIO/SIENA FASE 1 00/03</t>
        </is>
      </c>
      <c r="D3228" s="2" t="inlineStr">
        <is>
          <t>BRAZIL</t>
        </is>
      </c>
      <c r="E3228" s="3" t="n">
        <v>21.5385</v>
      </c>
      <c r="F3228" s="4" t="n">
        <v>0.3</v>
      </c>
      <c r="G3228" s="5">
        <f>ROUND(E3228*(1+F3228),2)</f>
        <v>28.00</v>
      </c>
      <c r="H3228" s="5">
        <f>ROUND(G3228*NOTAS!$B$2,2)</f>
        <v>20197.68</v>
      </c>
      <c r="I3228" s="6">
        <f>ROUND(G3228*NOTAS!$B$3,0)</f>
        <v>90968</v>
      </c>
      <c r="J3228" s="2" t="n">
        <v>1</v>
      </c>
    </row>
    <row r="3229">
      <c r="A3229" s="2" t="inlineStr"/>
      <c r="B3229" s="2" t="inlineStr"/>
      <c r="C3229" s="2" t="inlineStr">
        <is>
          <t>PARRILLA F-UNO/PREMIO 97</t>
        </is>
      </c>
      <c r="D3229" s="2" t="inlineStr">
        <is>
          <t>BRAZIL</t>
        </is>
      </c>
      <c r="E3229" s="3" t="n">
        <v>15.3846</v>
      </c>
      <c r="F3229" s="4" t="n">
        <v>0.3</v>
      </c>
      <c r="G3229" s="5">
        <f>ROUND(E3229*(1+F3229),2)</f>
        <v>20.00</v>
      </c>
      <c r="H3229" s="5">
        <f>ROUND(G3229*NOTAS!$B$2,2)</f>
        <v>14426.91</v>
      </c>
      <c r="I3229" s="6">
        <f>ROUND(G3229*NOTAS!$B$3,0)</f>
        <v>64977</v>
      </c>
      <c r="J3229" s="2" t="n">
        <v>1</v>
      </c>
    </row>
    <row r="3230">
      <c r="A3230" s="2" t="inlineStr">
        <is>
          <t>13034</t>
        </is>
      </c>
      <c r="B3230" s="2" t="inlineStr"/>
      <c r="C3230" s="2" t="inlineStr">
        <is>
          <t>PASADOR MESETA INFERIOR CON BUJE R-12</t>
        </is>
      </c>
      <c r="D3230" s="2" t="inlineStr">
        <is>
          <t>SANFOR</t>
        </is>
      </c>
      <c r="E3230" s="3" t="n">
        <v>7.6923</v>
      </c>
      <c r="F3230" s="4" t="n">
        <v>0.3</v>
      </c>
      <c r="G3230" s="5">
        <f>ROUND(E3230*(1+F3230),2)</f>
        <v>10.00</v>
      </c>
      <c r="H3230" s="5">
        <f>ROUND(G3230*NOTAS!$B$2,2)</f>
        <v>7213.46</v>
      </c>
      <c r="I3230" s="6">
        <f>ROUND(G3230*NOTAS!$B$3,0)</f>
        <v>32489</v>
      </c>
      <c r="J3230" s="2" t="n">
        <v>3</v>
      </c>
    </row>
    <row r="3231">
      <c r="A3231" s="2" t="inlineStr"/>
      <c r="B3231" s="2" t="inlineStr"/>
      <c r="C3231" s="2" t="inlineStr">
        <is>
          <t>PASADOR MESETA INFERIOR R-18/FUEGO</t>
        </is>
      </c>
      <c r="D3231" s="2" t="inlineStr">
        <is>
          <t>SANFOR</t>
        </is>
      </c>
      <c r="E3231" s="3" t="n">
        <v>7.6923</v>
      </c>
      <c r="F3231" s="4" t="n">
        <v>0.3</v>
      </c>
      <c r="G3231" s="5">
        <f>ROUND(E3231*(1+F3231),2)</f>
        <v>10.00</v>
      </c>
      <c r="H3231" s="5">
        <f>ROUND(G3231*NOTAS!$B$2,2)</f>
        <v>7213.46</v>
      </c>
      <c r="I3231" s="6">
        <f>ROUND(G3231*NOTAS!$B$3,0)</f>
        <v>32489</v>
      </c>
      <c r="J3231" s="2" t="n">
        <v>3</v>
      </c>
    </row>
    <row r="3232">
      <c r="A3232" s="2" t="inlineStr"/>
      <c r="B3232" s="2" t="inlineStr"/>
      <c r="C3232" s="2" t="inlineStr">
        <is>
          <t>PEDAL EMBRAGUE F-REGATA/RITMO</t>
        </is>
      </c>
      <c r="D3232" s="2" t="inlineStr">
        <is>
          <t>ITALY</t>
        </is>
      </c>
      <c r="E3232" s="3" t="n">
        <v>15.3846</v>
      </c>
      <c r="F3232" s="4" t="n">
        <v>0.3</v>
      </c>
      <c r="G3232" s="5">
        <f>ROUND(E3232*(1+F3232),2)</f>
        <v>20.00</v>
      </c>
      <c r="H3232" s="5">
        <f>ROUND(G3232*NOTAS!$B$2,2)</f>
        <v>14426.91</v>
      </c>
      <c r="I3232" s="6">
        <f>ROUND(G3232*NOTAS!$B$3,0)</f>
        <v>64977</v>
      </c>
      <c r="J3232" s="2" t="n">
        <v>1</v>
      </c>
    </row>
    <row r="3233">
      <c r="A3233" s="2" t="inlineStr">
        <is>
          <t>50007770</t>
        </is>
      </c>
      <c r="B3233" s="2" t="inlineStr"/>
      <c r="C3233" s="2" t="inlineStr">
        <is>
          <t>PEDAL EMBRAGUE F-UNO/PREMIO</t>
        </is>
      </c>
      <c r="D3233" s="2" t="inlineStr">
        <is>
          <t>FIAT</t>
        </is>
      </c>
      <c r="E3233" s="3" t="n">
        <v>15.3846</v>
      </c>
      <c r="F3233" s="4" t="n">
        <v>0.3</v>
      </c>
      <c r="G3233" s="5">
        <f>ROUND(E3233*(1+F3233),2)</f>
        <v>20.00</v>
      </c>
      <c r="H3233" s="5">
        <f>ROUND(G3233*NOTAS!$B$2,2)</f>
        <v>14426.91</v>
      </c>
      <c r="I3233" s="6">
        <f>ROUND(G3233*NOTAS!$B$3,0)</f>
        <v>64977</v>
      </c>
      <c r="J3233" s="2" t="n">
        <v>1</v>
      </c>
    </row>
    <row r="3234">
      <c r="A3234" s="2" t="inlineStr">
        <is>
          <t>95025043</t>
        </is>
      </c>
      <c r="B3234" s="2" t="inlineStr"/>
      <c r="C3234" s="2" t="inlineStr">
        <is>
          <t>PERA SENSOR TEMPERATURA TABLERO CORSA/AVEO/CIELO/OPTRA</t>
        </is>
      </c>
      <c r="D3234" s="2" t="inlineStr">
        <is>
          <t>GM</t>
        </is>
      </c>
      <c r="E3234" s="3" t="n">
        <v>9.2308</v>
      </c>
      <c r="F3234" s="4" t="n">
        <v>0.3</v>
      </c>
      <c r="G3234" s="5">
        <f>ROUND(E3234*(1+F3234),2)</f>
        <v>12.00</v>
      </c>
      <c r="H3234" s="5">
        <f>ROUND(G3234*NOTAS!$B$2,2)</f>
        <v>8656.15</v>
      </c>
      <c r="I3234" s="6">
        <f>ROUND(G3234*NOTAS!$B$3,0)</f>
        <v>38986</v>
      </c>
      <c r="J3234" s="2" t="n">
        <v>1</v>
      </c>
    </row>
    <row r="3235">
      <c r="A3235" s="2" t="inlineStr"/>
      <c r="B3235" s="2" t="inlineStr"/>
      <c r="C3235" s="2" t="inlineStr">
        <is>
          <t>PERA SENSOR TEMPERATURA TABLERO FESTIVA</t>
        </is>
      </c>
      <c r="D3235" s="2" t="inlineStr">
        <is>
          <t>PARTS-MALL</t>
        </is>
      </c>
      <c r="E3235" s="3" t="n">
        <v>9.2308</v>
      </c>
      <c r="F3235" s="4" t="n">
        <v>0.3</v>
      </c>
      <c r="G3235" s="5">
        <f>ROUND(E3235*(1+F3235),2)</f>
        <v>12.00</v>
      </c>
      <c r="H3235" s="5">
        <f>ROUND(G3235*NOTAS!$B$2,2)</f>
        <v>8656.15</v>
      </c>
      <c r="I3235" s="6">
        <f>ROUND(G3235*NOTAS!$B$3,0)</f>
        <v>38986</v>
      </c>
      <c r="J3235" s="2" t="n">
        <v>2</v>
      </c>
    </row>
    <row r="3236">
      <c r="A3236" s="2" t="inlineStr">
        <is>
          <t>285</t>
        </is>
      </c>
      <c r="B3236" s="2" t="inlineStr"/>
      <c r="C3236" s="2" t="inlineStr">
        <is>
          <t>PIN CERRADURA CAPOT F-UNO</t>
        </is>
      </c>
      <c r="D3236" s="2" t="inlineStr">
        <is>
          <t>BRIM</t>
        </is>
      </c>
      <c r="E3236" s="3" t="n">
        <v>4.6154</v>
      </c>
      <c r="F3236" s="4" t="n">
        <v>0.3</v>
      </c>
      <c r="G3236" s="5">
        <f>ROUND(E3236*(1+F3236),2)</f>
        <v>6.00</v>
      </c>
      <c r="H3236" s="5">
        <f>ROUND(G3236*NOTAS!$B$2,2)</f>
        <v>4328.07</v>
      </c>
      <c r="I3236" s="6">
        <f>ROUND(G3236*NOTAS!$B$3,0)</f>
        <v>19493</v>
      </c>
      <c r="J3236" s="2" t="n">
        <v>6</v>
      </c>
    </row>
    <row r="3237">
      <c r="A3237" s="2" t="inlineStr">
        <is>
          <t>IP0850</t>
        </is>
      </c>
      <c r="B3237" s="2" t="inlineStr"/>
      <c r="C3237" s="2" t="inlineStr">
        <is>
          <t>PINON BOMBA ACEITE F-REG AUT/PREMIO 1.5</t>
        </is>
      </c>
      <c r="D3237" s="2" t="inlineStr">
        <is>
          <t>ITALY</t>
        </is>
      </c>
      <c r="E3237" s="3" t="n">
        <v>9.2308</v>
      </c>
      <c r="F3237" s="4" t="n">
        <v>0.3</v>
      </c>
      <c r="G3237" s="5">
        <f>ROUND(E3237*(1+F3237),2)</f>
        <v>12.00</v>
      </c>
      <c r="H3237" s="5">
        <f>ROUND(G3237*NOTAS!$B$2,2)</f>
        <v>8656.15</v>
      </c>
      <c r="I3237" s="6">
        <f>ROUND(G3237*NOTAS!$B$3,0)</f>
        <v>38986</v>
      </c>
      <c r="J3237" s="2" t="n">
        <v>6</v>
      </c>
    </row>
    <row r="3238">
      <c r="A3238" s="2" t="inlineStr">
        <is>
          <t>7541261</t>
        </is>
      </c>
      <c r="B3238" s="2" t="inlineStr"/>
      <c r="C3238" s="2" t="inlineStr">
        <is>
          <t>PINON BOMBA ACEITE F-REGATA/RITMO 1.6/2.0</t>
        </is>
      </c>
      <c r="D3238" s="2" t="inlineStr">
        <is>
          <t>FIAT</t>
        </is>
      </c>
      <c r="E3238" s="3" t="n">
        <v>9.2308</v>
      </c>
      <c r="F3238" s="4" t="n">
        <v>0.3</v>
      </c>
      <c r="G3238" s="5">
        <f>ROUND(E3238*(1+F3238),2)</f>
        <v>12.00</v>
      </c>
      <c r="H3238" s="5">
        <f>ROUND(G3238*NOTAS!$B$2,2)</f>
        <v>8656.15</v>
      </c>
      <c r="I3238" s="6">
        <f>ROUND(G3238*NOTAS!$B$3,0)</f>
        <v>38986</v>
      </c>
      <c r="J3238" s="2" t="n">
        <v>2</v>
      </c>
    </row>
    <row r="3239">
      <c r="A3239" s="2" t="inlineStr">
        <is>
          <t>7590228</t>
        </is>
      </c>
      <c r="B3239" s="2" t="inlineStr"/>
      <c r="C3239" s="2" t="inlineStr">
        <is>
          <t>PINON BOMBA ACEITE F-UNO INY SIN PASADOR</t>
        </is>
      </c>
      <c r="D3239" s="2" t="inlineStr">
        <is>
          <t>FIAT</t>
        </is>
      </c>
      <c r="E3239" s="3" t="n">
        <v>9.2308</v>
      </c>
      <c r="F3239" s="4" t="n">
        <v>0.3</v>
      </c>
      <c r="G3239" s="5">
        <f>ROUND(E3239*(1+F3239),2)</f>
        <v>12.00</v>
      </c>
      <c r="H3239" s="5">
        <f>ROUND(G3239*NOTAS!$B$2,2)</f>
        <v>8656.15</v>
      </c>
      <c r="I3239" s="6">
        <f>ROUND(G3239*NOTAS!$B$3,0)</f>
        <v>38986</v>
      </c>
      <c r="J3239" s="2" t="n">
        <v>1</v>
      </c>
    </row>
    <row r="3240">
      <c r="A3240" s="2" t="inlineStr">
        <is>
          <t>AT-3088</t>
        </is>
      </c>
      <c r="B3240" s="2" t="inlineStr"/>
      <c r="C3240" s="2" t="inlineStr">
        <is>
          <t>PINON BOMBA ACEITE R-11/12/CORCEL</t>
        </is>
      </c>
      <c r="D3240" s="2" t="inlineStr">
        <is>
          <t>ANROI</t>
        </is>
      </c>
      <c r="E3240" s="3" t="n">
        <v>8.4</v>
      </c>
      <c r="F3240" s="4" t="n">
        <v>0.3</v>
      </c>
      <c r="G3240" s="5">
        <f>ROUND(E3240*(1+F3240),2)</f>
        <v>10.92</v>
      </c>
      <c r="H3240" s="5">
        <f>ROUND(G3240*NOTAS!$B$2,2)</f>
        <v>7877.09</v>
      </c>
      <c r="I3240" s="6">
        <f>ROUND(G3240*NOTAS!$B$3,0)</f>
        <v>35478</v>
      </c>
      <c r="J3240" s="2" t="n">
        <v>4</v>
      </c>
    </row>
    <row r="3241">
      <c r="A3241" s="2" t="inlineStr">
        <is>
          <t>134</t>
        </is>
      </c>
      <c r="B3241" s="2" t="inlineStr"/>
      <c r="C3241" s="2" t="inlineStr">
        <is>
          <t>PINON BOMBA ACEITE R-11/12/CORCEL</t>
        </is>
      </c>
      <c r="D3241" s="2" t="inlineStr">
        <is>
          <t>APLIC</t>
        </is>
      </c>
      <c r="E3241" s="3" t="n">
        <v>8.4</v>
      </c>
      <c r="F3241" s="4" t="n">
        <v>0.3</v>
      </c>
      <c r="G3241" s="5">
        <f>ROUND(E3241*(1+F3241),2)</f>
        <v>10.92</v>
      </c>
      <c r="H3241" s="5">
        <f>ROUND(G3241*NOTAS!$B$2,2)</f>
        <v>7877.09</v>
      </c>
      <c r="I3241" s="6">
        <f>ROUND(G3241*NOTAS!$B$3,0)</f>
        <v>35478</v>
      </c>
      <c r="J3241" s="2" t="n">
        <v>2</v>
      </c>
    </row>
    <row r="3242">
      <c r="A3242" s="2" t="inlineStr"/>
      <c r="B3242" s="2" t="inlineStr"/>
      <c r="C3242" s="2" t="inlineStr">
        <is>
          <t>PINON BOMBA ACEITE R-11/12/CORCEL</t>
        </is>
      </c>
      <c r="D3242" s="2" t="inlineStr">
        <is>
          <t>IJS</t>
        </is>
      </c>
      <c r="E3242" s="3" t="n">
        <v>8.4</v>
      </c>
      <c r="F3242" s="4" t="n">
        <v>0.3</v>
      </c>
      <c r="G3242" s="5">
        <f>ROUND(E3242*(1+F3242),2)</f>
        <v>10.92</v>
      </c>
      <c r="H3242" s="5">
        <f>ROUND(G3242*NOTAS!$B$2,2)</f>
        <v>7877.09</v>
      </c>
      <c r="I3242" s="6">
        <f>ROUND(G3242*NOTAS!$B$3,0)</f>
        <v>35478</v>
      </c>
      <c r="J3242" s="2" t="n">
        <v>0</v>
      </c>
    </row>
    <row r="3243">
      <c r="A3243" s="2" t="inlineStr">
        <is>
          <t>96352740</t>
        </is>
      </c>
      <c r="B3243" s="2" t="inlineStr"/>
      <c r="C3243" s="2" t="inlineStr">
        <is>
          <t>PINON CIGUENAL DELANTERO AVEO 1.6/NUBIRA</t>
        </is>
      </c>
      <c r="D3243" s="2" t="inlineStr">
        <is>
          <t>GM</t>
        </is>
      </c>
      <c r="E3243" s="3" t="n">
        <v>11.5385</v>
      </c>
      <c r="F3243" s="4" t="n">
        <v>0.3</v>
      </c>
      <c r="G3243" s="5">
        <f>ROUND(E3243*(1+F3243),2)</f>
        <v>15.00</v>
      </c>
      <c r="H3243" s="5">
        <f>ROUND(G3243*NOTAS!$B$2,2)</f>
        <v>10820.18</v>
      </c>
      <c r="I3243" s="6">
        <f>ROUND(G3243*NOTAS!$B$3,0)</f>
        <v>48733</v>
      </c>
      <c r="J3243" s="2" t="n">
        <v>1</v>
      </c>
    </row>
    <row r="3244">
      <c r="A3244" s="2" t="inlineStr">
        <is>
          <t>226</t>
        </is>
      </c>
      <c r="B3244" s="2" t="inlineStr">
        <is>
          <t>9302414</t>
        </is>
      </c>
      <c r="C3244" s="2" t="inlineStr">
        <is>
          <t>PINON CIGUENAL DELANTERO CHEVETTE</t>
        </is>
      </c>
      <c r="D3244" s="2" t="inlineStr">
        <is>
          <t>APLIC</t>
        </is>
      </c>
      <c r="E3244" s="3" t="n">
        <v>9.2308</v>
      </c>
      <c r="F3244" s="4" t="n">
        <v>0.3</v>
      </c>
      <c r="G3244" s="5">
        <f>ROUND(E3244*(1+F3244),2)</f>
        <v>12.00</v>
      </c>
      <c r="H3244" s="5">
        <f>ROUND(G3244*NOTAS!$B$2,2)</f>
        <v>8656.15</v>
      </c>
      <c r="I3244" s="6">
        <f>ROUND(G3244*NOTAS!$B$3,0)</f>
        <v>38986</v>
      </c>
      <c r="J3244" s="2" t="n">
        <v>1</v>
      </c>
    </row>
    <row r="3245">
      <c r="A3245" s="2" t="inlineStr">
        <is>
          <t>AR-002</t>
        </is>
      </c>
      <c r="B3245" s="2" t="inlineStr"/>
      <c r="C3245" s="2" t="inlineStr">
        <is>
          <t>PINON CIGUENAL DELANTERO CORCEL</t>
        </is>
      </c>
      <c r="D3245" s="2" t="inlineStr">
        <is>
          <t>ANROI</t>
        </is>
      </c>
      <c r="E3245" s="3" t="n">
        <v>6</v>
      </c>
      <c r="F3245" s="4" t="n">
        <v>0.3</v>
      </c>
      <c r="G3245" s="5">
        <f>ROUND(E3245*(1+F3245),2)</f>
        <v>7.80</v>
      </c>
      <c r="H3245" s="5">
        <f>ROUND(G3245*NOTAS!$B$2,2)</f>
        <v>5626.50</v>
      </c>
      <c r="I3245" s="6">
        <f>ROUND(G3245*NOTAS!$B$3,0)</f>
        <v>25341</v>
      </c>
      <c r="J3245" s="2" t="n">
        <v>11</v>
      </c>
    </row>
    <row r="3246">
      <c r="A3246" s="2" t="inlineStr">
        <is>
          <t>P96352739</t>
        </is>
      </c>
      <c r="B3246" s="2" t="inlineStr"/>
      <c r="C3246" s="2" t="inlineStr">
        <is>
          <t>PINON CIGUENAL DELANTERO CORSA</t>
        </is>
      </c>
      <c r="D3246" s="2" t="inlineStr">
        <is>
          <t>KOREA</t>
        </is>
      </c>
      <c r="E3246" s="3" t="n">
        <v>10.7692</v>
      </c>
      <c r="F3246" s="4" t="n">
        <v>0.3</v>
      </c>
      <c r="G3246" s="5">
        <f>ROUND(E3246*(1+F3246),2)</f>
        <v>14.00</v>
      </c>
      <c r="H3246" s="5">
        <f>ROUND(G3246*NOTAS!$B$2,2)</f>
        <v>10098.84</v>
      </c>
      <c r="I3246" s="6">
        <f>ROUND(G3246*NOTAS!$B$3,0)</f>
        <v>45484</v>
      </c>
      <c r="J3246" s="2" t="n">
        <v>2</v>
      </c>
    </row>
    <row r="3247">
      <c r="A3247" s="2" t="inlineStr">
        <is>
          <t>96352739</t>
        </is>
      </c>
      <c r="B3247" s="2" t="inlineStr"/>
      <c r="C3247" s="2" t="inlineStr">
        <is>
          <t>PINON CIGUENAL DELANTERO CORSA</t>
        </is>
      </c>
      <c r="D3247" s="2" t="inlineStr">
        <is>
          <t>GM KOREA</t>
        </is>
      </c>
      <c r="E3247" s="3" t="n">
        <v>10.7692</v>
      </c>
      <c r="F3247" s="4" t="n">
        <v>0.3</v>
      </c>
      <c r="G3247" s="5">
        <f>ROUND(E3247*(1+F3247),2)</f>
        <v>14.00</v>
      </c>
      <c r="H3247" s="5">
        <f>ROUND(G3247*NOTAS!$B$2,2)</f>
        <v>10098.84</v>
      </c>
      <c r="I3247" s="6">
        <f>ROUND(G3247*NOTAS!$B$3,0)</f>
        <v>45484</v>
      </c>
      <c r="J3247" s="2" t="n">
        <v>165</v>
      </c>
    </row>
    <row r="3248">
      <c r="A3248" s="2" t="inlineStr">
        <is>
          <t>90354858</t>
        </is>
      </c>
      <c r="B3248" s="2" t="inlineStr"/>
      <c r="C3248" s="2" t="inlineStr">
        <is>
          <t>PINON CIGUENAL DELANTERO CORSA</t>
        </is>
      </c>
      <c r="D3248" s="2" t="inlineStr">
        <is>
          <t>GM</t>
        </is>
      </c>
      <c r="E3248" s="3" t="n">
        <v>10.7692</v>
      </c>
      <c r="F3248" s="4" t="n">
        <v>0.3</v>
      </c>
      <c r="G3248" s="5">
        <f>ROUND(E3248*(1+F3248),2)</f>
        <v>14.00</v>
      </c>
      <c r="H3248" s="5">
        <f>ROUND(G3248*NOTAS!$B$2,2)</f>
        <v>10098.84</v>
      </c>
      <c r="I3248" s="6">
        <f>ROUND(G3248*NOTAS!$B$3,0)</f>
        <v>45484</v>
      </c>
      <c r="J3248" s="2" t="n">
        <v>14</v>
      </c>
    </row>
    <row r="3249">
      <c r="A3249" s="2" t="inlineStr">
        <is>
          <t>90354858</t>
        </is>
      </c>
      <c r="B3249" s="2" t="inlineStr"/>
      <c r="C3249" s="2" t="inlineStr">
        <is>
          <t>PINON CIGUENAL DELANTERO CORSA</t>
        </is>
      </c>
      <c r="D3249" s="2" t="inlineStr">
        <is>
          <t>SAP</t>
        </is>
      </c>
      <c r="E3249" s="3" t="n">
        <v>10.7692</v>
      </c>
      <c r="F3249" s="4" t="n">
        <v>0.3</v>
      </c>
      <c r="G3249" s="5">
        <f>ROUND(E3249*(1+F3249),2)</f>
        <v>14.00</v>
      </c>
      <c r="H3249" s="5">
        <f>ROUND(G3249*NOTAS!$B$2,2)</f>
        <v>10098.84</v>
      </c>
      <c r="I3249" s="6">
        <f>ROUND(G3249*NOTAS!$B$3,0)</f>
        <v>45484</v>
      </c>
      <c r="J3249" s="2" t="n">
        <v>1</v>
      </c>
    </row>
    <row r="3250">
      <c r="A3250" s="2" t="inlineStr">
        <is>
          <t>4430976</t>
        </is>
      </c>
      <c r="B3250" s="2" t="inlineStr"/>
      <c r="C3250" s="2" t="inlineStr">
        <is>
          <t>PINON CIGUENAL DELANTERO F-147/UNO/PREMIO 21DT</t>
        </is>
      </c>
      <c r="D3250" s="2" t="inlineStr">
        <is>
          <t>FIAT</t>
        </is>
      </c>
      <c r="E3250" s="3" t="n">
        <v>9.2308</v>
      </c>
      <c r="F3250" s="4" t="n">
        <v>0.3</v>
      </c>
      <c r="G3250" s="5">
        <f>ROUND(E3250*(1+F3250),2)</f>
        <v>12.00</v>
      </c>
      <c r="H3250" s="5">
        <f>ROUND(G3250*NOTAS!$B$2,2)</f>
        <v>8656.15</v>
      </c>
      <c r="I3250" s="6">
        <f>ROUND(G3250*NOTAS!$B$3,0)</f>
        <v>38986</v>
      </c>
      <c r="J3250" s="2" t="n">
        <v>4</v>
      </c>
    </row>
    <row r="3251">
      <c r="A3251" s="2" t="inlineStr"/>
      <c r="B3251" s="2" t="inlineStr"/>
      <c r="C3251" s="2" t="inlineStr">
        <is>
          <t>PINON CIGUENAL DELANTERO F-147/UNO/PREMIO 21DT OXIDADO</t>
        </is>
      </c>
      <c r="D3251" s="2" t="inlineStr"/>
      <c r="E3251" s="3" t="n">
        <v>6.1538</v>
      </c>
      <c r="F3251" s="4" t="n">
        <v>0.3</v>
      </c>
      <c r="G3251" s="5">
        <f>ROUND(E3251*(1+F3251),2)</f>
        <v>8.00</v>
      </c>
      <c r="H3251" s="5">
        <f>ROUND(G3251*NOTAS!$B$2,2)</f>
        <v>5770.76</v>
      </c>
      <c r="I3251" s="6">
        <f>ROUND(G3251*NOTAS!$B$3,0)</f>
        <v>25991</v>
      </c>
      <c r="J3251" s="2" t="n">
        <v>1</v>
      </c>
    </row>
    <row r="3252">
      <c r="A3252" s="2" t="inlineStr">
        <is>
          <t>700215</t>
        </is>
      </c>
      <c r="B3252" s="2" t="inlineStr">
        <is>
          <t>XS6E6306AA</t>
        </is>
      </c>
      <c r="C3252" s="2" t="inlineStr">
        <is>
          <t>PINON CIGUENAL DELANTERO FIESTA/KA/ECOSPORT 1.6</t>
        </is>
      </c>
      <c r="D3252" s="2" t="inlineStr">
        <is>
          <t>FORD</t>
        </is>
      </c>
      <c r="E3252" s="3" t="n">
        <v>10.7692</v>
      </c>
      <c r="F3252" s="4" t="n">
        <v>0.3</v>
      </c>
      <c r="G3252" s="5">
        <f>ROUND(E3252*(1+F3252),2)</f>
        <v>14.00</v>
      </c>
      <c r="H3252" s="5">
        <f>ROUND(G3252*NOTAS!$B$2,2)</f>
        <v>10098.84</v>
      </c>
      <c r="I3252" s="6">
        <f>ROUND(G3252*NOTAS!$B$3,0)</f>
        <v>45484</v>
      </c>
      <c r="J3252" s="2" t="n">
        <v>1</v>
      </c>
    </row>
    <row r="3253">
      <c r="A3253" s="2" t="inlineStr">
        <is>
          <t>306</t>
        </is>
      </c>
      <c r="B3253" s="2" t="inlineStr">
        <is>
          <t>46430314</t>
        </is>
      </c>
      <c r="C3253" s="2" t="inlineStr">
        <is>
          <t>PINON CIGUENAL DELANTERO F-PAL/SIE 1.3</t>
        </is>
      </c>
      <c r="D3253" s="2" t="inlineStr">
        <is>
          <t>APLIC</t>
        </is>
      </c>
      <c r="E3253" s="3" t="n">
        <v>9.2308</v>
      </c>
      <c r="F3253" s="4" t="n">
        <v>0.3</v>
      </c>
      <c r="G3253" s="5">
        <f>ROUND(E3253*(1+F3253),2)</f>
        <v>12.00</v>
      </c>
      <c r="H3253" s="5">
        <f>ROUND(G3253*NOTAS!$B$2,2)</f>
        <v>8656.15</v>
      </c>
      <c r="I3253" s="6">
        <f>ROUND(G3253*NOTAS!$B$3,0)</f>
        <v>38986</v>
      </c>
      <c r="J3253" s="2" t="n">
        <v>6</v>
      </c>
    </row>
    <row r="3254">
      <c r="A3254" s="2" t="inlineStr">
        <is>
          <t>303</t>
        </is>
      </c>
      <c r="B3254" s="2" t="inlineStr">
        <is>
          <t>46740344</t>
        </is>
      </c>
      <c r="C3254" s="2" t="inlineStr">
        <is>
          <t>PINON CIGUENAL DELANTERO F-PAL/SIE 1.3 16VFIRE</t>
        </is>
      </c>
      <c r="D3254" s="2" t="inlineStr">
        <is>
          <t>APLIC</t>
        </is>
      </c>
      <c r="E3254" s="3" t="n">
        <v>9.2308</v>
      </c>
      <c r="F3254" s="4" t="n">
        <v>0.3</v>
      </c>
      <c r="G3254" s="5">
        <f>ROUND(E3254*(1+F3254),2)</f>
        <v>12.00</v>
      </c>
      <c r="H3254" s="5">
        <f>ROUND(G3254*NOTAS!$B$2,2)</f>
        <v>8656.15</v>
      </c>
      <c r="I3254" s="6">
        <f>ROUND(G3254*NOTAS!$B$3,0)</f>
        <v>38986</v>
      </c>
      <c r="J3254" s="2" t="n">
        <v>2</v>
      </c>
    </row>
    <row r="3255">
      <c r="A3255" s="2" t="inlineStr"/>
      <c r="B3255" s="2" t="inlineStr"/>
      <c r="C3255" s="2" t="inlineStr">
        <is>
          <t>PINON CIGUENAL DELANTERO F-TEMPRA 1.6</t>
        </is>
      </c>
      <c r="D3255" s="2" t="inlineStr">
        <is>
          <t>ITALY</t>
        </is>
      </c>
      <c r="E3255" s="3" t="n">
        <v>9.2308</v>
      </c>
      <c r="F3255" s="4" t="n">
        <v>0.3</v>
      </c>
      <c r="G3255" s="5">
        <f>ROUND(E3255*(1+F3255),2)</f>
        <v>12.00</v>
      </c>
      <c r="H3255" s="5">
        <f>ROUND(G3255*NOTAS!$B$2,2)</f>
        <v>8656.15</v>
      </c>
      <c r="I3255" s="6">
        <f>ROUND(G3255*NOTAS!$B$3,0)</f>
        <v>38986</v>
      </c>
      <c r="J3255" s="2" t="n">
        <v>1</v>
      </c>
    </row>
    <row r="3256">
      <c r="A3256" s="2" t="inlineStr">
        <is>
          <t>223</t>
        </is>
      </c>
      <c r="B3256" s="2" t="inlineStr"/>
      <c r="C3256" s="2" t="inlineStr">
        <is>
          <t>PINON CIGUENAL DELANTERO MONZA</t>
        </is>
      </c>
      <c r="D3256" s="2" t="inlineStr">
        <is>
          <t>APLIC</t>
        </is>
      </c>
      <c r="E3256" s="3" t="n">
        <v>9.2308</v>
      </c>
      <c r="F3256" s="4" t="n">
        <v>0.3</v>
      </c>
      <c r="G3256" s="5">
        <f>ROUND(E3256*(1+F3256),2)</f>
        <v>12.00</v>
      </c>
      <c r="H3256" s="5">
        <f>ROUND(G3256*NOTAS!$B$2,2)</f>
        <v>8656.15</v>
      </c>
      <c r="I3256" s="6">
        <f>ROUND(G3256*NOTAS!$B$3,0)</f>
        <v>38986</v>
      </c>
      <c r="J3256" s="2" t="n">
        <v>1</v>
      </c>
    </row>
    <row r="3257">
      <c r="A3257" s="2" t="inlineStr">
        <is>
          <t>8200068566</t>
        </is>
      </c>
      <c r="B3257" s="2" t="inlineStr"/>
      <c r="C3257" s="2" t="inlineStr">
        <is>
          <t>PINON CIGUENAL DELANTERO R-SYMBOL/MEGANE SIN CUNA</t>
        </is>
      </c>
      <c r="D3257" s="2" t="inlineStr">
        <is>
          <t>AEQUIPE</t>
        </is>
      </c>
      <c r="E3257" s="3" t="n">
        <v>10</v>
      </c>
      <c r="F3257" s="4" t="n">
        <v>0.3</v>
      </c>
      <c r="G3257" s="5">
        <f>ROUND(E3257*(1+F3257),2)</f>
        <v>13.00</v>
      </c>
      <c r="H3257" s="5">
        <f>ROUND(G3257*NOTAS!$B$2,2)</f>
        <v>9377.49</v>
      </c>
      <c r="I3257" s="6">
        <f>ROUND(G3257*NOTAS!$B$3,0)</f>
        <v>42235</v>
      </c>
      <c r="J3257" s="2" t="n">
        <v>2</v>
      </c>
    </row>
    <row r="3258">
      <c r="A3258" s="2" t="inlineStr">
        <is>
          <t>94580137</t>
        </is>
      </c>
      <c r="B3258" s="2" t="inlineStr"/>
      <c r="C3258" s="2" t="inlineStr">
        <is>
          <t>PINON CIGUENAL DELANTERO SPARK</t>
        </is>
      </c>
      <c r="D3258" s="2" t="inlineStr">
        <is>
          <t>GM</t>
        </is>
      </c>
      <c r="E3258" s="3" t="n">
        <v>9.2308</v>
      </c>
      <c r="F3258" s="4" t="n">
        <v>0.3</v>
      </c>
      <c r="G3258" s="5">
        <f>ROUND(E3258*(1+F3258),2)</f>
        <v>12.00</v>
      </c>
      <c r="H3258" s="5">
        <f>ROUND(G3258*NOTAS!$B$2,2)</f>
        <v>8656.15</v>
      </c>
      <c r="I3258" s="6">
        <f>ROUND(G3258*NOTAS!$B$3,0)</f>
        <v>38986</v>
      </c>
      <c r="J3258" s="2" t="n">
        <v>1</v>
      </c>
    </row>
    <row r="3259">
      <c r="A3259" s="2" t="inlineStr">
        <is>
          <t>P94580137</t>
        </is>
      </c>
      <c r="B3259" s="2" t="inlineStr"/>
      <c r="C3259" s="2" t="inlineStr">
        <is>
          <t>PINON CIGUENAL DELANTERO SPARK</t>
        </is>
      </c>
      <c r="D3259" s="2" t="inlineStr">
        <is>
          <t>PARTS-MALL</t>
        </is>
      </c>
      <c r="E3259" s="3" t="n">
        <v>9.2308</v>
      </c>
      <c r="F3259" s="4" t="n">
        <v>0.3</v>
      </c>
      <c r="G3259" s="5">
        <f>ROUND(E3259*(1+F3259),2)</f>
        <v>12.00</v>
      </c>
      <c r="H3259" s="5">
        <f>ROUND(G3259*NOTAS!$B$2,2)</f>
        <v>8656.15</v>
      </c>
      <c r="I3259" s="6">
        <f>ROUND(G3259*NOTAS!$B$3,0)</f>
        <v>38986</v>
      </c>
      <c r="J3259" s="2" t="n">
        <v>1</v>
      </c>
    </row>
    <row r="3260">
      <c r="A3260" s="2" t="inlineStr"/>
      <c r="B3260" s="2" t="inlineStr"/>
      <c r="C3260" s="2" t="inlineStr">
        <is>
          <t>PINON ENGRANAJE ARBOL LEVA 2DA F-TEMPRA 1.6</t>
        </is>
      </c>
      <c r="D3260" s="2" t="inlineStr">
        <is>
          <t>ITALY</t>
        </is>
      </c>
      <c r="E3260" s="3" t="n">
        <v>9.2308</v>
      </c>
      <c r="F3260" s="4" t="n">
        <v>0.3</v>
      </c>
      <c r="G3260" s="5">
        <f>ROUND(E3260*(1+F3260),2)</f>
        <v>12.00</v>
      </c>
      <c r="H3260" s="5">
        <f>ROUND(G3260*NOTAS!$B$2,2)</f>
        <v>8656.15</v>
      </c>
      <c r="I3260" s="6">
        <f>ROUND(G3260*NOTAS!$B$3,0)</f>
        <v>38986</v>
      </c>
      <c r="J3260" s="2" t="n">
        <v>2</v>
      </c>
    </row>
    <row r="3261">
      <c r="A3261" s="2" t="inlineStr">
        <is>
          <t>264</t>
        </is>
      </c>
      <c r="B3261" s="2" t="inlineStr"/>
      <c r="C3261" s="2" t="inlineStr">
        <is>
          <t>PINON ENGRANAJE ARBOL LEVA CHEVETTE</t>
        </is>
      </c>
      <c r="D3261" s="2" t="inlineStr">
        <is>
          <t>APLIC</t>
        </is>
      </c>
      <c r="E3261" s="3" t="n">
        <v>9.2308</v>
      </c>
      <c r="F3261" s="4" t="n">
        <v>0.3</v>
      </c>
      <c r="G3261" s="5">
        <f>ROUND(E3261*(1+F3261),2)</f>
        <v>12.00</v>
      </c>
      <c r="H3261" s="5">
        <f>ROUND(G3261*NOTAS!$B$2,2)</f>
        <v>8656.15</v>
      </c>
      <c r="I3261" s="6">
        <f>ROUND(G3261*NOTAS!$B$3,0)</f>
        <v>38986</v>
      </c>
      <c r="J3261" s="2" t="n">
        <v>3</v>
      </c>
    </row>
    <row r="3262">
      <c r="A3262" s="2" t="inlineStr">
        <is>
          <t>8966891</t>
        </is>
      </c>
      <c r="B3262" s="2" t="inlineStr"/>
      <c r="C3262" s="2" t="inlineStr">
        <is>
          <t>PINON ENGRANAJE ARBOL LEVA CHEVETTE</t>
        </is>
      </c>
      <c r="D3262" s="2" t="inlineStr">
        <is>
          <t>BRAZIL</t>
        </is>
      </c>
      <c r="E3262" s="3" t="n">
        <v>9.2308</v>
      </c>
      <c r="F3262" s="4" t="n">
        <v>0.3</v>
      </c>
      <c r="G3262" s="5">
        <f>ROUND(E3262*(1+F3262),2)</f>
        <v>12.00</v>
      </c>
      <c r="H3262" s="5">
        <f>ROUND(G3262*NOTAS!$B$2,2)</f>
        <v>8656.15</v>
      </c>
      <c r="I3262" s="6">
        <f>ROUND(G3262*NOTAS!$B$3,0)</f>
        <v>38986</v>
      </c>
      <c r="J3262" s="2" t="n">
        <v>2</v>
      </c>
    </row>
    <row r="3263">
      <c r="A3263" s="2" t="inlineStr">
        <is>
          <t>AR-001</t>
        </is>
      </c>
      <c r="B3263" s="2" t="inlineStr"/>
      <c r="C3263" s="2" t="inlineStr">
        <is>
          <t>PINON ENGRANAJE ARBOL LEVA CORCEL</t>
        </is>
      </c>
      <c r="D3263" s="2" t="inlineStr">
        <is>
          <t>ANROI</t>
        </is>
      </c>
      <c r="E3263" s="3" t="n">
        <v>4</v>
      </c>
      <c r="F3263" s="4" t="n">
        <v>0.3</v>
      </c>
      <c r="G3263" s="5">
        <f>ROUND(E3263*(1+F3263),2)</f>
        <v>5.20</v>
      </c>
      <c r="H3263" s="5">
        <f>ROUND(G3263*NOTAS!$B$2,2)</f>
        <v>3751.00</v>
      </c>
      <c r="I3263" s="6">
        <f>ROUND(G3263*NOTAS!$B$3,0)</f>
        <v>16894</v>
      </c>
      <c r="J3263" s="2" t="n">
        <v>5</v>
      </c>
    </row>
    <row r="3264">
      <c r="A3264" s="2" t="inlineStr">
        <is>
          <t>90118241</t>
        </is>
      </c>
      <c r="B3264" s="2" t="inlineStr"/>
      <c r="C3264" s="2" t="inlineStr">
        <is>
          <t>PINON ENGRANAJE ARBOL LEVA CORSA</t>
        </is>
      </c>
      <c r="D3264" s="2" t="inlineStr">
        <is>
          <t>GM</t>
        </is>
      </c>
      <c r="E3264" s="3" t="n">
        <v>10.7692</v>
      </c>
      <c r="F3264" s="4" t="n">
        <v>0.3</v>
      </c>
      <c r="G3264" s="5">
        <f>ROUND(E3264*(1+F3264),2)</f>
        <v>14.00</v>
      </c>
      <c r="H3264" s="5">
        <f>ROUND(G3264*NOTAS!$B$2,2)</f>
        <v>10098.84</v>
      </c>
      <c r="I3264" s="6">
        <f>ROUND(G3264*NOTAS!$B$3,0)</f>
        <v>45484</v>
      </c>
      <c r="J3264" s="2" t="n">
        <v>3</v>
      </c>
    </row>
    <row r="3265">
      <c r="A3265" s="2" t="inlineStr">
        <is>
          <t>Z25300</t>
        </is>
      </c>
      <c r="B3265" s="2" t="inlineStr"/>
      <c r="C3265" s="2" t="inlineStr">
        <is>
          <t>PINON ENGRANAJE ARBOL LEVA F-147/UNO/PREMIO 1.3 1.5</t>
        </is>
      </c>
      <c r="D3265" s="2" t="inlineStr">
        <is>
          <t>MAHLE</t>
        </is>
      </c>
      <c r="E3265" s="3" t="n">
        <v>9.2308</v>
      </c>
      <c r="F3265" s="4" t="n">
        <v>0.3</v>
      </c>
      <c r="G3265" s="5">
        <f>ROUND(E3265*(1+F3265),2)</f>
        <v>12.00</v>
      </c>
      <c r="H3265" s="5">
        <f>ROUND(G3265*NOTAS!$B$2,2)</f>
        <v>8656.15</v>
      </c>
      <c r="I3265" s="6">
        <f>ROUND(G3265*NOTAS!$B$3,0)</f>
        <v>38986</v>
      </c>
      <c r="J3265" s="2" t="n">
        <v>2</v>
      </c>
    </row>
    <row r="3266">
      <c r="A3266" s="2" t="inlineStr">
        <is>
          <t>92BM6256AC</t>
        </is>
      </c>
      <c r="B3266" s="2" t="inlineStr"/>
      <c r="C3266" s="2" t="inlineStr">
        <is>
          <t>PINON ENGRANAJE ARBOL LEVA FIESTA 1.3</t>
        </is>
      </c>
      <c r="D3266" s="2" t="inlineStr">
        <is>
          <t>FORD</t>
        </is>
      </c>
      <c r="E3266" s="3" t="n">
        <v>9.2308</v>
      </c>
      <c r="F3266" s="4" t="n">
        <v>0.3</v>
      </c>
      <c r="G3266" s="5">
        <f>ROUND(E3266*(1+F3266),2)</f>
        <v>12.00</v>
      </c>
      <c r="H3266" s="5">
        <f>ROUND(G3266*NOTAS!$B$2,2)</f>
        <v>8656.15</v>
      </c>
      <c r="I3266" s="6">
        <f>ROUND(G3266*NOTAS!$B$3,0)</f>
        <v>38986</v>
      </c>
      <c r="J3266" s="2" t="n">
        <v>1</v>
      </c>
    </row>
    <row r="3267">
      <c r="A3267" s="2" t="inlineStr">
        <is>
          <t>900109</t>
        </is>
      </c>
      <c r="B3267" s="2" t="inlineStr">
        <is>
          <t>XS6E6256AB</t>
        </is>
      </c>
      <c r="C3267" s="2" t="inlineStr">
        <is>
          <t>PINON ENGRANAJE ARBOL LEVA FIESTA/KA 1.6</t>
        </is>
      </c>
      <c r="D3267" s="2" t="inlineStr">
        <is>
          <t>FORD</t>
        </is>
      </c>
      <c r="E3267" s="3" t="n">
        <v>10.7692</v>
      </c>
      <c r="F3267" s="4" t="n">
        <v>0.3</v>
      </c>
      <c r="G3267" s="5">
        <f>ROUND(E3267*(1+F3267),2)</f>
        <v>14.00</v>
      </c>
      <c r="H3267" s="5">
        <f>ROUND(G3267*NOTAS!$B$2,2)</f>
        <v>10098.84</v>
      </c>
      <c r="I3267" s="6">
        <f>ROUND(G3267*NOTAS!$B$3,0)</f>
        <v>45484</v>
      </c>
      <c r="J3267" s="2" t="n">
        <v>2</v>
      </c>
    </row>
    <row r="3268">
      <c r="A3268" s="2" t="inlineStr">
        <is>
          <t>7582144</t>
        </is>
      </c>
      <c r="B3268" s="2" t="inlineStr"/>
      <c r="C3268" s="2" t="inlineStr">
        <is>
          <t>PINON ENGRANAJE ARBOL LEVA F-TEMPRA 1.6</t>
        </is>
      </c>
      <c r="D3268" s="2" t="inlineStr">
        <is>
          <t>ITALY</t>
        </is>
      </c>
      <c r="E3268" s="3" t="n">
        <v>9.2308</v>
      </c>
      <c r="F3268" s="4" t="n">
        <v>0.3</v>
      </c>
      <c r="G3268" s="5">
        <f>ROUND(E3268*(1+F3268),2)</f>
        <v>12.00</v>
      </c>
      <c r="H3268" s="5">
        <f>ROUND(G3268*NOTAS!$B$2,2)</f>
        <v>8656.15</v>
      </c>
      <c r="I3268" s="6">
        <f>ROUND(G3268*NOTAS!$B$3,0)</f>
        <v>38986</v>
      </c>
      <c r="J3268" s="2" t="n">
        <v>2</v>
      </c>
    </row>
    <row r="3269">
      <c r="A3269" s="2" t="inlineStr">
        <is>
          <t>4994</t>
        </is>
      </c>
      <c r="B3269" s="2" t="inlineStr"/>
      <c r="C3269" s="2" t="inlineStr">
        <is>
          <t>PINON ENGRANAJE ARBOL LEVA R-19/SYMBOL 8V</t>
        </is>
      </c>
      <c r="D3269" s="2" t="inlineStr">
        <is>
          <t>METALCAUCHO</t>
        </is>
      </c>
      <c r="E3269" s="3" t="n">
        <v>9.2308</v>
      </c>
      <c r="F3269" s="4" t="n">
        <v>0.3</v>
      </c>
      <c r="G3269" s="5">
        <f>ROUND(E3269*(1+F3269),2)</f>
        <v>12.00</v>
      </c>
      <c r="H3269" s="5">
        <f>ROUND(G3269*NOTAS!$B$2,2)</f>
        <v>8656.15</v>
      </c>
      <c r="I3269" s="6">
        <f>ROUND(G3269*NOTAS!$B$3,0)</f>
        <v>38986</v>
      </c>
      <c r="J3269" s="2" t="n">
        <v>2</v>
      </c>
    </row>
    <row r="3270">
      <c r="A3270" s="2" t="inlineStr">
        <is>
          <t>R.9-118</t>
        </is>
      </c>
      <c r="B3270" s="2" t="inlineStr"/>
      <c r="C3270" s="2" t="inlineStr">
        <is>
          <t>PINON ENGRANAJE ARBOL LEVA R-5/11/GALA</t>
        </is>
      </c>
      <c r="D3270" s="2" t="inlineStr">
        <is>
          <t>TAKSIM GROUP</t>
        </is>
      </c>
      <c r="E3270" s="3" t="n">
        <v>9.2308</v>
      </c>
      <c r="F3270" s="4" t="n">
        <v>0.3</v>
      </c>
      <c r="G3270" s="5">
        <f>ROUND(E3270*(1+F3270),2)</f>
        <v>12.00</v>
      </c>
      <c r="H3270" s="5">
        <f>ROUND(G3270*NOTAS!$B$2,2)</f>
        <v>8656.15</v>
      </c>
      <c r="I3270" s="6">
        <f>ROUND(G3270*NOTAS!$B$3,0)</f>
        <v>38986</v>
      </c>
      <c r="J3270" s="2" t="n">
        <v>1</v>
      </c>
    </row>
    <row r="3271">
      <c r="A3271" s="2" t="inlineStr">
        <is>
          <t>R.CLI-691</t>
        </is>
      </c>
      <c r="B3271" s="2" t="inlineStr"/>
      <c r="C3271" s="2" t="inlineStr">
        <is>
          <t>PINON ENGRANAJE ARBOL LEVA R-SYMBOL/MEGANE</t>
        </is>
      </c>
      <c r="D3271" s="2" t="inlineStr">
        <is>
          <t>TAKSIM GROUP</t>
        </is>
      </c>
      <c r="E3271" s="3" t="n">
        <v>10</v>
      </c>
      <c r="F3271" s="4" t="n">
        <v>0.3</v>
      </c>
      <c r="G3271" s="5">
        <f>ROUND(E3271*(1+F3271),2)</f>
        <v>13.00</v>
      </c>
      <c r="H3271" s="5">
        <f>ROUND(G3271*NOTAS!$B$2,2)</f>
        <v>9377.49</v>
      </c>
      <c r="I3271" s="6">
        <f>ROUND(G3271*NOTAS!$B$3,0)</f>
        <v>42235</v>
      </c>
      <c r="J3271" s="2" t="n">
        <v>2</v>
      </c>
    </row>
    <row r="3272">
      <c r="A3272" s="2" t="inlineStr"/>
      <c r="B3272" s="2" t="inlineStr"/>
      <c r="C3272" s="2" t="inlineStr">
        <is>
          <t>PINON ENGRANAJE ARBOL LEVA SPARK</t>
        </is>
      </c>
      <c r="D3272" s="2" t="inlineStr">
        <is>
          <t>KOREA</t>
        </is>
      </c>
      <c r="E3272" s="3" t="n">
        <v>9.2308</v>
      </c>
      <c r="F3272" s="4" t="n">
        <v>0.3</v>
      </c>
      <c r="G3272" s="5">
        <f>ROUND(E3272*(1+F3272),2)</f>
        <v>12.00</v>
      </c>
      <c r="H3272" s="5">
        <f>ROUND(G3272*NOTAS!$B$2,2)</f>
        <v>8656.15</v>
      </c>
      <c r="I3272" s="6">
        <f>ROUND(G3272*NOTAS!$B$3,0)</f>
        <v>38986</v>
      </c>
      <c r="J3272" s="2" t="n">
        <v>2</v>
      </c>
    </row>
    <row r="3273">
      <c r="A3273" s="2" t="inlineStr">
        <is>
          <t>78680</t>
        </is>
      </c>
      <c r="B3273" s="2" t="inlineStr"/>
      <c r="C3273" s="2" t="inlineStr">
        <is>
          <t>PINON VELOCIMETRO CHEVETTE</t>
        </is>
      </c>
      <c r="D3273" s="2" t="inlineStr">
        <is>
          <t>TALIFAMA</t>
        </is>
      </c>
      <c r="E3273" s="3" t="n">
        <v>7.6923</v>
      </c>
      <c r="F3273" s="4" t="n">
        <v>0.3</v>
      </c>
      <c r="G3273" s="5">
        <f>ROUND(E3273*(1+F3273),2)</f>
        <v>10.00</v>
      </c>
      <c r="H3273" s="5">
        <f>ROUND(G3273*NOTAS!$B$2,2)</f>
        <v>7213.46</v>
      </c>
      <c r="I3273" s="6">
        <f>ROUND(G3273*NOTAS!$B$3,0)</f>
        <v>32489</v>
      </c>
      <c r="J3273" s="2" t="n">
        <v>1</v>
      </c>
    </row>
    <row r="3274">
      <c r="A3274" s="2" t="inlineStr">
        <is>
          <t>6737568</t>
        </is>
      </c>
      <c r="B3274" s="2" t="inlineStr">
        <is>
          <t>93ZT17271CA</t>
        </is>
      </c>
      <c r="C3274" s="2" t="inlineStr">
        <is>
          <t>PINON VELOCIMETRO FIESTA/KA/ECOSPORT</t>
        </is>
      </c>
      <c r="D3274" s="2" t="inlineStr">
        <is>
          <t>FORD</t>
        </is>
      </c>
      <c r="E3274" s="3" t="n">
        <v>7.6923</v>
      </c>
      <c r="F3274" s="4" t="n">
        <v>0.3</v>
      </c>
      <c r="G3274" s="5">
        <f>ROUND(E3274*(1+F3274),2)</f>
        <v>10.00</v>
      </c>
      <c r="H3274" s="5">
        <f>ROUND(G3274*NOTAS!$B$2,2)</f>
        <v>7213.46</v>
      </c>
      <c r="I3274" s="6">
        <f>ROUND(G3274*NOTAS!$B$3,0)</f>
        <v>32489</v>
      </c>
      <c r="J3274" s="2" t="n">
        <v>2</v>
      </c>
    </row>
    <row r="3275">
      <c r="A3275" s="2" t="inlineStr">
        <is>
          <t>5200</t>
        </is>
      </c>
      <c r="B3275" s="2" t="inlineStr"/>
      <c r="C3275" s="2" t="inlineStr">
        <is>
          <t>PLATINO TIPO BOSCH</t>
        </is>
      </c>
      <c r="D3275" s="2" t="inlineStr">
        <is>
          <t>ANGLI</t>
        </is>
      </c>
      <c r="E3275" s="3" t="n">
        <v>6.1538</v>
      </c>
      <c r="F3275" s="4" t="n">
        <v>0.3</v>
      </c>
      <c r="G3275" s="5">
        <f>ROUND(E3275*(1+F3275),2)</f>
        <v>8.00</v>
      </c>
      <c r="H3275" s="5">
        <f>ROUND(G3275*NOTAS!$B$2,2)</f>
        <v>5770.76</v>
      </c>
      <c r="I3275" s="6">
        <f>ROUND(G3275*NOTAS!$B$3,0)</f>
        <v>25991</v>
      </c>
      <c r="J3275" s="2" t="n">
        <v>5</v>
      </c>
    </row>
    <row r="3276">
      <c r="A3276" s="2" t="inlineStr">
        <is>
          <t>5007</t>
        </is>
      </c>
      <c r="B3276" s="2" t="inlineStr"/>
      <c r="C3276" s="2" t="inlineStr">
        <is>
          <t>PLATINO TIPO FENSA</t>
        </is>
      </c>
      <c r="D3276" s="2" t="inlineStr">
        <is>
          <t>ANGLI</t>
        </is>
      </c>
      <c r="E3276" s="3" t="n">
        <v>6.1538</v>
      </c>
      <c r="F3276" s="4" t="n">
        <v>0.3</v>
      </c>
      <c r="G3276" s="5">
        <f>ROUND(E3276*(1+F3276),2)</f>
        <v>8.00</v>
      </c>
      <c r="H3276" s="5">
        <f>ROUND(G3276*NOTAS!$B$2,2)</f>
        <v>5770.76</v>
      </c>
      <c r="I3276" s="6">
        <f>ROUND(G3276*NOTAS!$B$3,0)</f>
        <v>25991</v>
      </c>
      <c r="J3276" s="2" t="n">
        <v>65</v>
      </c>
    </row>
    <row r="3277">
      <c r="A3277" s="2" t="inlineStr">
        <is>
          <t>19145-26060</t>
        </is>
      </c>
      <c r="B3277" s="2" t="inlineStr"/>
      <c r="C3277" s="2" t="inlineStr">
        <is>
          <t>PLATINO TOYOTA 2F/3F</t>
        </is>
      </c>
      <c r="D3277" s="2" t="inlineStr">
        <is>
          <t>TOYOTA</t>
        </is>
      </c>
      <c r="E3277" s="3" t="n">
        <v>6.1538</v>
      </c>
      <c r="F3277" s="4" t="n">
        <v>0.3</v>
      </c>
      <c r="G3277" s="5">
        <f>ROUND(E3277*(1+F3277),2)</f>
        <v>8.00</v>
      </c>
      <c r="H3277" s="5">
        <f>ROUND(G3277*NOTAS!$B$2,2)</f>
        <v>5770.76</v>
      </c>
      <c r="I3277" s="6">
        <f>ROUND(G3277*NOTAS!$B$3,0)</f>
        <v>25991</v>
      </c>
      <c r="J3277" s="2" t="n">
        <v>4</v>
      </c>
    </row>
    <row r="3278">
      <c r="A3278" s="2" t="inlineStr">
        <is>
          <t>19145-26060</t>
        </is>
      </c>
      <c r="B3278" s="2" t="inlineStr"/>
      <c r="C3278" s="2" t="inlineStr">
        <is>
          <t>PLATINO TOYOTA 2F/3F</t>
        </is>
      </c>
      <c r="D3278" s="2" t="inlineStr">
        <is>
          <t>FEW</t>
        </is>
      </c>
      <c r="E3278" s="3" t="n">
        <v>6.1538</v>
      </c>
      <c r="F3278" s="4" t="n">
        <v>0.3</v>
      </c>
      <c r="G3278" s="5">
        <f>ROUND(E3278*(1+F3278),2)</f>
        <v>8.00</v>
      </c>
      <c r="H3278" s="5">
        <f>ROUND(G3278*NOTAS!$B$2,2)</f>
        <v>5770.76</v>
      </c>
      <c r="I3278" s="6">
        <f>ROUND(G3278*NOTAS!$B$3,0)</f>
        <v>25991</v>
      </c>
      <c r="J3278" s="2" t="n">
        <v>1</v>
      </c>
    </row>
    <row r="3279">
      <c r="A3279" s="2" t="inlineStr">
        <is>
          <t>19145-26060</t>
        </is>
      </c>
      <c r="B3279" s="2" t="inlineStr"/>
      <c r="C3279" s="2" t="inlineStr">
        <is>
          <t>PLATINO TOYOTA 2F/3F</t>
        </is>
      </c>
      <c r="D3279" s="2" t="inlineStr">
        <is>
          <t>CENTURY</t>
        </is>
      </c>
      <c r="E3279" s="3" t="n">
        <v>6.1538</v>
      </c>
      <c r="F3279" s="4" t="n">
        <v>0.3</v>
      </c>
      <c r="G3279" s="5">
        <f>ROUND(E3279*(1+F3279),2)</f>
        <v>8.00</v>
      </c>
      <c r="H3279" s="5">
        <f>ROUND(G3279*NOTAS!$B$2,2)</f>
        <v>5770.76</v>
      </c>
      <c r="I3279" s="6">
        <f>ROUND(G3279*NOTAS!$B$3,0)</f>
        <v>25991</v>
      </c>
      <c r="J3279" s="2" t="n">
        <v>9</v>
      </c>
    </row>
    <row r="3280">
      <c r="A3280" s="2" t="inlineStr">
        <is>
          <t>DWC-20</t>
        </is>
      </c>
      <c r="B3280" s="2" t="inlineStr"/>
      <c r="C3280" s="2" t="inlineStr">
        <is>
          <t>PLATO PRECION EMBRAGUE AVEO 1.5</t>
        </is>
      </c>
      <c r="D3280" s="2" t="inlineStr">
        <is>
          <t>PHC VALEO</t>
        </is>
      </c>
      <c r="E3280" s="3" t="n">
        <v>42.3077</v>
      </c>
      <c r="F3280" s="4" t="n">
        <v>0.3</v>
      </c>
      <c r="G3280" s="5">
        <f>ROUND(E3280*(1+F3280),2)</f>
        <v>55.00</v>
      </c>
      <c r="H3280" s="5">
        <f>ROUND(G3280*NOTAS!$B$2,2)</f>
        <v>39674.01</v>
      </c>
      <c r="I3280" s="6">
        <f>ROUND(G3280*NOTAS!$B$3,0)</f>
        <v>178688</v>
      </c>
      <c r="J3280" s="2" t="n">
        <v>12</v>
      </c>
    </row>
    <row r="3281">
      <c r="A3281" s="2" t="inlineStr">
        <is>
          <t>96181199</t>
        </is>
      </c>
      <c r="B3281" s="2" t="inlineStr"/>
      <c r="C3281" s="2" t="inlineStr">
        <is>
          <t>PLATO PRECION EMBRAGUE AVEO 1.5</t>
        </is>
      </c>
      <c r="D3281" s="2" t="inlineStr">
        <is>
          <t>GM</t>
        </is>
      </c>
      <c r="E3281" s="3" t="n">
        <v>42.3077</v>
      </c>
      <c r="F3281" s="4" t="n">
        <v>0.3</v>
      </c>
      <c r="G3281" s="5">
        <f>ROUND(E3281*(1+F3281),2)</f>
        <v>55.00</v>
      </c>
      <c r="H3281" s="5">
        <f>ROUND(G3281*NOTAS!$B$2,2)</f>
        <v>39674.01</v>
      </c>
      <c r="I3281" s="6">
        <f>ROUND(G3281*NOTAS!$B$3,0)</f>
        <v>178688</v>
      </c>
      <c r="J3281" s="2" t="n">
        <v>1</v>
      </c>
    </row>
    <row r="3282">
      <c r="A3282" s="2" t="inlineStr">
        <is>
          <t>DWC-23</t>
        </is>
      </c>
      <c r="B3282" s="2" t="inlineStr"/>
      <c r="C3282" s="2" t="inlineStr">
        <is>
          <t>PLATO PRECION EMBRAGUE AVEO 1.6</t>
        </is>
      </c>
      <c r="D3282" s="2" t="inlineStr">
        <is>
          <t>PHC VALEO</t>
        </is>
      </c>
      <c r="E3282" s="3" t="n">
        <v>42.3077</v>
      </c>
      <c r="F3282" s="4" t="n">
        <v>0.3</v>
      </c>
      <c r="G3282" s="5">
        <f>ROUND(E3282*(1+F3282),2)</f>
        <v>55.00</v>
      </c>
      <c r="H3282" s="5">
        <f>ROUND(G3282*NOTAS!$B$2,2)</f>
        <v>39674.01</v>
      </c>
      <c r="I3282" s="6">
        <f>ROUND(G3282*NOTAS!$B$3,0)</f>
        <v>178688</v>
      </c>
      <c r="J3282" s="2" t="n">
        <v>8</v>
      </c>
    </row>
    <row r="3283">
      <c r="A3283" s="2" t="inlineStr">
        <is>
          <t>96349031</t>
        </is>
      </c>
      <c r="B3283" s="2" t="inlineStr"/>
      <c r="C3283" s="2" t="inlineStr">
        <is>
          <t>PLATO PRECION EMBRAGUE AVEO 1.6</t>
        </is>
      </c>
      <c r="D3283" s="2" t="inlineStr">
        <is>
          <t>GM</t>
        </is>
      </c>
      <c r="E3283" s="3" t="n">
        <v>42.3077</v>
      </c>
      <c r="F3283" s="4" t="n">
        <v>0.3</v>
      </c>
      <c r="G3283" s="5">
        <f>ROUND(E3283*(1+F3283),2)</f>
        <v>55.00</v>
      </c>
      <c r="H3283" s="5">
        <f>ROUND(G3283*NOTAS!$B$2,2)</f>
        <v>39674.01</v>
      </c>
      <c r="I3283" s="6">
        <f>ROUND(G3283*NOTAS!$B$3,0)</f>
        <v>178688</v>
      </c>
      <c r="J3283" s="2" t="n">
        <v>1</v>
      </c>
    </row>
    <row r="3284">
      <c r="A3284" s="2" t="inlineStr">
        <is>
          <t>DWC-16</t>
        </is>
      </c>
      <c r="B3284" s="2" t="inlineStr"/>
      <c r="C3284" s="2" t="inlineStr">
        <is>
          <t>PLATO PRECION EMBRAGUE CIELO/LANOS 1.5</t>
        </is>
      </c>
      <c r="D3284" s="2" t="inlineStr">
        <is>
          <t>PHC VALEO</t>
        </is>
      </c>
      <c r="E3284" s="3" t="n">
        <v>38.4615</v>
      </c>
      <c r="F3284" s="4" t="n">
        <v>0.3</v>
      </c>
      <c r="G3284" s="5">
        <f>ROUND(E3284*(1+F3284),2)</f>
        <v>50.00</v>
      </c>
      <c r="H3284" s="5">
        <f>ROUND(G3284*NOTAS!$B$2,2)</f>
        <v>36067.28</v>
      </c>
      <c r="I3284" s="6">
        <f>ROUND(G3284*NOTAS!$B$3,0)</f>
        <v>162444</v>
      </c>
      <c r="J3284" s="2" t="n">
        <v>1</v>
      </c>
    </row>
    <row r="3285">
      <c r="A3285" s="2" t="inlineStr">
        <is>
          <t>KSR4018</t>
        </is>
      </c>
      <c r="B3285" s="2" t="inlineStr"/>
      <c r="C3285" s="2" t="inlineStr">
        <is>
          <t>PLATO PRECION EMBRAGUE CIELO/LANOS 1.5</t>
        </is>
      </c>
      <c r="D3285" s="2" t="inlineStr">
        <is>
          <t>SECO</t>
        </is>
      </c>
      <c r="E3285" s="3" t="n">
        <v>38.4615</v>
      </c>
      <c r="F3285" s="4" t="n">
        <v>0.3</v>
      </c>
      <c r="G3285" s="5">
        <f>ROUND(E3285*(1+F3285),2)</f>
        <v>50.00</v>
      </c>
      <c r="H3285" s="5">
        <f>ROUND(G3285*NOTAS!$B$2,2)</f>
        <v>36067.28</v>
      </c>
      <c r="I3285" s="6">
        <f>ROUND(G3285*NOTAS!$B$3,0)</f>
        <v>162444</v>
      </c>
      <c r="J3285" s="2" t="n">
        <v>1</v>
      </c>
    </row>
    <row r="3286">
      <c r="A3286" s="2" t="inlineStr">
        <is>
          <t>DWC-05</t>
        </is>
      </c>
      <c r="B3286" s="2" t="inlineStr"/>
      <c r="C3286" s="2" t="inlineStr">
        <is>
          <t>PLATO PRECION EMBRAGUE CIELO/LANOS 1.5</t>
        </is>
      </c>
      <c r="D3286" s="2" t="inlineStr">
        <is>
          <t>PHC VALEO</t>
        </is>
      </c>
      <c r="E3286" s="3" t="n">
        <v>38.4615</v>
      </c>
      <c r="F3286" s="4" t="n">
        <v>0.3</v>
      </c>
      <c r="G3286" s="5">
        <f>ROUND(E3286*(1+F3286),2)</f>
        <v>50.00</v>
      </c>
      <c r="H3286" s="5">
        <f>ROUND(G3286*NOTAS!$B$2,2)</f>
        <v>36067.28</v>
      </c>
      <c r="I3286" s="6">
        <f>ROUND(G3286*NOTAS!$B$3,0)</f>
        <v>162444</v>
      </c>
      <c r="J3286" s="2" t="n">
        <v>2</v>
      </c>
    </row>
    <row r="3287">
      <c r="A3287" s="2" t="inlineStr">
        <is>
          <t>120.0100.10</t>
        </is>
      </c>
      <c r="B3287" s="2" t="inlineStr"/>
      <c r="C3287" s="2" t="inlineStr">
        <is>
          <t>PLATO PRECION EMBRAGUE CORCEL</t>
        </is>
      </c>
      <c r="D3287" s="2" t="inlineStr">
        <is>
          <t>LUK</t>
        </is>
      </c>
      <c r="E3287" s="3" t="n">
        <v>34.6154</v>
      </c>
      <c r="F3287" s="4" t="n">
        <v>0.3</v>
      </c>
      <c r="G3287" s="5">
        <f>ROUND(E3287*(1+F3287),2)</f>
        <v>45.00</v>
      </c>
      <c r="H3287" s="5">
        <f>ROUND(G3287*NOTAS!$B$2,2)</f>
        <v>32460.55</v>
      </c>
      <c r="I3287" s="6">
        <f>ROUND(G3287*NOTAS!$B$3,0)</f>
        <v>146199</v>
      </c>
      <c r="J3287" s="2" t="n">
        <v>5</v>
      </c>
    </row>
    <row r="3288">
      <c r="A3288" s="2" t="inlineStr">
        <is>
          <t>N5800</t>
        </is>
      </c>
      <c r="B3288" s="2" t="inlineStr"/>
      <c r="C3288" s="2" t="inlineStr">
        <is>
          <t>PLATO PRECION EMBRAGUE CORSA 1.6</t>
        </is>
      </c>
      <c r="D3288" s="2" t="inlineStr">
        <is>
          <t>PERFECTION HY-TEST</t>
        </is>
      </c>
      <c r="E3288" s="3" t="n">
        <v>38.4615</v>
      </c>
      <c r="F3288" s="4" t="n">
        <v>0.3</v>
      </c>
      <c r="G3288" s="5">
        <f>ROUND(E3288*(1+F3288),2)</f>
        <v>50.00</v>
      </c>
      <c r="H3288" s="5">
        <f>ROUND(G3288*NOTAS!$B$2,2)</f>
        <v>36067.28</v>
      </c>
      <c r="I3288" s="6">
        <f>ROUND(G3288*NOTAS!$B$3,0)</f>
        <v>162444</v>
      </c>
      <c r="J3288" s="2" t="n">
        <v>2</v>
      </c>
    </row>
    <row r="3289">
      <c r="A3289" s="2" t="inlineStr">
        <is>
          <t>118.0089.11</t>
        </is>
      </c>
      <c r="B3289" s="2" t="inlineStr"/>
      <c r="C3289" s="2" t="inlineStr">
        <is>
          <t>PLATO PRECION EMBRAGUE F-147/UNO 1.3</t>
        </is>
      </c>
      <c r="D3289" s="2" t="inlineStr">
        <is>
          <t>LUK</t>
        </is>
      </c>
      <c r="E3289" s="3" t="n">
        <v>30.7692</v>
      </c>
      <c r="F3289" s="4" t="n">
        <v>0.3</v>
      </c>
      <c r="G3289" s="5">
        <f>ROUND(E3289*(1+F3289),2)</f>
        <v>40.00</v>
      </c>
      <c r="H3289" s="5">
        <f>ROUND(G3289*NOTAS!$B$2,2)</f>
        <v>28853.82</v>
      </c>
      <c r="I3289" s="6">
        <f>ROUND(G3289*NOTAS!$B$3,0)</f>
        <v>129955</v>
      </c>
      <c r="J3289" s="2" t="n">
        <v>2</v>
      </c>
    </row>
    <row r="3290">
      <c r="A3290" s="2" t="inlineStr">
        <is>
          <t>N5314</t>
        </is>
      </c>
      <c r="B3290" s="2" t="inlineStr"/>
      <c r="C3290" s="2" t="inlineStr">
        <is>
          <t>PLATO PRECION EMBRAGUE F-147/UNO 1.3</t>
        </is>
      </c>
      <c r="D3290" s="2" t="inlineStr">
        <is>
          <t>PERFECTION HY-TEST</t>
        </is>
      </c>
      <c r="E3290" s="3" t="n">
        <v>30.7692</v>
      </c>
      <c r="F3290" s="4" t="n">
        <v>0.3</v>
      </c>
      <c r="G3290" s="5">
        <f>ROUND(E3290*(1+F3290),2)</f>
        <v>40.00</v>
      </c>
      <c r="H3290" s="5">
        <f>ROUND(G3290*NOTAS!$B$2,2)</f>
        <v>28853.82</v>
      </c>
      <c r="I3290" s="6">
        <f>ROUND(G3290*NOTAS!$B$3,0)</f>
        <v>129955</v>
      </c>
      <c r="J3290" s="2" t="n">
        <v>1</v>
      </c>
    </row>
    <row r="3291">
      <c r="A3291" s="2" t="inlineStr">
        <is>
          <t>KIC-02</t>
        </is>
      </c>
      <c r="B3291" s="2" t="inlineStr"/>
      <c r="C3291" s="2" t="inlineStr">
        <is>
          <t>PLATO PRECION EMBRAGUE FESTIVA</t>
        </is>
      </c>
      <c r="D3291" s="2" t="inlineStr">
        <is>
          <t>PHC VALEO</t>
        </is>
      </c>
      <c r="E3291" s="3" t="n">
        <v>30.7692</v>
      </c>
      <c r="F3291" s="4" t="n">
        <v>0.3</v>
      </c>
      <c r="G3291" s="5">
        <f>ROUND(E3291*(1+F3291),2)</f>
        <v>40.00</v>
      </c>
      <c r="H3291" s="5">
        <f>ROUND(G3291*NOTAS!$B$2,2)</f>
        <v>28853.82</v>
      </c>
      <c r="I3291" s="6">
        <f>ROUND(G3291*NOTAS!$B$3,0)</f>
        <v>129955</v>
      </c>
      <c r="J3291" s="2" t="n">
        <v>5</v>
      </c>
    </row>
    <row r="3292">
      <c r="A3292" s="2" t="inlineStr">
        <is>
          <t>DWC-14</t>
        </is>
      </c>
      <c r="B3292" s="2" t="inlineStr"/>
      <c r="C3292" s="2" t="inlineStr">
        <is>
          <t>PLATO PRECION EMBRAGUE MATIZ/TICO</t>
        </is>
      </c>
      <c r="D3292" s="2" t="inlineStr">
        <is>
          <t>PHC VALEO</t>
        </is>
      </c>
      <c r="E3292" s="3" t="n">
        <v>30.7692</v>
      </c>
      <c r="F3292" s="4" t="n">
        <v>0.3</v>
      </c>
      <c r="G3292" s="5">
        <f>ROUND(E3292*(1+F3292),2)</f>
        <v>40.00</v>
      </c>
      <c r="H3292" s="5">
        <f>ROUND(G3292*NOTAS!$B$2,2)</f>
        <v>28853.82</v>
      </c>
      <c r="I3292" s="6">
        <f>ROUND(G3292*NOTAS!$B$3,0)</f>
        <v>129955</v>
      </c>
      <c r="J3292" s="2" t="n">
        <v>1</v>
      </c>
    </row>
    <row r="3293">
      <c r="A3293" s="2" t="inlineStr">
        <is>
          <t>7700535861</t>
        </is>
      </c>
      <c r="B3293" s="2" t="inlineStr"/>
      <c r="C3293" s="2" t="inlineStr">
        <is>
          <t>PLATO PRECION EMBRAGUE R-12</t>
        </is>
      </c>
      <c r="D3293" s="2" t="inlineStr">
        <is>
          <t>KAPARS</t>
        </is>
      </c>
      <c r="E3293" s="3" t="n">
        <v>30.7692</v>
      </c>
      <c r="F3293" s="4" t="n">
        <v>0.3</v>
      </c>
      <c r="G3293" s="5">
        <f>ROUND(E3293*(1+F3293),2)</f>
        <v>40.00</v>
      </c>
      <c r="H3293" s="5">
        <f>ROUND(G3293*NOTAS!$B$2,2)</f>
        <v>28853.82</v>
      </c>
      <c r="I3293" s="6">
        <f>ROUND(G3293*NOTAS!$B$3,0)</f>
        <v>129955</v>
      </c>
      <c r="J3293" s="2" t="n">
        <v>1</v>
      </c>
    </row>
    <row r="3294">
      <c r="A3294" s="2" t="inlineStr">
        <is>
          <t>500200500</t>
        </is>
      </c>
      <c r="B3294" s="2" t="inlineStr"/>
      <c r="C3294" s="2" t="inlineStr">
        <is>
          <t>PLATO PRECION EMBRAGUE R-18 1.6/ F-131 1.6</t>
        </is>
      </c>
      <c r="D3294" s="2" t="inlineStr">
        <is>
          <t>MAPA</t>
        </is>
      </c>
      <c r="E3294" s="3" t="n">
        <v>34.6154</v>
      </c>
      <c r="F3294" s="4" t="n">
        <v>0.3</v>
      </c>
      <c r="G3294" s="5">
        <f>ROUND(E3294*(1+F3294),2)</f>
        <v>45.00</v>
      </c>
      <c r="H3294" s="5">
        <f>ROUND(G3294*NOTAS!$B$2,2)</f>
        <v>32460.55</v>
      </c>
      <c r="I3294" s="6">
        <f>ROUND(G3294*NOTAS!$B$3,0)</f>
        <v>146199</v>
      </c>
      <c r="J3294" s="2" t="n">
        <v>1</v>
      </c>
    </row>
    <row r="3295">
      <c r="A3295" s="2" t="inlineStr">
        <is>
          <t>467372</t>
        </is>
      </c>
      <c r="B3295" s="2" t="inlineStr"/>
      <c r="C3295" s="2" t="inlineStr">
        <is>
          <t>PLATO PRECION EMBRAGUE R-18 1.6/ F-131 1.6</t>
        </is>
      </c>
      <c r="D3295" s="2" t="inlineStr">
        <is>
          <t>BWB</t>
        </is>
      </c>
      <c r="E3295" s="3" t="n">
        <v>34.6154</v>
      </c>
      <c r="F3295" s="4" t="n">
        <v>0.3</v>
      </c>
      <c r="G3295" s="5">
        <f>ROUND(E3295*(1+F3295),2)</f>
        <v>45.00</v>
      </c>
      <c r="H3295" s="5">
        <f>ROUND(G3295*NOTAS!$B$2,2)</f>
        <v>32460.55</v>
      </c>
      <c r="I3295" s="6">
        <f>ROUND(G3295*NOTAS!$B$3,0)</f>
        <v>146199</v>
      </c>
      <c r="J3295" s="2" t="n">
        <v>1</v>
      </c>
    </row>
    <row r="3296">
      <c r="A3296" s="2" t="inlineStr">
        <is>
          <t>122.0053.11</t>
        </is>
      </c>
      <c r="B3296" s="2" t="inlineStr"/>
      <c r="C3296" s="2" t="inlineStr">
        <is>
          <t>PLATO PRECION EMBRAGUE R-18/FUEGO/21</t>
        </is>
      </c>
      <c r="D3296" s="2" t="inlineStr">
        <is>
          <t>LUK</t>
        </is>
      </c>
      <c r="E3296" s="3" t="n">
        <v>38.4615</v>
      </c>
      <c r="F3296" s="4" t="n">
        <v>0.3</v>
      </c>
      <c r="G3296" s="5">
        <f>ROUND(E3296*(1+F3296),2)</f>
        <v>50.00</v>
      </c>
      <c r="H3296" s="5">
        <f>ROUND(G3296*NOTAS!$B$2,2)</f>
        <v>36067.28</v>
      </c>
      <c r="I3296" s="6">
        <f>ROUND(G3296*NOTAS!$B$3,0)</f>
        <v>162444</v>
      </c>
      <c r="J3296" s="2" t="n">
        <v>3</v>
      </c>
    </row>
    <row r="3297">
      <c r="A3297" s="2" t="inlineStr">
        <is>
          <t>466187</t>
        </is>
      </c>
      <c r="B3297" s="2" t="inlineStr"/>
      <c r="C3297" s="2" t="inlineStr">
        <is>
          <t>PLATO PRECION EMBRAGUE R-18/FUEGO/21</t>
        </is>
      </c>
      <c r="D3297" s="2" t="inlineStr">
        <is>
          <t>BWB</t>
        </is>
      </c>
      <c r="E3297" s="3" t="n">
        <v>38.4615</v>
      </c>
      <c r="F3297" s="4" t="n">
        <v>0.3</v>
      </c>
      <c r="G3297" s="5">
        <f>ROUND(E3297*(1+F3297),2)</f>
        <v>50.00</v>
      </c>
      <c r="H3297" s="5">
        <f>ROUND(G3297*NOTAS!$B$2,2)</f>
        <v>36067.28</v>
      </c>
      <c r="I3297" s="6">
        <f>ROUND(G3297*NOTAS!$B$3,0)</f>
        <v>162444</v>
      </c>
      <c r="J3297" s="2" t="n">
        <v>2</v>
      </c>
    </row>
    <row r="3298">
      <c r="A3298" s="2" t="inlineStr">
        <is>
          <t>466700</t>
        </is>
      </c>
      <c r="B3298" s="2" t="inlineStr"/>
      <c r="C3298" s="2" t="inlineStr">
        <is>
          <t>PLATO PRECION EMBRAGUE R-19 1.7/1.8</t>
        </is>
      </c>
      <c r="D3298" s="2" t="inlineStr">
        <is>
          <t>BWB</t>
        </is>
      </c>
      <c r="E3298" s="3" t="n">
        <v>38.4615</v>
      </c>
      <c r="F3298" s="4" t="n">
        <v>0.3</v>
      </c>
      <c r="G3298" s="5">
        <f>ROUND(E3298*(1+F3298),2)</f>
        <v>50.00</v>
      </c>
      <c r="H3298" s="5">
        <f>ROUND(G3298*NOTAS!$B$2,2)</f>
        <v>36067.28</v>
      </c>
      <c r="I3298" s="6">
        <f>ROUND(G3298*NOTAS!$B$3,0)</f>
        <v>162444</v>
      </c>
      <c r="J3298" s="2" t="n">
        <v>4</v>
      </c>
    </row>
    <row r="3299">
      <c r="A3299" s="2" t="inlineStr"/>
      <c r="B3299" s="2" t="inlineStr"/>
      <c r="C3299" s="2" t="inlineStr">
        <is>
          <t>PLATO PRECION EMBRAGUE R-MEGANE</t>
        </is>
      </c>
      <c r="D3299" s="2" t="inlineStr">
        <is>
          <t>LUK</t>
        </is>
      </c>
      <c r="E3299" s="3" t="n">
        <v>46.1538</v>
      </c>
      <c r="F3299" s="4" t="n">
        <v>0.3</v>
      </c>
      <c r="G3299" s="5">
        <f>ROUND(E3299*(1+F3299),2)</f>
        <v>60.00</v>
      </c>
      <c r="H3299" s="5">
        <f>ROUND(G3299*NOTAS!$B$2,2)</f>
        <v>43280.74</v>
      </c>
      <c r="I3299" s="6">
        <f>ROUND(G3299*NOTAS!$B$3,0)</f>
        <v>194932</v>
      </c>
      <c r="J3299" s="2" t="n">
        <v>1</v>
      </c>
    </row>
    <row r="3300">
      <c r="A3300" s="2" t="inlineStr">
        <is>
          <t>DWC-42</t>
        </is>
      </c>
      <c r="B3300" s="2" t="inlineStr"/>
      <c r="C3300" s="2" t="inlineStr">
        <is>
          <t>PLATO PRECION EMBRAGUE SPARK</t>
        </is>
      </c>
      <c r="D3300" s="2" t="inlineStr">
        <is>
          <t>PHC VALEO</t>
        </is>
      </c>
      <c r="E3300" s="3" t="n">
        <v>30.7692</v>
      </c>
      <c r="F3300" s="4" t="n">
        <v>0.3</v>
      </c>
      <c r="G3300" s="5">
        <f>ROUND(E3300*(1+F3300),2)</f>
        <v>40.00</v>
      </c>
      <c r="H3300" s="5">
        <f>ROUND(G3300*NOTAS!$B$2,2)</f>
        <v>28853.82</v>
      </c>
      <c r="I3300" s="6">
        <f>ROUND(G3300*NOTAS!$B$3,0)</f>
        <v>129955</v>
      </c>
      <c r="J3300" s="2" t="n">
        <v>1</v>
      </c>
    </row>
    <row r="3301">
      <c r="A3301" s="2" t="inlineStr">
        <is>
          <t>96455319</t>
        </is>
      </c>
      <c r="B3301" s="2" t="inlineStr"/>
      <c r="C3301" s="2" t="inlineStr">
        <is>
          <t>PLATO PRECION EMBRAGUE SPARK</t>
        </is>
      </c>
      <c r="D3301" s="2" t="inlineStr">
        <is>
          <t>GM</t>
        </is>
      </c>
      <c r="E3301" s="3" t="n">
        <v>30.7692</v>
      </c>
      <c r="F3301" s="4" t="n">
        <v>0.3</v>
      </c>
      <c r="G3301" s="5">
        <f>ROUND(E3301*(1+F3301),2)</f>
        <v>40.00</v>
      </c>
      <c r="H3301" s="5">
        <f>ROUND(G3301*NOTAS!$B$2,2)</f>
        <v>28853.82</v>
      </c>
      <c r="I3301" s="6">
        <f>ROUND(G3301*NOTAS!$B$3,0)</f>
        <v>129955</v>
      </c>
      <c r="J3301" s="2" t="n">
        <v>1</v>
      </c>
    </row>
    <row r="3302">
      <c r="A3302" s="2" t="inlineStr">
        <is>
          <t>5858339</t>
        </is>
      </c>
      <c r="B3302" s="2" t="inlineStr"/>
      <c r="C3302" s="2" t="inlineStr">
        <is>
          <t>PLATO PRECION F-REGATA/132 2.0 OXIDADO</t>
        </is>
      </c>
      <c r="D3302" s="2" t="inlineStr">
        <is>
          <t>WOLF</t>
        </is>
      </c>
      <c r="E3302" s="3" t="n">
        <v>23.0769</v>
      </c>
      <c r="F3302" s="4" t="n">
        <v>0.3</v>
      </c>
      <c r="G3302" s="5">
        <f>ROUND(E3302*(1+F3302),2)</f>
        <v>30.00</v>
      </c>
      <c r="H3302" s="5">
        <f>ROUND(G3302*NOTAS!$B$2,2)</f>
        <v>21640.37</v>
      </c>
      <c r="I3302" s="6">
        <f>ROUND(G3302*NOTAS!$B$3,0)</f>
        <v>97466</v>
      </c>
      <c r="J3302" s="2" t="n">
        <v>1</v>
      </c>
    </row>
    <row r="3303">
      <c r="A3303" s="2" t="inlineStr">
        <is>
          <t>97834-22000</t>
        </is>
      </c>
      <c r="B3303" s="2" t="inlineStr"/>
      <c r="C3303" s="2" t="inlineStr">
        <is>
          <t>POLEA AIRE ACONDICIONADO HYUNDAI ACCENT/ELANTRA/GETZ</t>
        </is>
      </c>
      <c r="D3303" s="2" t="inlineStr">
        <is>
          <t>HSC</t>
        </is>
      </c>
      <c r="E3303" s="3" t="n">
        <v>11.2</v>
      </c>
      <c r="F3303" s="4" t="n">
        <v>0.3</v>
      </c>
      <c r="G3303" s="5">
        <f>ROUND(E3303*(1+F3303),2)</f>
        <v>14.56</v>
      </c>
      <c r="H3303" s="5">
        <f>ROUND(G3303*NOTAS!$B$2,2)</f>
        <v>10502.79</v>
      </c>
      <c r="I3303" s="6">
        <f>ROUND(G3303*NOTAS!$B$3,0)</f>
        <v>47304</v>
      </c>
      <c r="J3303" s="2" t="n">
        <v>3</v>
      </c>
    </row>
    <row r="3304">
      <c r="A3304" s="2" t="inlineStr">
        <is>
          <t>TB7700110616</t>
        </is>
      </c>
      <c r="B3304" s="2" t="inlineStr"/>
      <c r="C3304" s="2" t="inlineStr">
        <is>
          <t xml:space="preserve">POLEA ALTERNADOR R-LOGAN/SYMBOL/MEGANE/CLIO </t>
        </is>
      </c>
      <c r="D3304" s="2" t="inlineStr">
        <is>
          <t>KAPARS</t>
        </is>
      </c>
      <c r="E3304" s="3" t="n">
        <v>12.3077</v>
      </c>
      <c r="F3304" s="4" t="n">
        <v>0.3</v>
      </c>
      <c r="G3304" s="5">
        <f>ROUND(E3304*(1+F3304),2)</f>
        <v>16.00</v>
      </c>
      <c r="H3304" s="5">
        <f>ROUND(G3304*NOTAS!$B$2,2)</f>
        <v>11541.53</v>
      </c>
      <c r="I3304" s="6">
        <f>ROUND(G3304*NOTAS!$B$3,0)</f>
        <v>51982</v>
      </c>
      <c r="J3304" s="2" t="n">
        <v>2</v>
      </c>
    </row>
    <row r="3305">
      <c r="A3305" s="2" t="inlineStr"/>
      <c r="B3305" s="2" t="inlineStr"/>
      <c r="C3305" s="2" t="inlineStr">
        <is>
          <t>POLEA ALTERNADOR R-SYMBOL 6 CANALES</t>
        </is>
      </c>
      <c r="D3305" s="2" t="inlineStr"/>
      <c r="E3305" s="3" t="n">
        <v>12.3077</v>
      </c>
      <c r="F3305" s="4" t="n">
        <v>0.3</v>
      </c>
      <c r="G3305" s="5">
        <f>ROUND(E3305*(1+F3305),2)</f>
        <v>16.00</v>
      </c>
      <c r="H3305" s="5">
        <f>ROUND(G3305*NOTAS!$B$2,2)</f>
        <v>11541.53</v>
      </c>
      <c r="I3305" s="6">
        <f>ROUND(G3305*NOTAS!$B$3,0)</f>
        <v>51982</v>
      </c>
      <c r="J3305" s="2" t="n">
        <v>1</v>
      </c>
    </row>
    <row r="3306">
      <c r="A3306" s="2" t="inlineStr">
        <is>
          <t>R.CLI-626/F</t>
        </is>
      </c>
      <c r="B3306" s="2" t="inlineStr"/>
      <c r="C3306" s="2" t="inlineStr">
        <is>
          <t>POLEA ALTERNADOR R-SYMBOL/MEGANE/CLIO SOLIDA</t>
        </is>
      </c>
      <c r="D3306" s="2" t="inlineStr">
        <is>
          <t>TAKSIM GROUP</t>
        </is>
      </c>
      <c r="E3306" s="3" t="n">
        <v>12.3077</v>
      </c>
      <c r="F3306" s="4" t="n">
        <v>0.3</v>
      </c>
      <c r="G3306" s="5">
        <f>ROUND(E3306*(1+F3306),2)</f>
        <v>16.00</v>
      </c>
      <c r="H3306" s="5">
        <f>ROUND(G3306*NOTAS!$B$2,2)</f>
        <v>11541.53</v>
      </c>
      <c r="I3306" s="6">
        <f>ROUND(G3306*NOTAS!$B$3,0)</f>
        <v>51982</v>
      </c>
      <c r="J3306" s="2" t="n">
        <v>1</v>
      </c>
    </row>
    <row r="3307">
      <c r="A3307" s="2" t="inlineStr">
        <is>
          <t>50004872</t>
        </is>
      </c>
      <c r="B3307" s="2" t="inlineStr"/>
      <c r="C3307" s="2" t="inlineStr">
        <is>
          <t>POLEA BOMBA AGUA F-UNO MPI</t>
        </is>
      </c>
      <c r="D3307" s="2" t="inlineStr">
        <is>
          <t>FIAT</t>
        </is>
      </c>
      <c r="E3307" s="3" t="n">
        <v>9.2308</v>
      </c>
      <c r="F3307" s="4" t="n">
        <v>0.3</v>
      </c>
      <c r="G3307" s="5">
        <f>ROUND(E3307*(1+F3307),2)</f>
        <v>12.00</v>
      </c>
      <c r="H3307" s="5">
        <f>ROUND(G3307*NOTAS!$B$2,2)</f>
        <v>8656.15</v>
      </c>
      <c r="I3307" s="6">
        <f>ROUND(G3307*NOTAS!$B$3,0)</f>
        <v>38986</v>
      </c>
      <c r="J3307" s="2" t="n">
        <v>3</v>
      </c>
    </row>
    <row r="3308">
      <c r="A3308" s="2" t="inlineStr"/>
      <c r="B3308" s="2" t="inlineStr"/>
      <c r="C3308" s="2" t="inlineStr">
        <is>
          <t>POLEA BOMBA AGUA R-12/CORCEL</t>
        </is>
      </c>
      <c r="D3308" s="2" t="inlineStr">
        <is>
          <t>SANFOR</t>
        </is>
      </c>
      <c r="E3308" s="3" t="n">
        <v>9.2308</v>
      </c>
      <c r="F3308" s="4" t="n">
        <v>0.3</v>
      </c>
      <c r="G3308" s="5">
        <f>ROUND(E3308*(1+F3308),2)</f>
        <v>12.00</v>
      </c>
      <c r="H3308" s="5">
        <f>ROUND(G3308*NOTAS!$B$2,2)</f>
        <v>8656.15</v>
      </c>
      <c r="I3308" s="6">
        <f>ROUND(G3308*NOTAS!$B$3,0)</f>
        <v>38986</v>
      </c>
      <c r="J3308" s="2" t="n">
        <v>3</v>
      </c>
    </row>
    <row r="3309">
      <c r="A3309" s="2" t="inlineStr">
        <is>
          <t>50004870</t>
        </is>
      </c>
      <c r="B3309" s="2" t="inlineStr"/>
      <c r="C3309" s="2" t="inlineStr">
        <is>
          <t>POLEA CIGUENAL F-UNO MPI</t>
        </is>
      </c>
      <c r="D3309" s="2" t="inlineStr">
        <is>
          <t>FIAT</t>
        </is>
      </c>
      <c r="E3309" s="3" t="n">
        <v>19.2308</v>
      </c>
      <c r="F3309" s="4" t="n">
        <v>0.3</v>
      </c>
      <c r="G3309" s="5">
        <f>ROUND(E3309*(1+F3309),2)</f>
        <v>25.00</v>
      </c>
      <c r="H3309" s="5">
        <f>ROUND(G3309*NOTAS!$B$2,2)</f>
        <v>18033.64</v>
      </c>
      <c r="I3309" s="6">
        <f>ROUND(G3309*NOTAS!$B$3,0)</f>
        <v>81222</v>
      </c>
      <c r="J3309" s="2" t="n">
        <v>3</v>
      </c>
    </row>
    <row r="3310">
      <c r="A3310" s="2" t="inlineStr">
        <is>
          <t>96353192</t>
        </is>
      </c>
      <c r="B3310" s="2" t="inlineStr"/>
      <c r="C3310" s="2" t="inlineStr">
        <is>
          <t>POLEA CIGUENAL TICO</t>
        </is>
      </c>
      <c r="D3310" s="2" t="inlineStr">
        <is>
          <t>GM</t>
        </is>
      </c>
      <c r="E3310" s="3" t="n">
        <v>11.5385</v>
      </c>
      <c r="F3310" s="4" t="n">
        <v>0.3</v>
      </c>
      <c r="G3310" s="5">
        <f>ROUND(E3310*(1+F3310),2)</f>
        <v>15.00</v>
      </c>
      <c r="H3310" s="5">
        <f>ROUND(G3310*NOTAS!$B$2,2)</f>
        <v>10820.18</v>
      </c>
      <c r="I3310" s="6">
        <f>ROUND(G3310*NOTAS!$B$3,0)</f>
        <v>48733</v>
      </c>
      <c r="J3310" s="2" t="n">
        <v>1</v>
      </c>
    </row>
    <row r="3311">
      <c r="A3311" s="2" t="inlineStr">
        <is>
          <t>96183113</t>
        </is>
      </c>
      <c r="B3311" s="2" t="inlineStr"/>
      <c r="C3311" s="2" t="inlineStr">
        <is>
          <t>POLEA COMPRESOR AIRE ACONDICIONADO AVEO</t>
        </is>
      </c>
      <c r="D3311" s="2" t="inlineStr">
        <is>
          <t>GM</t>
        </is>
      </c>
      <c r="E3311" s="3" t="n">
        <v>30.7692</v>
      </c>
      <c r="F3311" s="4" t="n">
        <v>0.3</v>
      </c>
      <c r="G3311" s="5">
        <f>ROUND(E3311*(1+F3311),2)</f>
        <v>40.00</v>
      </c>
      <c r="H3311" s="5">
        <f>ROUND(G3311*NOTAS!$B$2,2)</f>
        <v>28853.82</v>
      </c>
      <c r="I3311" s="6">
        <f>ROUND(G3311*NOTAS!$B$3,0)</f>
        <v>129955</v>
      </c>
      <c r="J3311" s="2" t="n">
        <v>1</v>
      </c>
    </row>
    <row r="3312">
      <c r="A3312" s="2" t="inlineStr">
        <is>
          <t>231</t>
        </is>
      </c>
      <c r="B3312" s="2" t="inlineStr"/>
      <c r="C3312" s="2" t="inlineStr">
        <is>
          <t xml:space="preserve">POLEA CORREA MULTIFUNCIONAL ACANALADA CORSA </t>
        </is>
      </c>
      <c r="D3312" s="2" t="inlineStr">
        <is>
          <t>APLIC RESOLIT</t>
        </is>
      </c>
      <c r="E3312" s="3" t="n">
        <v>11.5385</v>
      </c>
      <c r="F3312" s="4" t="n">
        <v>0.3</v>
      </c>
      <c r="G3312" s="5">
        <f>ROUND(E3312*(1+F3312),2)</f>
        <v>15.00</v>
      </c>
      <c r="H3312" s="5">
        <f>ROUND(G3312*NOTAS!$B$2,2)</f>
        <v>10820.18</v>
      </c>
      <c r="I3312" s="6">
        <f>ROUND(G3312*NOTAS!$B$3,0)</f>
        <v>48733</v>
      </c>
      <c r="J3312" s="2" t="n">
        <v>3</v>
      </c>
    </row>
    <row r="3313">
      <c r="A3313" s="2" t="inlineStr">
        <is>
          <t>90409238</t>
        </is>
      </c>
      <c r="B3313" s="2" t="inlineStr"/>
      <c r="C3313" s="2" t="inlineStr">
        <is>
          <t xml:space="preserve">POLEA CORREA MULTIFUNCIONAL ACANALADA CORSA </t>
        </is>
      </c>
      <c r="D3313" s="2" t="inlineStr">
        <is>
          <t>4USA</t>
        </is>
      </c>
      <c r="E3313" s="3" t="n">
        <v>11.5385</v>
      </c>
      <c r="F3313" s="4" t="n">
        <v>0.3</v>
      </c>
      <c r="G3313" s="5">
        <f>ROUND(E3313*(1+F3313),2)</f>
        <v>15.00</v>
      </c>
      <c r="H3313" s="5">
        <f>ROUND(G3313*NOTAS!$B$2,2)</f>
        <v>10820.18</v>
      </c>
      <c r="I3313" s="6">
        <f>ROUND(G3313*NOTAS!$B$3,0)</f>
        <v>48733</v>
      </c>
      <c r="J3313" s="2" t="n">
        <v>1</v>
      </c>
    </row>
    <row r="3314">
      <c r="A3314" s="2" t="inlineStr">
        <is>
          <t>C865</t>
        </is>
      </c>
      <c r="B3314" s="2" t="inlineStr"/>
      <c r="C3314" s="2" t="inlineStr">
        <is>
          <t>POLEA CORREA MULTIFUNCIONAL FIESTA/KA</t>
        </is>
      </c>
      <c r="D3314" s="2" t="inlineStr">
        <is>
          <t>EUROBERING</t>
        </is>
      </c>
      <c r="E3314" s="3" t="n">
        <v>11.2</v>
      </c>
      <c r="F3314" s="4" t="n">
        <v>0.3</v>
      </c>
      <c r="G3314" s="5">
        <f>ROUND(E3314*(1+F3314),2)</f>
        <v>14.56</v>
      </c>
      <c r="H3314" s="5">
        <f>ROUND(G3314*NOTAS!$B$2,2)</f>
        <v>10502.79</v>
      </c>
      <c r="I3314" s="6">
        <f>ROUND(G3314*NOTAS!$B$3,0)</f>
        <v>47304</v>
      </c>
      <c r="J3314" s="2" t="n">
        <v>2</v>
      </c>
    </row>
    <row r="3315">
      <c r="A3315" s="2" t="inlineStr">
        <is>
          <t>EG50394</t>
        </is>
      </c>
      <c r="B3315" s="2" t="inlineStr"/>
      <c r="C3315" s="2" t="inlineStr">
        <is>
          <t>POLEA CORREA MULTIFUNCIONAL FIESTA/KA</t>
        </is>
      </c>
      <c r="D3315" s="2" t="inlineStr">
        <is>
          <t>4USA</t>
        </is>
      </c>
      <c r="E3315" s="3" t="n">
        <v>11.2</v>
      </c>
      <c r="F3315" s="4" t="n">
        <v>0.3</v>
      </c>
      <c r="G3315" s="5">
        <f>ROUND(E3315*(1+F3315),2)</f>
        <v>14.56</v>
      </c>
      <c r="H3315" s="5">
        <f>ROUND(G3315*NOTAS!$B$2,2)</f>
        <v>10502.79</v>
      </c>
      <c r="I3315" s="6">
        <f>ROUND(G3315*NOTAS!$B$3,0)</f>
        <v>47304</v>
      </c>
      <c r="J3315" s="2" t="n">
        <v>5</v>
      </c>
    </row>
    <row r="3316">
      <c r="A3316" s="2" t="inlineStr">
        <is>
          <t>1139951</t>
        </is>
      </c>
      <c r="B3316" s="2" t="inlineStr">
        <is>
          <t>YS4E19A216AA</t>
        </is>
      </c>
      <c r="C3316" s="2" t="inlineStr">
        <is>
          <t>POLEA CORREA MULTIFUNCIONAL FIESTA/KA</t>
        </is>
      </c>
      <c r="D3316" s="2" t="inlineStr">
        <is>
          <t>FORD</t>
        </is>
      </c>
      <c r="E3316" s="3" t="n">
        <v>11.2</v>
      </c>
      <c r="F3316" s="4" t="n">
        <v>0.3</v>
      </c>
      <c r="G3316" s="5">
        <f>ROUND(E3316*(1+F3316),2)</f>
        <v>14.56</v>
      </c>
      <c r="H3316" s="5">
        <f>ROUND(G3316*NOTAS!$B$2,2)</f>
        <v>10502.79</v>
      </c>
      <c r="I3316" s="6">
        <f>ROUND(G3316*NOTAS!$B$3,0)</f>
        <v>47304</v>
      </c>
      <c r="J3316" s="2" t="n">
        <v>15</v>
      </c>
    </row>
    <row r="3317">
      <c r="A3317" s="2" t="inlineStr">
        <is>
          <t>464440604</t>
        </is>
      </c>
      <c r="B3317" s="2" t="inlineStr"/>
      <c r="C3317" s="2" t="inlineStr">
        <is>
          <t>POLEA CORREA MULTIFUNCIONAL F-PAL/SIE 1.3 MPI</t>
        </is>
      </c>
      <c r="D3317" s="2" t="inlineStr">
        <is>
          <t>NPPN</t>
        </is>
      </c>
      <c r="E3317" s="3" t="n">
        <v>11.5385</v>
      </c>
      <c r="F3317" s="4" t="n">
        <v>0.3</v>
      </c>
      <c r="G3317" s="5">
        <f>ROUND(E3317*(1+F3317),2)</f>
        <v>15.00</v>
      </c>
      <c r="H3317" s="5">
        <f>ROUND(G3317*NOTAS!$B$2,2)</f>
        <v>10820.18</v>
      </c>
      <c r="I3317" s="6">
        <f>ROUND(G3317*NOTAS!$B$3,0)</f>
        <v>48733</v>
      </c>
      <c r="J3317" s="2" t="n">
        <v>1</v>
      </c>
    </row>
    <row r="3318">
      <c r="A3318" s="2" t="inlineStr">
        <is>
          <t>96183113</t>
        </is>
      </c>
      <c r="B3318" s="2" t="inlineStr"/>
      <c r="C3318" s="2" t="inlineStr">
        <is>
          <t>POLEA CORREA MULTIFUNCIONAL LISA CORSA AVEO</t>
        </is>
      </c>
      <c r="D3318" s="2" t="inlineStr">
        <is>
          <t>DJENG.CO</t>
        </is>
      </c>
      <c r="E3318" s="3" t="n">
        <v>11.5385</v>
      </c>
      <c r="F3318" s="4" t="n">
        <v>0.3</v>
      </c>
      <c r="G3318" s="5">
        <f>ROUND(E3318*(1+F3318),2)</f>
        <v>15.00</v>
      </c>
      <c r="H3318" s="5">
        <f>ROUND(G3318*NOTAS!$B$2,2)</f>
        <v>10820.18</v>
      </c>
      <c r="I3318" s="6">
        <f>ROUND(G3318*NOTAS!$B$3,0)</f>
        <v>48733</v>
      </c>
      <c r="J3318" s="2" t="n">
        <v>1</v>
      </c>
    </row>
    <row r="3319">
      <c r="A3319" s="2" t="inlineStr">
        <is>
          <t>96183113</t>
        </is>
      </c>
      <c r="B3319" s="2" t="inlineStr"/>
      <c r="C3319" s="2" t="inlineStr">
        <is>
          <t>POLEA CORREA MULTIFUNCIONAL LISA CORSA AVEO</t>
        </is>
      </c>
      <c r="D3319" s="2" t="inlineStr">
        <is>
          <t>NAP</t>
        </is>
      </c>
      <c r="E3319" s="3" t="n">
        <v>11.5385</v>
      </c>
      <c r="F3319" s="4" t="n">
        <v>0.3</v>
      </c>
      <c r="G3319" s="5">
        <f>ROUND(E3319*(1+F3319),2)</f>
        <v>15.00</v>
      </c>
      <c r="H3319" s="5">
        <f>ROUND(G3319*NOTAS!$B$2,2)</f>
        <v>10820.18</v>
      </c>
      <c r="I3319" s="6">
        <f>ROUND(G3319*NOTAS!$B$3,0)</f>
        <v>48733</v>
      </c>
      <c r="J3319" s="2" t="n">
        <v>1</v>
      </c>
    </row>
    <row r="3320">
      <c r="A3320" s="2" t="inlineStr">
        <is>
          <t>PSC-C002</t>
        </is>
      </c>
      <c r="B3320" s="2" t="inlineStr"/>
      <c r="C3320" s="2" t="inlineStr">
        <is>
          <t>POLEA CORREA MULTIFUNCIONAL LISA CORSA AVEO</t>
        </is>
      </c>
      <c r="D3320" s="2" t="inlineStr">
        <is>
          <t>PARTS-MALL</t>
        </is>
      </c>
      <c r="E3320" s="3" t="n">
        <v>11.5385</v>
      </c>
      <c r="F3320" s="4" t="n">
        <v>0.3</v>
      </c>
      <c r="G3320" s="5">
        <f>ROUND(E3320*(1+F3320),2)</f>
        <v>15.00</v>
      </c>
      <c r="H3320" s="5">
        <f>ROUND(G3320*NOTAS!$B$2,2)</f>
        <v>10820.18</v>
      </c>
      <c r="I3320" s="6">
        <f>ROUND(G3320*NOTAS!$B$3,0)</f>
        <v>48733</v>
      </c>
      <c r="J3320" s="2" t="n">
        <v>3</v>
      </c>
    </row>
    <row r="3321">
      <c r="A3321" s="2" t="inlineStr">
        <is>
          <t>9265</t>
        </is>
      </c>
      <c r="B3321" s="2" t="inlineStr"/>
      <c r="C3321" s="2" t="inlineStr">
        <is>
          <t>POLEA CORREA MULTIFUNCIONAL R-SYMBOL/LOG</t>
        </is>
      </c>
      <c r="D3321" s="2" t="inlineStr">
        <is>
          <t>KOYO</t>
        </is>
      </c>
      <c r="E3321" s="3" t="n">
        <v>11.5385</v>
      </c>
      <c r="F3321" s="4" t="n">
        <v>0.3</v>
      </c>
      <c r="G3321" s="5">
        <f>ROUND(E3321*(1+F3321),2)</f>
        <v>15.00</v>
      </c>
      <c r="H3321" s="5">
        <f>ROUND(G3321*NOTAS!$B$2,2)</f>
        <v>10820.18</v>
      </c>
      <c r="I3321" s="6">
        <f>ROUND(G3321*NOTAS!$B$3,0)</f>
        <v>48733</v>
      </c>
      <c r="J3321" s="2" t="n">
        <v>10</v>
      </c>
    </row>
    <row r="3322">
      <c r="A3322" s="2" t="inlineStr">
        <is>
          <t>C752</t>
        </is>
      </c>
      <c r="B3322" s="2" t="inlineStr">
        <is>
          <t>7700104092</t>
        </is>
      </c>
      <c r="C3322" s="2" t="inlineStr">
        <is>
          <t>POLEA CORREA MULTIFUNCIONAL R-SYMBOL/LOG</t>
        </is>
      </c>
      <c r="D3322" s="2" t="inlineStr">
        <is>
          <t>CORAM</t>
        </is>
      </c>
      <c r="E3322" s="3" t="n">
        <v>11.5385</v>
      </c>
      <c r="F3322" s="4" t="n">
        <v>0.3</v>
      </c>
      <c r="G3322" s="5">
        <f>ROUND(E3322*(1+F3322),2)</f>
        <v>15.00</v>
      </c>
      <c r="H3322" s="5">
        <f>ROUND(G3322*NOTAS!$B$2,2)</f>
        <v>10820.18</v>
      </c>
      <c r="I3322" s="6">
        <f>ROUND(G3322*NOTAS!$B$3,0)</f>
        <v>48733</v>
      </c>
      <c r="J3322" s="2" t="n">
        <v>4</v>
      </c>
    </row>
    <row r="3323">
      <c r="A3323" s="2" t="inlineStr">
        <is>
          <t>7700102931</t>
        </is>
      </c>
      <c r="B3323" s="2" t="inlineStr"/>
      <c r="C3323" s="2" t="inlineStr">
        <is>
          <t>POLEA CORREA MULTIFUNCIONAL R-SYMBOL/LOG</t>
        </is>
      </c>
      <c r="D3323" s="2" t="inlineStr">
        <is>
          <t>GKP</t>
        </is>
      </c>
      <c r="E3323" s="3" t="n">
        <v>11.5385</v>
      </c>
      <c r="F3323" s="4" t="n">
        <v>0.3</v>
      </c>
      <c r="G3323" s="5">
        <f>ROUND(E3323*(1+F3323),2)</f>
        <v>15.00</v>
      </c>
      <c r="H3323" s="5">
        <f>ROUND(G3323*NOTAS!$B$2,2)</f>
        <v>10820.18</v>
      </c>
      <c r="I3323" s="6">
        <f>ROUND(G3323*NOTAS!$B$3,0)</f>
        <v>48733</v>
      </c>
      <c r="J3323" s="2" t="n">
        <v>8</v>
      </c>
    </row>
    <row r="3324">
      <c r="A3324" s="2" t="inlineStr">
        <is>
          <t>8150027003</t>
        </is>
      </c>
      <c r="B3324" s="2" t="inlineStr"/>
      <c r="C3324" s="2" t="inlineStr">
        <is>
          <t>POLEA CORREA MULTIFUNCIONAL R-SYMBOL/LOG</t>
        </is>
      </c>
      <c r="D3324" s="2" t="inlineStr">
        <is>
          <t>NPPN</t>
        </is>
      </c>
      <c r="E3324" s="3" t="n">
        <v>11.5385</v>
      </c>
      <c r="F3324" s="4" t="n">
        <v>0.3</v>
      </c>
      <c r="G3324" s="5">
        <f>ROUND(E3324*(1+F3324),2)</f>
        <v>15.00</v>
      </c>
      <c r="H3324" s="5">
        <f>ROUND(G3324*NOTAS!$B$2,2)</f>
        <v>10820.18</v>
      </c>
      <c r="I3324" s="6">
        <f>ROUND(G3324*NOTAS!$B$3,0)</f>
        <v>48733</v>
      </c>
      <c r="J3324" s="2" t="n">
        <v>1</v>
      </c>
    </row>
    <row r="3325">
      <c r="A3325" s="2" t="inlineStr">
        <is>
          <t>EG60116</t>
        </is>
      </c>
      <c r="B3325" s="2" t="inlineStr">
        <is>
          <t>7700104092</t>
        </is>
      </c>
      <c r="C3325" s="2" t="inlineStr">
        <is>
          <t>POLEA CORREA MULTIFUNCIONAL R-SYMBOL/LOG</t>
        </is>
      </c>
      <c r="D3325" s="2" t="inlineStr">
        <is>
          <t>4USA</t>
        </is>
      </c>
      <c r="E3325" s="3" t="n">
        <v>11.5385</v>
      </c>
      <c r="F3325" s="4" t="n">
        <v>0.3</v>
      </c>
      <c r="G3325" s="5">
        <f>ROUND(E3325*(1+F3325),2)</f>
        <v>15.00</v>
      </c>
      <c r="H3325" s="5">
        <f>ROUND(G3325*NOTAS!$B$2,2)</f>
        <v>10820.18</v>
      </c>
      <c r="I3325" s="6">
        <f>ROUND(G3325*NOTAS!$B$3,0)</f>
        <v>48733</v>
      </c>
      <c r="J3325" s="2" t="n">
        <v>7</v>
      </c>
    </row>
    <row r="3326">
      <c r="A3326" s="2" t="inlineStr">
        <is>
          <t>P96350526</t>
        </is>
      </c>
      <c r="B3326" s="2" t="inlineStr">
        <is>
          <t>PSC-C004</t>
        </is>
      </c>
      <c r="C3326" s="2" t="inlineStr">
        <is>
          <t>POLEA CORREA TIEMPO AVEO</t>
        </is>
      </c>
      <c r="D3326" s="2" t="inlineStr">
        <is>
          <t>PARTS-MALL</t>
        </is>
      </c>
      <c r="E3326" s="3" t="n">
        <v>8</v>
      </c>
      <c r="F3326" s="4" t="n">
        <v>0.3</v>
      </c>
      <c r="G3326" s="5">
        <f>ROUND(E3326*(1+F3326),2)</f>
        <v>10.40</v>
      </c>
      <c r="H3326" s="5">
        <f>ROUND(G3326*NOTAS!$B$2,2)</f>
        <v>7501.99</v>
      </c>
      <c r="I3326" s="6">
        <f>ROUND(G3326*NOTAS!$B$3,0)</f>
        <v>33788</v>
      </c>
      <c r="J3326" s="2" t="n">
        <v>1</v>
      </c>
    </row>
    <row r="3327">
      <c r="A3327" s="2" t="inlineStr">
        <is>
          <t>C766</t>
        </is>
      </c>
      <c r="B3327" s="2" t="inlineStr"/>
      <c r="C3327" s="2" t="inlineStr">
        <is>
          <t>POLEA CORREA TIEMPO AVEO</t>
        </is>
      </c>
      <c r="D3327" s="2" t="inlineStr">
        <is>
          <t>CORAM</t>
        </is>
      </c>
      <c r="E3327" s="3" t="n">
        <v>6</v>
      </c>
      <c r="F3327" s="4" t="n">
        <v>0.3</v>
      </c>
      <c r="G3327" s="5">
        <f>ROUND(E3327*(1+F3327),2)</f>
        <v>7.80</v>
      </c>
      <c r="H3327" s="5">
        <f>ROUND(G3327*NOTAS!$B$2,2)</f>
        <v>5626.50</v>
      </c>
      <c r="I3327" s="6">
        <f>ROUND(G3327*NOTAS!$B$3,0)</f>
        <v>25341</v>
      </c>
      <c r="J3327" s="2" t="n">
        <v>1</v>
      </c>
    </row>
    <row r="3328">
      <c r="A3328" s="2" t="inlineStr">
        <is>
          <t>19266719</t>
        </is>
      </c>
      <c r="B3328" s="2" t="inlineStr">
        <is>
          <t>96350526</t>
        </is>
      </c>
      <c r="C3328" s="2" t="inlineStr">
        <is>
          <t>POLEA CORREA TIEMPO AVEO</t>
        </is>
      </c>
      <c r="D3328" s="2" t="inlineStr">
        <is>
          <t>ACDELCO</t>
        </is>
      </c>
      <c r="E3328" s="3" t="n">
        <v>6</v>
      </c>
      <c r="F3328" s="4" t="n">
        <v>0.3</v>
      </c>
      <c r="G3328" s="5">
        <f>ROUND(E3328*(1+F3328),2)</f>
        <v>7.80</v>
      </c>
      <c r="H3328" s="5">
        <f>ROUND(G3328*NOTAS!$B$2,2)</f>
        <v>5626.50</v>
      </c>
      <c r="I3328" s="6">
        <f>ROUND(G3328*NOTAS!$B$3,0)</f>
        <v>25341</v>
      </c>
      <c r="J3328" s="2" t="n">
        <v>3</v>
      </c>
    </row>
    <row r="3329">
      <c r="A3329" s="2" t="inlineStr">
        <is>
          <t>532019420</t>
        </is>
      </c>
      <c r="B3329" s="2" t="inlineStr"/>
      <c r="C3329" s="2" t="inlineStr">
        <is>
          <t>POLEA CORREA TIEMPO AVEO</t>
        </is>
      </c>
      <c r="D3329" s="2" t="inlineStr">
        <is>
          <t>INA</t>
        </is>
      </c>
      <c r="E3329" s="3" t="n">
        <v>10</v>
      </c>
      <c r="F3329" s="4" t="n">
        <v>0.3</v>
      </c>
      <c r="G3329" s="5">
        <f>ROUND(E3329*(1+F3329),2)</f>
        <v>13.00</v>
      </c>
      <c r="H3329" s="5">
        <f>ROUND(G3329*NOTAS!$B$2,2)</f>
        <v>9377.49</v>
      </c>
      <c r="I3329" s="6">
        <f>ROUND(G3329*NOTAS!$B$3,0)</f>
        <v>42235</v>
      </c>
      <c r="J3329" s="2" t="n">
        <v>1</v>
      </c>
    </row>
    <row r="3330">
      <c r="A3330" s="2" t="inlineStr">
        <is>
          <t>F-218741.5</t>
        </is>
      </c>
      <c r="B3330" s="2" t="inlineStr"/>
      <c r="C3330" s="2" t="inlineStr">
        <is>
          <t>POLEA CORREA TIEMPO OPTRA DESING</t>
        </is>
      </c>
      <c r="D3330" s="2" t="inlineStr">
        <is>
          <t>GM</t>
        </is>
      </c>
      <c r="E3330" s="3" t="n">
        <v>16.6231</v>
      </c>
      <c r="F3330" s="4" t="n">
        <v>0.3</v>
      </c>
      <c r="G3330" s="5">
        <f>ROUND(E3330*(1+F3330),2)</f>
        <v>21.61</v>
      </c>
      <c r="H3330" s="5">
        <f>ROUND(G3330*NOTAS!$B$2,2)</f>
        <v>15588.28</v>
      </c>
      <c r="I3330" s="6">
        <f>ROUND(G3330*NOTAS!$B$3,0)</f>
        <v>70208</v>
      </c>
      <c r="J3330" s="2" t="n">
        <v>1</v>
      </c>
    </row>
    <row r="3331">
      <c r="A3331" s="2" t="inlineStr">
        <is>
          <t>9128739</t>
        </is>
      </c>
      <c r="B3331" s="2" t="inlineStr"/>
      <c r="C3331" s="2" t="inlineStr">
        <is>
          <t>POLEA CORREA TIEMPO OPTRA DESING</t>
        </is>
      </c>
      <c r="D3331" s="2" t="inlineStr">
        <is>
          <t>4USA</t>
        </is>
      </c>
      <c r="E3331" s="3" t="n">
        <v>16.6231</v>
      </c>
      <c r="F3331" s="4" t="n">
        <v>0.3</v>
      </c>
      <c r="G3331" s="5">
        <f>ROUND(E3331*(1+F3331),2)</f>
        <v>21.61</v>
      </c>
      <c r="H3331" s="5">
        <f>ROUND(G3331*NOTAS!$B$2,2)</f>
        <v>15588.28</v>
      </c>
      <c r="I3331" s="6">
        <f>ROUND(G3331*NOTAS!$B$3,0)</f>
        <v>70208</v>
      </c>
      <c r="J3331" s="2" t="n">
        <v>1</v>
      </c>
    </row>
    <row r="3332">
      <c r="A3332" s="2" t="inlineStr">
        <is>
          <t>F-224971</t>
        </is>
      </c>
      <c r="B3332" s="2" t="inlineStr"/>
      <c r="C3332" s="2" t="inlineStr">
        <is>
          <t>POLEA CORREA TIEMPO OPTRA DESING</t>
        </is>
      </c>
      <c r="D3332" s="2" t="inlineStr">
        <is>
          <t>INA</t>
        </is>
      </c>
      <c r="E3332" s="3" t="n">
        <v>16.6231</v>
      </c>
      <c r="F3332" s="4" t="n">
        <v>0.3</v>
      </c>
      <c r="G3332" s="5">
        <f>ROUND(E3332*(1+F3332),2)</f>
        <v>21.61</v>
      </c>
      <c r="H3332" s="5">
        <f>ROUND(G3332*NOTAS!$B$2,2)</f>
        <v>15588.28</v>
      </c>
      <c r="I3332" s="6">
        <f>ROUND(G3332*NOTAS!$B$3,0)</f>
        <v>70208</v>
      </c>
      <c r="J3332" s="2" t="n">
        <v>2</v>
      </c>
    </row>
    <row r="3333">
      <c r="A3333" s="2" t="inlineStr">
        <is>
          <t>F-224964</t>
        </is>
      </c>
      <c r="B3333" s="2" t="inlineStr"/>
      <c r="C3333" s="2" t="inlineStr">
        <is>
          <t>POLEA CORREA TIEMPO OPTRA LIMITED</t>
        </is>
      </c>
      <c r="D3333" s="2" t="inlineStr">
        <is>
          <t>INA</t>
        </is>
      </c>
      <c r="E3333" s="3" t="n">
        <v>16.6231</v>
      </c>
      <c r="F3333" s="4" t="n">
        <v>0.3</v>
      </c>
      <c r="G3333" s="5">
        <f>ROUND(E3333*(1+F3333),2)</f>
        <v>21.61</v>
      </c>
      <c r="H3333" s="5">
        <f>ROUND(G3333*NOTAS!$B$2,2)</f>
        <v>15588.28</v>
      </c>
      <c r="I3333" s="6">
        <f>ROUND(G3333*NOTAS!$B$3,0)</f>
        <v>70208</v>
      </c>
      <c r="J3333" s="2" t="n">
        <v>6</v>
      </c>
    </row>
    <row r="3334">
      <c r="A3334" s="2" t="inlineStr">
        <is>
          <t>9128738</t>
        </is>
      </c>
      <c r="B3334" s="2" t="inlineStr"/>
      <c r="C3334" s="2" t="inlineStr">
        <is>
          <t>POLEA CORREA TIEMPO OPTRA LIMITED</t>
        </is>
      </c>
      <c r="D3334" s="2" t="inlineStr">
        <is>
          <t>ISK</t>
        </is>
      </c>
      <c r="E3334" s="3" t="n">
        <v>16.6231</v>
      </c>
      <c r="F3334" s="4" t="n">
        <v>0.3</v>
      </c>
      <c r="G3334" s="5">
        <f>ROUND(E3334*(1+F3334),2)</f>
        <v>21.61</v>
      </c>
      <c r="H3334" s="5">
        <f>ROUND(G3334*NOTAS!$B$2,2)</f>
        <v>15588.28</v>
      </c>
      <c r="I3334" s="6">
        <f>ROUND(G3334*NOTAS!$B$3,0)</f>
        <v>70208</v>
      </c>
      <c r="J3334" s="2" t="n">
        <v>2</v>
      </c>
    </row>
    <row r="3335">
      <c r="A3335" s="2" t="inlineStr">
        <is>
          <t>7700107150</t>
        </is>
      </c>
      <c r="B3335" s="2" t="inlineStr"/>
      <c r="C3335" s="2" t="inlineStr">
        <is>
          <t>POLEA CORREA TIEMPO R-SYMBOL/MEGANE</t>
        </is>
      </c>
      <c r="D3335" s="2" t="inlineStr">
        <is>
          <t>GKP</t>
        </is>
      </c>
      <c r="E3335" s="3" t="n">
        <v>9.2308</v>
      </c>
      <c r="F3335" s="4" t="n">
        <v>0.3</v>
      </c>
      <c r="G3335" s="5">
        <f>ROUND(E3335*(1+F3335),2)</f>
        <v>12.00</v>
      </c>
      <c r="H3335" s="5">
        <f>ROUND(G3335*NOTAS!$B$2,2)</f>
        <v>8656.15</v>
      </c>
      <c r="I3335" s="6">
        <f>ROUND(G3335*NOTAS!$B$3,0)</f>
        <v>38986</v>
      </c>
      <c r="J3335" s="2" t="n">
        <v>2</v>
      </c>
    </row>
    <row r="3336">
      <c r="A3336" s="2" t="inlineStr">
        <is>
          <t>WE20078</t>
        </is>
      </c>
      <c r="B3336" s="2" t="inlineStr"/>
      <c r="C3336" s="2" t="inlineStr">
        <is>
          <t>POLEA CORREA TIEMPO R-SYMBOL/MEGANE</t>
        </is>
      </c>
      <c r="D3336" s="2" t="inlineStr">
        <is>
          <t>ENGI</t>
        </is>
      </c>
      <c r="E3336" s="3" t="n">
        <v>9.2308</v>
      </c>
      <c r="F3336" s="4" t="n">
        <v>0.3</v>
      </c>
      <c r="G3336" s="5">
        <f>ROUND(E3336*(1+F3336),2)</f>
        <v>12.00</v>
      </c>
      <c r="H3336" s="5">
        <f>ROUND(G3336*NOTAS!$B$2,2)</f>
        <v>8656.15</v>
      </c>
      <c r="I3336" s="6">
        <f>ROUND(G3336*NOTAS!$B$3,0)</f>
        <v>38986</v>
      </c>
      <c r="J3336" s="2" t="n">
        <v>1</v>
      </c>
    </row>
    <row r="3337">
      <c r="A3337" s="2" t="inlineStr">
        <is>
          <t>F-45398</t>
        </is>
      </c>
      <c r="B3337" s="2" t="inlineStr"/>
      <c r="C3337" s="2" t="inlineStr">
        <is>
          <t>POLEA TENSOR CORREA TIEMPO F-147/UNO …/89</t>
        </is>
      </c>
      <c r="D3337" s="2" t="inlineStr">
        <is>
          <t>INA</t>
        </is>
      </c>
      <c r="E3337" s="3" t="n">
        <v>10</v>
      </c>
      <c r="F3337" s="4" t="n">
        <v>0.3</v>
      </c>
      <c r="G3337" s="5">
        <f>ROUND(E3337*(1+F3337),2)</f>
        <v>13.00</v>
      </c>
      <c r="H3337" s="5">
        <f>ROUND(G3337*NOTAS!$B$2,2)</f>
        <v>9377.49</v>
      </c>
      <c r="I3337" s="6">
        <f>ROUND(G3337*NOTAS!$B$3,0)</f>
        <v>42235</v>
      </c>
      <c r="J3337" s="2" t="n">
        <v>2</v>
      </c>
    </row>
    <row r="3338">
      <c r="A3338" s="2" t="inlineStr">
        <is>
          <t>R.19-2011</t>
        </is>
      </c>
      <c r="B3338" s="2" t="inlineStr"/>
      <c r="C3338" s="2" t="inlineStr">
        <is>
          <t>POLEA TENSORA AIRE ACONDICIONADO R-19 1.4</t>
        </is>
      </c>
      <c r="D3338" s="2" t="inlineStr">
        <is>
          <t>TAKSIM GROUP</t>
        </is>
      </c>
      <c r="E3338" s="3" t="n">
        <v>10.7692</v>
      </c>
      <c r="F3338" s="4" t="n">
        <v>0.3</v>
      </c>
      <c r="G3338" s="5">
        <f>ROUND(E3338*(1+F3338),2)</f>
        <v>14.00</v>
      </c>
      <c r="H3338" s="5">
        <f>ROUND(G3338*NOTAS!$B$2,2)</f>
        <v>10098.84</v>
      </c>
      <c r="I3338" s="6">
        <f>ROUND(G3338*NOTAS!$B$3,0)</f>
        <v>45484</v>
      </c>
      <c r="J3338" s="2" t="n">
        <v>5</v>
      </c>
    </row>
    <row r="3339">
      <c r="A3339" s="2" t="inlineStr">
        <is>
          <t>1619</t>
        </is>
      </c>
      <c r="B3339" s="2" t="inlineStr"/>
      <c r="C3339" s="2" t="inlineStr">
        <is>
          <t>POMO PALANCA CAMBIO CORSA …/99</t>
        </is>
      </c>
      <c r="D3339" s="2" t="inlineStr">
        <is>
          <t>PTP</t>
        </is>
      </c>
      <c r="E3339" s="3" t="n">
        <v>7.6923</v>
      </c>
      <c r="F3339" s="4" t="n">
        <v>0.3</v>
      </c>
      <c r="G3339" s="5">
        <f>ROUND(E3339*(1+F3339),2)</f>
        <v>10.00</v>
      </c>
      <c r="H3339" s="5">
        <f>ROUND(G3339*NOTAS!$B$2,2)</f>
        <v>7213.46</v>
      </c>
      <c r="I3339" s="6">
        <f>ROUND(G3339*NOTAS!$B$3,0)</f>
        <v>32489</v>
      </c>
      <c r="J3339" s="2" t="n">
        <v>1</v>
      </c>
    </row>
    <row r="3340">
      <c r="A3340" s="2" t="inlineStr">
        <is>
          <t>100170673</t>
        </is>
      </c>
      <c r="B3340" s="2" t="inlineStr"/>
      <c r="C3340" s="2" t="inlineStr">
        <is>
          <t>POMO PALANCA CAMBIO F-PALIO/SIENA 1.3 16V FIRE</t>
        </is>
      </c>
      <c r="D3340" s="2" t="inlineStr">
        <is>
          <t>FIAT</t>
        </is>
      </c>
      <c r="E3340" s="3" t="n">
        <v>7.6923</v>
      </c>
      <c r="F3340" s="4" t="n">
        <v>0.3</v>
      </c>
      <c r="G3340" s="5">
        <f>ROUND(E3340*(1+F3340),2)</f>
        <v>10.00</v>
      </c>
      <c r="H3340" s="5">
        <f>ROUND(G3340*NOTAS!$B$2,2)</f>
        <v>7213.46</v>
      </c>
      <c r="I3340" s="6">
        <f>ROUND(G3340*NOTAS!$B$3,0)</f>
        <v>32489</v>
      </c>
      <c r="J3340" s="2" t="n">
        <v>3</v>
      </c>
    </row>
    <row r="3341">
      <c r="A3341" s="2" t="inlineStr">
        <is>
          <t>96838020</t>
        </is>
      </c>
      <c r="B3341" s="2" t="inlineStr"/>
      <c r="C3341" s="2" t="inlineStr">
        <is>
          <t>PORTALEVA CORSA</t>
        </is>
      </c>
      <c r="D3341" s="2" t="inlineStr">
        <is>
          <t>GM</t>
        </is>
      </c>
      <c r="E3341" s="3" t="n">
        <v>70</v>
      </c>
      <c r="F3341" s="4" t="n">
        <v>0.3</v>
      </c>
      <c r="G3341" s="5">
        <f>ROUND(E3341*(1+F3341),2)</f>
        <v>91.00</v>
      </c>
      <c r="H3341" s="5">
        <f>ROUND(G3341*NOTAS!$B$2,2)</f>
        <v>65642.45</v>
      </c>
      <c r="I3341" s="6">
        <f>ROUND(G3341*NOTAS!$B$3,0)</f>
        <v>295647</v>
      </c>
      <c r="J3341" s="2" t="n">
        <v>3</v>
      </c>
    </row>
    <row r="3342">
      <c r="A3342" s="2" t="inlineStr">
        <is>
          <t>607-026</t>
        </is>
      </c>
      <c r="B3342" s="2" t="inlineStr"/>
      <c r="C3342" s="2" t="inlineStr">
        <is>
          <t>PUNTA DE TRIPOIDE ACCENT/EXCEL/LANCER 22X25</t>
        </is>
      </c>
      <c r="D3342" s="2" t="inlineStr">
        <is>
          <t>CIFAM</t>
        </is>
      </c>
      <c r="E3342" s="3" t="n">
        <v>19</v>
      </c>
      <c r="F3342" s="4" t="n">
        <v>0.3</v>
      </c>
      <c r="G3342" s="5">
        <f>ROUND(E3342*(1+F3342),2)</f>
        <v>24.70</v>
      </c>
      <c r="H3342" s="5">
        <f>ROUND(G3342*NOTAS!$B$2,2)</f>
        <v>17817.24</v>
      </c>
      <c r="I3342" s="6">
        <f>ROUND(G3342*NOTAS!$B$3,0)</f>
        <v>80247</v>
      </c>
      <c r="J3342" s="2" t="n">
        <v>1</v>
      </c>
    </row>
    <row r="3343">
      <c r="A3343" s="2" t="inlineStr">
        <is>
          <t>OP100A</t>
        </is>
      </c>
      <c r="B3343" s="2" t="inlineStr"/>
      <c r="C3343" s="2" t="inlineStr">
        <is>
          <t>PUNTA DE TRIPOIDE AVEO 1.5 CON ABS RETEN EXT 22X22X52</t>
        </is>
      </c>
      <c r="D3343" s="2" t="inlineStr">
        <is>
          <t>TITANIUM</t>
        </is>
      </c>
      <c r="E3343" s="3" t="n">
        <v>22</v>
      </c>
      <c r="F3343" s="4" t="n">
        <v>0.3</v>
      </c>
      <c r="G3343" s="5">
        <f>ROUND(E3343*(1+F3343),2)</f>
        <v>28.60</v>
      </c>
      <c r="H3343" s="5">
        <f>ROUND(G3343*NOTAS!$B$2,2)</f>
        <v>20630.48</v>
      </c>
      <c r="I3343" s="6">
        <f>ROUND(G3343*NOTAS!$B$3,0)</f>
        <v>92918</v>
      </c>
      <c r="J3343" s="2" t="n">
        <v>3</v>
      </c>
    </row>
    <row r="3344">
      <c r="A3344" s="2" t="inlineStr">
        <is>
          <t>TR0084</t>
        </is>
      </c>
      <c r="B3344" s="2" t="inlineStr">
        <is>
          <t>OP102A</t>
        </is>
      </c>
      <c r="C3344" s="2" t="inlineStr">
        <is>
          <t>PUNTA DE TRIPOIDE AVEO 1.6 CON ABS RETEN INT 23X22</t>
        </is>
      </c>
      <c r="D3344" s="2" t="inlineStr">
        <is>
          <t>LUCAS VARITY</t>
        </is>
      </c>
      <c r="E3344" s="3" t="n">
        <v>16.83</v>
      </c>
      <c r="F3344" s="4" t="n">
        <v>0.3</v>
      </c>
      <c r="G3344" s="5">
        <f>ROUND(E3344*(1+F3344),2)</f>
        <v>21.88</v>
      </c>
      <c r="H3344" s="5">
        <f>ROUND(G3344*NOTAS!$B$2,2)</f>
        <v>15783.04</v>
      </c>
      <c r="I3344" s="6">
        <f>ROUND(G3344*NOTAS!$B$3,0)</f>
        <v>71085</v>
      </c>
      <c r="J3344" s="2" t="n">
        <v>9</v>
      </c>
    </row>
    <row r="3345">
      <c r="A3345" s="2" t="inlineStr">
        <is>
          <t>OP01A</t>
        </is>
      </c>
      <c r="B3345" s="2" t="inlineStr"/>
      <c r="C3345" s="2" t="inlineStr">
        <is>
          <t>PUNTA DE TRIPOIDE AVEO LT SPEED/CORSA 2011/FORZA  CON ABS RETEN INT 22X22X52</t>
        </is>
      </c>
      <c r="D3345" s="2" t="inlineStr">
        <is>
          <t>TITANIUM</t>
        </is>
      </c>
      <c r="E3345" s="3" t="n">
        <v>22</v>
      </c>
      <c r="F3345" s="4" t="n">
        <v>0.3</v>
      </c>
      <c r="G3345" s="5">
        <f>ROUND(E3345*(1+F3345),2)</f>
        <v>28.60</v>
      </c>
      <c r="H3345" s="5">
        <f>ROUND(G3345*NOTAS!$B$2,2)</f>
        <v>20630.48</v>
      </c>
      <c r="I3345" s="6">
        <f>ROUND(G3345*NOTAS!$B$3,0)</f>
        <v>92918</v>
      </c>
      <c r="J3345" s="2" t="n">
        <v>1</v>
      </c>
    </row>
    <row r="3346">
      <c r="A3346" s="2" t="inlineStr">
        <is>
          <t>GM061</t>
        </is>
      </c>
      <c r="B3346" s="2" t="inlineStr"/>
      <c r="C3346" s="2" t="inlineStr">
        <is>
          <t>PUNTA DE TRIPOIDE CAVALIER/SURFIRE 29X33 97/01</t>
        </is>
      </c>
      <c r="D3346" s="2" t="inlineStr">
        <is>
          <t>SHIBUMI</t>
        </is>
      </c>
      <c r="E3346" s="3" t="n">
        <v>16</v>
      </c>
      <c r="F3346" s="4" t="n">
        <v>0.3</v>
      </c>
      <c r="G3346" s="5">
        <f>ROUND(E3346*(1+F3346),2)</f>
        <v>20.80</v>
      </c>
      <c r="H3346" s="5">
        <f>ROUND(G3346*NOTAS!$B$2,2)</f>
        <v>15003.99</v>
      </c>
      <c r="I3346" s="6">
        <f>ROUND(G3346*NOTAS!$B$3,0)</f>
        <v>67576</v>
      </c>
      <c r="J3346" s="2" t="n">
        <v>1</v>
      </c>
    </row>
    <row r="3347">
      <c r="A3347" s="2" t="inlineStr">
        <is>
          <t>OP04A</t>
        </is>
      </c>
      <c r="B3347" s="2" t="inlineStr"/>
      <c r="C3347" s="2" t="inlineStr">
        <is>
          <t>PUNTA DE TRIPOIDE CHEVY 28X22 RETEN INT CON ABS</t>
        </is>
      </c>
      <c r="D3347" s="2" t="inlineStr">
        <is>
          <t>TITANIUM</t>
        </is>
      </c>
      <c r="E3347" s="3" t="n">
        <v>25</v>
      </c>
      <c r="F3347" s="4" t="n">
        <v>0.3</v>
      </c>
      <c r="G3347" s="5">
        <f>ROUND(E3347*(1+F3347),2)</f>
        <v>32.50</v>
      </c>
      <c r="H3347" s="5">
        <f>ROUND(G3347*NOTAS!$B$2,2)</f>
        <v>23443.73</v>
      </c>
      <c r="I3347" s="6">
        <f>ROUND(G3347*NOTAS!$B$3,0)</f>
        <v>105588</v>
      </c>
      <c r="J3347" s="2" t="n">
        <v>17</v>
      </c>
    </row>
    <row r="3348">
      <c r="A3348" s="2" t="inlineStr">
        <is>
          <t>TR0006</t>
        </is>
      </c>
      <c r="B3348" s="2" t="inlineStr">
        <is>
          <t>OP50</t>
        </is>
      </c>
      <c r="C3348" s="2" t="inlineStr">
        <is>
          <t>PUNTA DE TRIPOIDE CIELO/LANOS</t>
        </is>
      </c>
      <c r="D3348" s="2" t="inlineStr">
        <is>
          <t>DEVIGILI</t>
        </is>
      </c>
      <c r="E3348" s="3" t="n">
        <v>16</v>
      </c>
      <c r="F3348" s="4" t="n">
        <v>0.3</v>
      </c>
      <c r="G3348" s="5">
        <f>ROUND(E3348*(1+F3348),2)</f>
        <v>20.80</v>
      </c>
      <c r="H3348" s="5">
        <f>ROUND(G3348*NOTAS!$B$2,2)</f>
        <v>15003.99</v>
      </c>
      <c r="I3348" s="6">
        <f>ROUND(G3348*NOTAS!$B$3,0)</f>
        <v>67576</v>
      </c>
      <c r="J3348" s="2" t="n">
        <v>3</v>
      </c>
    </row>
    <row r="3349">
      <c r="A3349" s="2" t="inlineStr">
        <is>
          <t>OP-1012</t>
        </is>
      </c>
      <c r="B3349" s="2" t="inlineStr">
        <is>
          <t>607234</t>
        </is>
      </c>
      <c r="C3349" s="2" t="inlineStr">
        <is>
          <t>PUNTA DE TRIPOIDE CIELO/LANOS</t>
        </is>
      </c>
      <c r="D3349" s="2" t="inlineStr">
        <is>
          <t>ZUTAKA</t>
        </is>
      </c>
      <c r="E3349" s="3" t="n">
        <v>16</v>
      </c>
      <c r="F3349" s="4" t="n">
        <v>0.3</v>
      </c>
      <c r="G3349" s="5">
        <f>ROUND(E3349*(1+F3349),2)</f>
        <v>20.80</v>
      </c>
      <c r="H3349" s="5">
        <f>ROUND(G3349*NOTAS!$B$2,2)</f>
        <v>15003.99</v>
      </c>
      <c r="I3349" s="6">
        <f>ROUND(G3349*NOTAS!$B$3,0)</f>
        <v>67576</v>
      </c>
      <c r="J3349" s="2" t="n">
        <v>2</v>
      </c>
    </row>
    <row r="3350">
      <c r="A3350" s="2" t="inlineStr">
        <is>
          <t>607-234</t>
        </is>
      </c>
      <c r="B3350" s="2" t="inlineStr"/>
      <c r="C3350" s="2" t="inlineStr">
        <is>
          <t>PUNTA DE TRIPOIDE CIELO/LANOS</t>
        </is>
      </c>
      <c r="D3350" s="2" t="inlineStr">
        <is>
          <t>CIFAM</t>
        </is>
      </c>
      <c r="E3350" s="3" t="n">
        <v>20</v>
      </c>
      <c r="F3350" s="4" t="n">
        <v>0.3</v>
      </c>
      <c r="G3350" s="5">
        <f>ROUND(E3350*(1+F3350),2)</f>
        <v>26.00</v>
      </c>
      <c r="H3350" s="5">
        <f>ROUND(G3350*NOTAS!$B$2,2)</f>
        <v>18754.99</v>
      </c>
      <c r="I3350" s="6">
        <f>ROUND(G3350*NOTAS!$B$3,0)</f>
        <v>84471</v>
      </c>
      <c r="J3350" s="2" t="n">
        <v>1</v>
      </c>
    </row>
    <row r="3351">
      <c r="A3351" s="2" t="inlineStr">
        <is>
          <t>OP-006</t>
        </is>
      </c>
      <c r="B3351" s="2" t="inlineStr"/>
      <c r="C3351" s="2" t="inlineStr">
        <is>
          <t>PUNTA DE TRIPOIDE CIELO/LANOS</t>
        </is>
      </c>
      <c r="D3351" s="2" t="inlineStr">
        <is>
          <t>MASTER</t>
        </is>
      </c>
      <c r="E3351" s="3" t="n">
        <v>16</v>
      </c>
      <c r="F3351" s="4" t="n">
        <v>0.3</v>
      </c>
      <c r="G3351" s="5">
        <f>ROUND(E3351*(1+F3351),2)</f>
        <v>20.80</v>
      </c>
      <c r="H3351" s="5">
        <f>ROUND(G3351*NOTAS!$B$2,2)</f>
        <v>15003.99</v>
      </c>
      <c r="I3351" s="6">
        <f>ROUND(G3351*NOTAS!$B$3,0)</f>
        <v>67576</v>
      </c>
      <c r="J3351" s="2" t="n">
        <v>2</v>
      </c>
    </row>
    <row r="3352">
      <c r="A3352" s="2" t="inlineStr">
        <is>
          <t>OP50</t>
        </is>
      </c>
      <c r="B3352" s="2" t="inlineStr"/>
      <c r="C3352" s="2" t="inlineStr">
        <is>
          <t>PUNTA DE TRIPOIDE CIELO/LANOS 29X22X52</t>
        </is>
      </c>
      <c r="D3352" s="2" t="inlineStr">
        <is>
          <t>TITANIUM</t>
        </is>
      </c>
      <c r="E3352" s="3" t="n">
        <v>21</v>
      </c>
      <c r="F3352" s="4" t="n">
        <v>0.3</v>
      </c>
      <c r="G3352" s="5">
        <f>ROUND(E3352*(1+F3352),2)</f>
        <v>27.30</v>
      </c>
      <c r="H3352" s="5">
        <f>ROUND(G3352*NOTAS!$B$2,2)</f>
        <v>19692.73</v>
      </c>
      <c r="I3352" s="6">
        <f>ROUND(G3352*NOTAS!$B$3,0)</f>
        <v>88694</v>
      </c>
      <c r="J3352" s="2" t="n">
        <v>5</v>
      </c>
    </row>
    <row r="3353">
      <c r="A3353" s="2" t="inlineStr">
        <is>
          <t>FO02</t>
        </is>
      </c>
      <c r="B3353" s="2" t="inlineStr"/>
      <c r="C3353" s="2" t="inlineStr">
        <is>
          <t>PUNTA DE TRIPOIDE CORCEL</t>
        </is>
      </c>
      <c r="D3353" s="2" t="inlineStr">
        <is>
          <t>TITANIUM</t>
        </is>
      </c>
      <c r="E3353" s="3" t="n">
        <v>20</v>
      </c>
      <c r="F3353" s="4" t="n">
        <v>0.3</v>
      </c>
      <c r="G3353" s="5">
        <f>ROUND(E3353*(1+F3353),2)</f>
        <v>26.00</v>
      </c>
      <c r="H3353" s="5">
        <f>ROUND(G3353*NOTAS!$B$2,2)</f>
        <v>18754.99</v>
      </c>
      <c r="I3353" s="6">
        <f>ROUND(G3353*NOTAS!$B$3,0)</f>
        <v>84471</v>
      </c>
      <c r="J3353" s="2" t="n">
        <v>7</v>
      </c>
    </row>
    <row r="3354">
      <c r="A3354" s="2" t="inlineStr">
        <is>
          <t>OP54</t>
        </is>
      </c>
      <c r="B3354" s="2" t="inlineStr"/>
      <c r="C3354" s="2" t="inlineStr">
        <is>
          <t>PUNTA DE TRIPOIDE CORSA 1.3 PALIO/SIENA 1.4 28X22X52 RETEN EXT</t>
        </is>
      </c>
      <c r="D3354" s="2" t="inlineStr">
        <is>
          <t>TITANIUM</t>
        </is>
      </c>
      <c r="E3354" s="3" t="n">
        <v>21</v>
      </c>
      <c r="F3354" s="4" t="n">
        <v>0.3</v>
      </c>
      <c r="G3354" s="5">
        <f>ROUND(E3354*(1+F3354),2)</f>
        <v>27.30</v>
      </c>
      <c r="H3354" s="5">
        <f>ROUND(G3354*NOTAS!$B$2,2)</f>
        <v>19692.73</v>
      </c>
      <c r="I3354" s="6">
        <f>ROUND(G3354*NOTAS!$B$3,0)</f>
        <v>88694</v>
      </c>
      <c r="J3354" s="2" t="n">
        <v>2</v>
      </c>
    </row>
    <row r="3355">
      <c r="A3355" s="2" t="inlineStr">
        <is>
          <t>OP03</t>
        </is>
      </c>
      <c r="B3355" s="2" t="inlineStr"/>
      <c r="C3355" s="2" t="inlineStr">
        <is>
          <t>PUNTA DE TRIPOIDE CORSA 1.6  30X22X52 RETEN EXT</t>
        </is>
      </c>
      <c r="D3355" s="2" t="inlineStr">
        <is>
          <t>TITANIUM</t>
        </is>
      </c>
      <c r="E3355" s="3" t="n">
        <v>21</v>
      </c>
      <c r="F3355" s="4" t="n">
        <v>0.3</v>
      </c>
      <c r="G3355" s="5">
        <f>ROUND(E3355*(1+F3355),2)</f>
        <v>27.30</v>
      </c>
      <c r="H3355" s="5">
        <f>ROUND(G3355*NOTAS!$B$2,2)</f>
        <v>19692.73</v>
      </c>
      <c r="I3355" s="6">
        <f>ROUND(G3355*NOTAS!$B$3,0)</f>
        <v>88694</v>
      </c>
      <c r="J3355" s="2" t="n">
        <v>16</v>
      </c>
    </row>
    <row r="3356">
      <c r="A3356" s="2" t="inlineStr">
        <is>
          <t>YOP03</t>
        </is>
      </c>
      <c r="B3356" s="2" t="inlineStr"/>
      <c r="C3356" s="2" t="inlineStr">
        <is>
          <t>PUNTA DE TRIPOIDE CORSA 1.6  30X22X52 RETEN EXT</t>
        </is>
      </c>
      <c r="D3356" s="2" t="inlineStr">
        <is>
          <t>KYODO</t>
        </is>
      </c>
      <c r="E3356" s="3" t="n">
        <v>20</v>
      </c>
      <c r="F3356" s="4" t="n">
        <v>0.3</v>
      </c>
      <c r="G3356" s="5">
        <f>ROUND(E3356*(1+F3356),2)</f>
        <v>26.00</v>
      </c>
      <c r="H3356" s="5">
        <f>ROUND(G3356*NOTAS!$B$2,2)</f>
        <v>18754.99</v>
      </c>
      <c r="I3356" s="6">
        <f>ROUND(G3356*NOTAS!$B$3,0)</f>
        <v>84471</v>
      </c>
      <c r="J3356" s="2" t="n">
        <v>2</v>
      </c>
    </row>
    <row r="3357">
      <c r="A3357" s="2" t="inlineStr">
        <is>
          <t>607-118</t>
        </is>
      </c>
      <c r="B3357" s="2" t="inlineStr"/>
      <c r="C3357" s="2" t="inlineStr">
        <is>
          <t>PUNTA DE TRIPOIDE CORSA 1.6  30X22X52 RETEN EXT</t>
        </is>
      </c>
      <c r="D3357" s="2" t="inlineStr">
        <is>
          <t>CIFAM</t>
        </is>
      </c>
      <c r="E3357" s="3" t="n">
        <v>20</v>
      </c>
      <c r="F3357" s="4" t="n">
        <v>0.3</v>
      </c>
      <c r="G3357" s="5">
        <f>ROUND(E3357*(1+F3357),2)</f>
        <v>26.00</v>
      </c>
      <c r="H3357" s="5">
        <f>ROUND(G3357*NOTAS!$B$2,2)</f>
        <v>18754.99</v>
      </c>
      <c r="I3357" s="6">
        <f>ROUND(G3357*NOTAS!$B$3,0)</f>
        <v>84471</v>
      </c>
      <c r="J3357" s="2" t="n">
        <v>1</v>
      </c>
    </row>
    <row r="3358">
      <c r="A3358" s="2" t="inlineStr">
        <is>
          <t>TR0079</t>
        </is>
      </c>
      <c r="B3358" s="2" t="inlineStr"/>
      <c r="C3358" s="2" t="inlineStr">
        <is>
          <t>PUNTA DE TRIPOIDE CORSA 22DT/AVEO 1.5 SIN ABS RETEN EXT 22X22 sin tuerca,goma,reten</t>
        </is>
      </c>
      <c r="D3358" s="2" t="inlineStr">
        <is>
          <t>LUCAS VARITY</t>
        </is>
      </c>
      <c r="E3358" s="3" t="n">
        <v>15</v>
      </c>
      <c r="F3358" s="4" t="n">
        <v>0.3</v>
      </c>
      <c r="G3358" s="5">
        <f>ROUND(E3358*(1+F3358),2)</f>
        <v>19.50</v>
      </c>
      <c r="H3358" s="5">
        <f>ROUND(G3358*NOTAS!$B$2,2)</f>
        <v>14066.24</v>
      </c>
      <c r="I3358" s="6">
        <f>ROUND(G3358*NOTAS!$B$3,0)</f>
        <v>63353</v>
      </c>
      <c r="J3358" s="2" t="n">
        <v>5</v>
      </c>
    </row>
    <row r="3359">
      <c r="A3359" s="2" t="inlineStr">
        <is>
          <t>OP02</t>
        </is>
      </c>
      <c r="B3359" s="2" t="inlineStr"/>
      <c r="C3359" s="2" t="inlineStr">
        <is>
          <t xml:space="preserve">PUNTA DE TRIPOIDE CORSA 22DT/AVEO 1.5 SIN ABS RETEN EXT 22X22X52 </t>
        </is>
      </c>
      <c r="D3359" s="2" t="inlineStr">
        <is>
          <t>TITANIUM</t>
        </is>
      </c>
      <c r="E3359" s="3" t="n">
        <v>23</v>
      </c>
      <c r="F3359" s="4" t="n">
        <v>0.3</v>
      </c>
      <c r="G3359" s="5">
        <f>ROUND(E3359*(1+F3359),2)</f>
        <v>29.90</v>
      </c>
      <c r="H3359" s="5">
        <f>ROUND(G3359*NOTAS!$B$2,2)</f>
        <v>21568.23</v>
      </c>
      <c r="I3359" s="6">
        <f>ROUND(G3359*NOTAS!$B$3,0)</f>
        <v>97141</v>
      </c>
      <c r="J3359" s="2" t="n">
        <v>7</v>
      </c>
    </row>
    <row r="3360">
      <c r="A3360" s="2" t="inlineStr">
        <is>
          <t>TR0030</t>
        </is>
      </c>
      <c r="B3360" s="2" t="inlineStr">
        <is>
          <t>OP02</t>
        </is>
      </c>
      <c r="C3360" s="2" t="inlineStr">
        <is>
          <t xml:space="preserve">PUNTA DE TRIPOIDE CORSA 22DT/AVEO 1.5 SIN ABS RETEN EXT 22X22X52 </t>
        </is>
      </c>
      <c r="D3360" s="2" t="inlineStr">
        <is>
          <t>LUCAS VARITY</t>
        </is>
      </c>
      <c r="E3360" s="3" t="n">
        <v>16</v>
      </c>
      <c r="F3360" s="4" t="n">
        <v>0.3</v>
      </c>
      <c r="G3360" s="5">
        <f>ROUND(E3360*(1+F3360),2)</f>
        <v>20.80</v>
      </c>
      <c r="H3360" s="5">
        <f>ROUND(G3360*NOTAS!$B$2,2)</f>
        <v>15003.99</v>
      </c>
      <c r="I3360" s="6">
        <f>ROUND(G3360*NOTAS!$B$3,0)</f>
        <v>67576</v>
      </c>
      <c r="J3360" s="2" t="n">
        <v>6</v>
      </c>
    </row>
    <row r="3361">
      <c r="A3361" s="2" t="inlineStr">
        <is>
          <t>TR0079</t>
        </is>
      </c>
      <c r="B3361" s="2" t="inlineStr"/>
      <c r="C3361" s="2" t="inlineStr">
        <is>
          <t xml:space="preserve">PUNTA DE TRIPOIDE CORSA 22DT/AVEO 1.5 SIN ABS RETEN EXT 22X22X52 </t>
        </is>
      </c>
      <c r="D3361" s="2" t="inlineStr">
        <is>
          <t>LUCAS VARITY</t>
        </is>
      </c>
      <c r="E3361" s="3" t="n">
        <v>16</v>
      </c>
      <c r="F3361" s="4" t="n">
        <v>0.3</v>
      </c>
      <c r="G3361" s="5">
        <f>ROUND(E3361*(1+F3361),2)</f>
        <v>20.80</v>
      </c>
      <c r="H3361" s="5">
        <f>ROUND(G3361*NOTAS!$B$2,2)</f>
        <v>15003.99</v>
      </c>
      <c r="I3361" s="6">
        <f>ROUND(G3361*NOTAS!$B$3,0)</f>
        <v>67576</v>
      </c>
      <c r="J3361" s="2" t="n">
        <v>5</v>
      </c>
    </row>
    <row r="3362">
      <c r="A3362" s="2" t="inlineStr">
        <is>
          <t>SZ051</t>
        </is>
      </c>
      <c r="B3362" s="2" t="inlineStr"/>
      <c r="C3362" s="2" t="inlineStr">
        <is>
          <t>PUNTA DE TRIPOIDE ESTEEM AUTOMATICO 95/01 20X25X49</t>
        </is>
      </c>
      <c r="D3362" s="2" t="inlineStr">
        <is>
          <t>SHIBUMI</t>
        </is>
      </c>
      <c r="E3362" s="3" t="n">
        <v>16</v>
      </c>
      <c r="F3362" s="4" t="n">
        <v>0.3</v>
      </c>
      <c r="G3362" s="5">
        <f>ROUND(E3362*(1+F3362),2)</f>
        <v>20.80</v>
      </c>
      <c r="H3362" s="5">
        <f>ROUND(G3362*NOTAS!$B$2,2)</f>
        <v>15003.99</v>
      </c>
      <c r="I3362" s="6">
        <f>ROUND(G3362*NOTAS!$B$3,0)</f>
        <v>67576</v>
      </c>
      <c r="J3362" s="2" t="n">
        <v>1</v>
      </c>
    </row>
    <row r="3363">
      <c r="A3363" s="2" t="inlineStr">
        <is>
          <t>SZ037</t>
        </is>
      </c>
      <c r="B3363" s="2" t="inlineStr"/>
      <c r="C3363" s="2" t="inlineStr">
        <is>
          <t>PUNTA DE TRIPOIDE ESTEEM SINCRONICO 21X25X49</t>
        </is>
      </c>
      <c r="D3363" s="2" t="inlineStr">
        <is>
          <t>SHIBUMI</t>
        </is>
      </c>
      <c r="E3363" s="3" t="n">
        <v>16</v>
      </c>
      <c r="F3363" s="4" t="n">
        <v>0.3</v>
      </c>
      <c r="G3363" s="5">
        <f>ROUND(E3363*(1+F3363),2)</f>
        <v>20.80</v>
      </c>
      <c r="H3363" s="5">
        <f>ROUND(G3363*NOTAS!$B$2,2)</f>
        <v>15003.99</v>
      </c>
      <c r="I3363" s="6">
        <f>ROUND(G3363*NOTAS!$B$3,0)</f>
        <v>67576</v>
      </c>
      <c r="J3363" s="2" t="n">
        <v>2</v>
      </c>
    </row>
    <row r="3364">
      <c r="A3364" s="2" t="inlineStr">
        <is>
          <t>FI01</t>
        </is>
      </c>
      <c r="B3364" s="2" t="inlineStr"/>
      <c r="C3364" s="2" t="inlineStr">
        <is>
          <t>PUNTA DE TRIPOIDE F-147/SPAZIO 20X20X48.1</t>
        </is>
      </c>
      <c r="D3364" s="2" t="inlineStr">
        <is>
          <t>TITANIUM</t>
        </is>
      </c>
      <c r="E3364" s="3" t="n">
        <v>20</v>
      </c>
      <c r="F3364" s="4" t="n">
        <v>0.3</v>
      </c>
      <c r="G3364" s="5">
        <f>ROUND(E3364*(1+F3364),2)</f>
        <v>26.00</v>
      </c>
      <c r="H3364" s="5">
        <f>ROUND(G3364*NOTAS!$B$2,2)</f>
        <v>18754.99</v>
      </c>
      <c r="I3364" s="6">
        <f>ROUND(G3364*NOTAS!$B$3,0)</f>
        <v>84471</v>
      </c>
      <c r="J3364" s="2" t="n">
        <v>1</v>
      </c>
    </row>
    <row r="3365">
      <c r="A3365" s="2" t="inlineStr">
        <is>
          <t>MFI01</t>
        </is>
      </c>
      <c r="B3365" s="2" t="inlineStr"/>
      <c r="C3365" s="2" t="inlineStr">
        <is>
          <t>PUNTA DE TRIPOIDE F-147/SPAZIO 20X20X48.1</t>
        </is>
      </c>
      <c r="D3365" s="2" t="inlineStr">
        <is>
          <t>MAP</t>
        </is>
      </c>
      <c r="E3365" s="3" t="n">
        <v>20</v>
      </c>
      <c r="F3365" s="4" t="n">
        <v>0.3</v>
      </c>
      <c r="G3365" s="5">
        <f>ROUND(E3365*(1+F3365),2)</f>
        <v>26.00</v>
      </c>
      <c r="H3365" s="5">
        <f>ROUND(G3365*NOTAS!$B$2,2)</f>
        <v>18754.99</v>
      </c>
      <c r="I3365" s="6">
        <f>ROUND(G3365*NOTAS!$B$3,0)</f>
        <v>84471</v>
      </c>
      <c r="J3365" s="2" t="n">
        <v>2</v>
      </c>
    </row>
    <row r="3366">
      <c r="A3366" s="2" t="inlineStr">
        <is>
          <t>KFI01</t>
        </is>
      </c>
      <c r="B3366" s="2" t="inlineStr"/>
      <c r="C3366" s="2" t="inlineStr">
        <is>
          <t>PUNTA DE TRIPOIDE F-147/SPAZIO 20X20X48.1</t>
        </is>
      </c>
      <c r="D3366" s="2" t="inlineStr">
        <is>
          <t>KAMPF</t>
        </is>
      </c>
      <c r="E3366" s="3" t="n">
        <v>20</v>
      </c>
      <c r="F3366" s="4" t="n">
        <v>0.3</v>
      </c>
      <c r="G3366" s="5">
        <f>ROUND(E3366*(1+F3366),2)</f>
        <v>26.00</v>
      </c>
      <c r="H3366" s="5">
        <f>ROUND(G3366*NOTAS!$B$2,2)</f>
        <v>18754.99</v>
      </c>
      <c r="I3366" s="6">
        <f>ROUND(G3366*NOTAS!$B$3,0)</f>
        <v>84471</v>
      </c>
      <c r="J3366" s="2" t="n">
        <v>2</v>
      </c>
    </row>
    <row r="3367">
      <c r="A3367" s="2" t="inlineStr">
        <is>
          <t>15-0001</t>
        </is>
      </c>
      <c r="B3367" s="2" t="inlineStr"/>
      <c r="C3367" s="2" t="inlineStr">
        <is>
          <t>PUNTA DE TRIPOIDE F-147/SPAZIO 20X20X48.1</t>
        </is>
      </c>
      <c r="D3367" s="2" t="inlineStr">
        <is>
          <t>METELLI</t>
        </is>
      </c>
      <c r="E3367" s="3" t="n">
        <v>20</v>
      </c>
      <c r="F3367" s="4" t="n">
        <v>0.3</v>
      </c>
      <c r="G3367" s="5">
        <f>ROUND(E3367*(1+F3367),2)</f>
        <v>26.00</v>
      </c>
      <c r="H3367" s="5">
        <f>ROUND(G3367*NOTAS!$B$2,2)</f>
        <v>18754.99</v>
      </c>
      <c r="I3367" s="6">
        <f>ROUND(G3367*NOTAS!$B$3,0)</f>
        <v>84471</v>
      </c>
      <c r="J3367" s="2" t="n">
        <v>1</v>
      </c>
    </row>
    <row r="3368">
      <c r="A3368" s="2" t="inlineStr">
        <is>
          <t>607-001</t>
        </is>
      </c>
      <c r="B3368" s="2" t="inlineStr"/>
      <c r="C3368" s="2" t="inlineStr">
        <is>
          <t>PUNTA DE TRIPOIDE F-147/SPAZIO 20X20X48.1</t>
        </is>
      </c>
      <c r="D3368" s="2" t="inlineStr">
        <is>
          <t>CIFAM</t>
        </is>
      </c>
      <c r="E3368" s="3" t="n">
        <v>20</v>
      </c>
      <c r="F3368" s="4" t="n">
        <v>0.3</v>
      </c>
      <c r="G3368" s="5">
        <f>ROUND(E3368*(1+F3368),2)</f>
        <v>26.00</v>
      </c>
      <c r="H3368" s="5">
        <f>ROUND(G3368*NOTAS!$B$2,2)</f>
        <v>18754.99</v>
      </c>
      <c r="I3368" s="6">
        <f>ROUND(G3368*NOTAS!$B$3,0)</f>
        <v>84471</v>
      </c>
      <c r="J3368" s="2" t="n">
        <v>1</v>
      </c>
    </row>
    <row r="3369">
      <c r="A3369" s="2" t="inlineStr">
        <is>
          <t>TR0018</t>
        </is>
      </c>
      <c r="B3369" s="2" t="inlineStr">
        <is>
          <t>MZ53</t>
        </is>
      </c>
      <c r="C3369" s="2" t="inlineStr">
        <is>
          <t>PUNTA DE TRIPOIDE FESTIVA 90/93 20X24X52 RETEN INT</t>
        </is>
      </c>
      <c r="D3369" s="2" t="inlineStr">
        <is>
          <t>LUCAS VARITY</t>
        </is>
      </c>
      <c r="E3369" s="3" t="n">
        <v>14</v>
      </c>
      <c r="F3369" s="4" t="n">
        <v>0.3</v>
      </c>
      <c r="G3369" s="5">
        <f>ROUND(E3369*(1+F3369),2)</f>
        <v>18.20</v>
      </c>
      <c r="H3369" s="5">
        <f>ROUND(G3369*NOTAS!$B$2,2)</f>
        <v>13128.49</v>
      </c>
      <c r="I3369" s="6">
        <f>ROUND(G3369*NOTAS!$B$3,0)</f>
        <v>59129</v>
      </c>
      <c r="J3369" s="2" t="n">
        <v>1</v>
      </c>
    </row>
    <row r="3370">
      <c r="A3370" s="2" t="inlineStr">
        <is>
          <t>MZ023</t>
        </is>
      </c>
      <c r="B3370" s="2" t="inlineStr"/>
      <c r="C3370" s="2" t="inlineStr">
        <is>
          <t>PUNTA DE TRIPOIDE FESTIVA 90/93 20X24X52 RETEN INT falta goma</t>
        </is>
      </c>
      <c r="D3370" s="2" t="inlineStr">
        <is>
          <t>SHIBUMI</t>
        </is>
      </c>
      <c r="E3370" s="3" t="n">
        <v>15</v>
      </c>
      <c r="F3370" s="4" t="n">
        <v>0.3</v>
      </c>
      <c r="G3370" s="5">
        <f>ROUND(E3370*(1+F3370),2)</f>
        <v>19.50</v>
      </c>
      <c r="H3370" s="5">
        <f>ROUND(G3370*NOTAS!$B$2,2)</f>
        <v>14066.24</v>
      </c>
      <c r="I3370" s="6">
        <f>ROUND(G3370*NOTAS!$B$3,0)</f>
        <v>63353</v>
      </c>
      <c r="J3370" s="2" t="n">
        <v>1</v>
      </c>
    </row>
    <row r="3371">
      <c r="A3371" s="2" t="inlineStr">
        <is>
          <t>MZ12</t>
        </is>
      </c>
      <c r="B3371" s="2" t="inlineStr"/>
      <c r="C3371" s="2" t="inlineStr">
        <is>
          <t>PUNTA DE TRIPOIDE FESTIVA AUT 92/94 19X24X52 RETEN INT</t>
        </is>
      </c>
      <c r="D3371" s="2" t="inlineStr">
        <is>
          <t>TITANIUM</t>
        </is>
      </c>
      <c r="E3371" s="3" t="n">
        <v>20</v>
      </c>
      <c r="F3371" s="4" t="n">
        <v>0.3</v>
      </c>
      <c r="G3371" s="5">
        <f>ROUND(E3371*(1+F3371),2)</f>
        <v>26.00</v>
      </c>
      <c r="H3371" s="5">
        <f>ROUND(G3371*NOTAS!$B$2,2)</f>
        <v>18754.99</v>
      </c>
      <c r="I3371" s="6">
        <f>ROUND(G3371*NOTAS!$B$3,0)</f>
        <v>84471</v>
      </c>
      <c r="J3371" s="2" t="n">
        <v>1</v>
      </c>
    </row>
    <row r="3372">
      <c r="A3372" s="2" t="inlineStr">
        <is>
          <t>607-171</t>
        </is>
      </c>
      <c r="B3372" s="2" t="inlineStr"/>
      <c r="C3372" s="2" t="inlineStr">
        <is>
          <t>PUNTA DE TRIPOIDE FESTIVA AUT 92/94 19X24X52 RETEN INT falta goma</t>
        </is>
      </c>
      <c r="D3372" s="2" t="inlineStr">
        <is>
          <t>CIFAM</t>
        </is>
      </c>
      <c r="E3372" s="3" t="n">
        <v>16</v>
      </c>
      <c r="F3372" s="4" t="n">
        <v>0.3</v>
      </c>
      <c r="G3372" s="5">
        <f>ROUND(E3372*(1+F3372),2)</f>
        <v>20.80</v>
      </c>
      <c r="H3372" s="5">
        <f>ROUND(G3372*NOTAS!$B$2,2)</f>
        <v>15003.99</v>
      </c>
      <c r="I3372" s="6">
        <f>ROUND(G3372*NOTAS!$B$3,0)</f>
        <v>67576</v>
      </c>
      <c r="J3372" s="2" t="n">
        <v>1</v>
      </c>
    </row>
    <row r="3373">
      <c r="A3373" s="2" t="inlineStr">
        <is>
          <t>MZ54</t>
        </is>
      </c>
      <c r="B3373" s="2" t="inlineStr"/>
      <c r="C3373" s="2" t="inlineStr">
        <is>
          <t>PUNTA DE TRIPOIDE FESTIVA SINC 95/99 TURPIAL 19X24X52 RETEN EXT</t>
        </is>
      </c>
      <c r="D3373" s="2" t="inlineStr">
        <is>
          <t>TITANIUM</t>
        </is>
      </c>
      <c r="E3373" s="3" t="n">
        <v>19</v>
      </c>
      <c r="F3373" s="4" t="n">
        <v>0.3</v>
      </c>
      <c r="G3373" s="5">
        <f>ROUND(E3373*(1+F3373),2)</f>
        <v>24.70</v>
      </c>
      <c r="H3373" s="5">
        <f>ROUND(G3373*NOTAS!$B$2,2)</f>
        <v>17817.24</v>
      </c>
      <c r="I3373" s="6">
        <f>ROUND(G3373*NOTAS!$B$3,0)</f>
        <v>80247</v>
      </c>
      <c r="J3373" s="2" t="n">
        <v>3</v>
      </c>
    </row>
    <row r="3374">
      <c r="A3374" s="2" t="inlineStr">
        <is>
          <t>FO810</t>
        </is>
      </c>
      <c r="B3374" s="2" t="inlineStr"/>
      <c r="C3374" s="2" t="inlineStr">
        <is>
          <t>PUNTA DE TRIPOIDE FIESTA 1.25 20X25X61</t>
        </is>
      </c>
      <c r="D3374" s="2" t="inlineStr">
        <is>
          <t>TITANIUM</t>
        </is>
      </c>
      <c r="E3374" s="3" t="n">
        <v>19</v>
      </c>
      <c r="F3374" s="4" t="n">
        <v>0.3</v>
      </c>
      <c r="G3374" s="5">
        <f>ROUND(E3374*(1+F3374),2)</f>
        <v>24.70</v>
      </c>
      <c r="H3374" s="5">
        <f>ROUND(G3374*NOTAS!$B$2,2)</f>
        <v>17817.24</v>
      </c>
      <c r="I3374" s="6">
        <f>ROUND(G3374*NOTAS!$B$3,0)</f>
        <v>80247</v>
      </c>
      <c r="J3374" s="2" t="n">
        <v>4</v>
      </c>
    </row>
    <row r="3375">
      <c r="A3375" s="2" t="inlineStr">
        <is>
          <t>FD607-OKG</t>
        </is>
      </c>
      <c r="B3375" s="2" t="inlineStr"/>
      <c r="C3375" s="2" t="inlineStr">
        <is>
          <t>PUNTA DE TRIPOIDE FIESTA 1.25 20X25X61</t>
        </is>
      </c>
      <c r="D3375" s="2" t="inlineStr">
        <is>
          <t>SHIBUMI</t>
        </is>
      </c>
      <c r="E3375" s="3" t="n">
        <v>16</v>
      </c>
      <c r="F3375" s="4" t="n">
        <v>0.3</v>
      </c>
      <c r="G3375" s="5">
        <f>ROUND(E3375*(1+F3375),2)</f>
        <v>20.80</v>
      </c>
      <c r="H3375" s="5">
        <f>ROUND(G3375*NOTAS!$B$2,2)</f>
        <v>15003.99</v>
      </c>
      <c r="I3375" s="6">
        <f>ROUND(G3375*NOTAS!$B$3,0)</f>
        <v>67576</v>
      </c>
      <c r="J3375" s="2" t="n">
        <v>1</v>
      </c>
    </row>
    <row r="3376">
      <c r="A3376" s="2" t="inlineStr">
        <is>
          <t>TI607192</t>
        </is>
      </c>
      <c r="B3376" s="2" t="inlineStr"/>
      <c r="C3376" s="2" t="inlineStr">
        <is>
          <t>PUNTA DE TRIPOIDE FIESTA 1.3 …/99 22X25X56.6</t>
        </is>
      </c>
      <c r="D3376" s="2" t="inlineStr">
        <is>
          <t>TITANIUM</t>
        </is>
      </c>
      <c r="E3376" s="3" t="n">
        <v>21</v>
      </c>
      <c r="F3376" s="4" t="n">
        <v>0.3</v>
      </c>
      <c r="G3376" s="5">
        <f>ROUND(E3376*(1+F3376),2)</f>
        <v>27.30</v>
      </c>
      <c r="H3376" s="5">
        <f>ROUND(G3376*NOTAS!$B$2,2)</f>
        <v>19692.73</v>
      </c>
      <c r="I3376" s="6">
        <f>ROUND(G3376*NOTAS!$B$3,0)</f>
        <v>88694</v>
      </c>
      <c r="J3376" s="2" t="n">
        <v>1</v>
      </c>
    </row>
    <row r="3377">
      <c r="A3377" s="2" t="inlineStr">
        <is>
          <t>TR0012</t>
        </is>
      </c>
      <c r="B3377" s="2" t="inlineStr">
        <is>
          <t>FO850</t>
        </is>
      </c>
      <c r="C3377" s="2" t="inlineStr">
        <is>
          <t>PUNTA DE TRIPOIDE FIESTA/KA 1.6 21DT</t>
        </is>
      </c>
      <c r="D3377" s="2" t="inlineStr">
        <is>
          <t>DEVIGILI</t>
        </is>
      </c>
      <c r="E3377" s="3" t="n">
        <v>15.74</v>
      </c>
      <c r="F3377" s="4" t="n">
        <v>0.3</v>
      </c>
      <c r="G3377" s="5">
        <f>ROUND(E3377*(1+F3377),2)</f>
        <v>20.46</v>
      </c>
      <c r="H3377" s="5">
        <f>ROUND(G3377*NOTAS!$B$2,2)</f>
        <v>14758.73</v>
      </c>
      <c r="I3377" s="6">
        <f>ROUND(G3377*NOTAS!$B$3,0)</f>
        <v>66472</v>
      </c>
      <c r="J3377" s="2" t="n">
        <v>2</v>
      </c>
    </row>
    <row r="3378">
      <c r="A3378" s="2" t="inlineStr">
        <is>
          <t>FI002</t>
        </is>
      </c>
      <c r="B3378" s="2" t="inlineStr"/>
      <c r="C3378" s="2" t="inlineStr">
        <is>
          <t>PUNTA DE TRIPOIDE F-PALIO/SIENA 1.3 16V FIRE 20X22X52</t>
        </is>
      </c>
      <c r="D3378" s="2" t="inlineStr">
        <is>
          <t>MXC</t>
        </is>
      </c>
      <c r="E3378" s="3" t="n">
        <v>19.42</v>
      </c>
      <c r="F3378" s="4" t="n">
        <v>0.3</v>
      </c>
      <c r="G3378" s="5">
        <f>ROUND(E3378*(1+F3378),2)</f>
        <v>25.25</v>
      </c>
      <c r="H3378" s="5">
        <f>ROUND(G3378*NOTAS!$B$2,2)</f>
        <v>18213.98</v>
      </c>
      <c r="I3378" s="6">
        <f>ROUND(G3378*NOTAS!$B$3,0)</f>
        <v>82034</v>
      </c>
      <c r="J3378" s="2" t="n">
        <v>1</v>
      </c>
    </row>
    <row r="3379">
      <c r="A3379" s="2" t="inlineStr">
        <is>
          <t>FI-1012</t>
        </is>
      </c>
      <c r="B3379" s="2" t="inlineStr">
        <is>
          <t>46307122-1</t>
        </is>
      </c>
      <c r="C3379" s="2" t="inlineStr">
        <is>
          <t>PUNTA DE TRIPOIDE F-PALIO/SIENA 1.6 22X22X52</t>
        </is>
      </c>
      <c r="D3379" s="2" t="inlineStr">
        <is>
          <t>ZUTAKA</t>
        </is>
      </c>
      <c r="E3379" s="3" t="n">
        <v>16</v>
      </c>
      <c r="F3379" s="4" t="n">
        <v>0.3</v>
      </c>
      <c r="G3379" s="5">
        <f>ROUND(E3379*(1+F3379),2)</f>
        <v>20.80</v>
      </c>
      <c r="H3379" s="5">
        <f>ROUND(G3379*NOTAS!$B$2,2)</f>
        <v>15003.99</v>
      </c>
      <c r="I3379" s="6">
        <f>ROUND(G3379*NOTAS!$B$3,0)</f>
        <v>67576</v>
      </c>
      <c r="J3379" s="2" t="n">
        <v>1</v>
      </c>
    </row>
    <row r="3380">
      <c r="A3380" s="2" t="inlineStr">
        <is>
          <t>FI50</t>
        </is>
      </c>
      <c r="B3380" s="2" t="inlineStr"/>
      <c r="C3380" s="2" t="inlineStr">
        <is>
          <t>PUNTA DE TRIPOIDE F-PALIO/SIENA 1.8 ECOSPORT 4X4</t>
        </is>
      </c>
      <c r="D3380" s="2" t="inlineStr">
        <is>
          <t>TITANIUM</t>
        </is>
      </c>
      <c r="E3380" s="3" t="n">
        <v>21.92</v>
      </c>
      <c r="F3380" s="4" t="n">
        <v>0.3</v>
      </c>
      <c r="G3380" s="5">
        <f>ROUND(E3380*(1+F3380),2)</f>
        <v>28.50</v>
      </c>
      <c r="H3380" s="5">
        <f>ROUND(G3380*NOTAS!$B$2,2)</f>
        <v>20558.35</v>
      </c>
      <c r="I3380" s="6">
        <f>ROUND(G3380*NOTAS!$B$3,0)</f>
        <v>92593</v>
      </c>
      <c r="J3380" s="2" t="n">
        <v>2</v>
      </c>
    </row>
    <row r="3381">
      <c r="A3381" s="2" t="inlineStr">
        <is>
          <t>15-0002</t>
        </is>
      </c>
      <c r="B3381" s="2" t="inlineStr"/>
      <c r="C3381" s="2" t="inlineStr">
        <is>
          <t>PUNTA DE TRIPOIDE F-REGATA/RITMO 25X22X48.1</t>
        </is>
      </c>
      <c r="D3381" s="2" t="inlineStr">
        <is>
          <t>METELLI</t>
        </is>
      </c>
      <c r="E3381" s="3" t="n">
        <v>20</v>
      </c>
      <c r="F3381" s="4" t="n">
        <v>0.3</v>
      </c>
      <c r="G3381" s="5">
        <f>ROUND(E3381*(1+F3381),2)</f>
        <v>26.00</v>
      </c>
      <c r="H3381" s="5">
        <f>ROUND(G3381*NOTAS!$B$2,2)</f>
        <v>18754.99</v>
      </c>
      <c r="I3381" s="6">
        <f>ROUND(G3381*NOTAS!$B$3,0)</f>
        <v>84471</v>
      </c>
      <c r="J3381" s="2" t="n">
        <v>2</v>
      </c>
    </row>
    <row r="3382">
      <c r="A3382" s="2" t="inlineStr">
        <is>
          <t>FI03</t>
        </is>
      </c>
      <c r="B3382" s="2" t="inlineStr"/>
      <c r="C3382" s="2" t="inlineStr">
        <is>
          <t>PUNTA DE TRIPOIDE F-REGATA/RITMO 25X22X48.1</t>
        </is>
      </c>
      <c r="D3382" s="2" t="inlineStr">
        <is>
          <t>TITANIUM</t>
        </is>
      </c>
      <c r="E3382" s="3" t="n">
        <v>20</v>
      </c>
      <c r="F3382" s="4" t="n">
        <v>0.3</v>
      </c>
      <c r="G3382" s="5">
        <f>ROUND(E3382*(1+F3382),2)</f>
        <v>26.00</v>
      </c>
      <c r="H3382" s="5">
        <f>ROUND(G3382*NOTAS!$B$2,2)</f>
        <v>18754.99</v>
      </c>
      <c r="I3382" s="6">
        <f>ROUND(G3382*NOTAS!$B$3,0)</f>
        <v>84471</v>
      </c>
      <c r="J3382" s="2" t="n">
        <v>2</v>
      </c>
    </row>
    <row r="3383">
      <c r="A3383" s="2" t="inlineStr">
        <is>
          <t>607-002</t>
        </is>
      </c>
      <c r="B3383" s="2" t="inlineStr"/>
      <c r="C3383" s="2" t="inlineStr">
        <is>
          <t>PUNTA DE TRIPOIDE F-REGATA/RITMO 25X22X48.1</t>
        </is>
      </c>
      <c r="D3383" s="2" t="inlineStr">
        <is>
          <t>CIFAM</t>
        </is>
      </c>
      <c r="E3383" s="3" t="n">
        <v>20</v>
      </c>
      <c r="F3383" s="4" t="n">
        <v>0.3</v>
      </c>
      <c r="G3383" s="5">
        <f>ROUND(E3383*(1+F3383),2)</f>
        <v>26.00</v>
      </c>
      <c r="H3383" s="5">
        <f>ROUND(G3383*NOTAS!$B$2,2)</f>
        <v>18754.99</v>
      </c>
      <c r="I3383" s="6">
        <f>ROUND(G3383*NOTAS!$B$3,0)</f>
        <v>84471</v>
      </c>
      <c r="J3383" s="2" t="n">
        <v>1</v>
      </c>
    </row>
    <row r="3384">
      <c r="A3384" s="2" t="inlineStr">
        <is>
          <t>15-0032</t>
        </is>
      </c>
      <c r="B3384" s="2" t="inlineStr"/>
      <c r="C3384" s="2" t="inlineStr">
        <is>
          <t>PUNTA DE TRIPOIDE F-TEMPRA 1.6</t>
        </is>
      </c>
      <c r="D3384" s="2" t="inlineStr">
        <is>
          <t>METELLI</t>
        </is>
      </c>
      <c r="E3384" s="3" t="n">
        <v>18</v>
      </c>
      <c r="F3384" s="4" t="n">
        <v>0.3</v>
      </c>
      <c r="G3384" s="5">
        <f>ROUND(E3384*(1+F3384),2)</f>
        <v>23.40</v>
      </c>
      <c r="H3384" s="5">
        <f>ROUND(G3384*NOTAS!$B$2,2)</f>
        <v>16879.49</v>
      </c>
      <c r="I3384" s="6">
        <f>ROUND(G3384*NOTAS!$B$3,0)</f>
        <v>76024</v>
      </c>
      <c r="J3384" s="2" t="n">
        <v>2</v>
      </c>
    </row>
    <row r="3385">
      <c r="A3385" s="2" t="inlineStr">
        <is>
          <t>FI32</t>
        </is>
      </c>
      <c r="B3385" s="2" t="inlineStr"/>
      <c r="C3385" s="2" t="inlineStr">
        <is>
          <t>PUNTA DE TRIPOIDE F-TEMPRA 1.8</t>
        </is>
      </c>
      <c r="D3385" s="2" t="inlineStr">
        <is>
          <t>TITANIUM</t>
        </is>
      </c>
      <c r="E3385" s="3" t="n">
        <v>18</v>
      </c>
      <c r="F3385" s="4" t="n">
        <v>0.3</v>
      </c>
      <c r="G3385" s="5">
        <f>ROUND(E3385*(1+F3385),2)</f>
        <v>23.40</v>
      </c>
      <c r="H3385" s="5">
        <f>ROUND(G3385*NOTAS!$B$2,2)</f>
        <v>16879.49</v>
      </c>
      <c r="I3385" s="6">
        <f>ROUND(G3385*NOTAS!$B$3,0)</f>
        <v>76024</v>
      </c>
      <c r="J3385" s="2" t="n">
        <v>2</v>
      </c>
    </row>
    <row r="3386">
      <c r="A3386" s="2" t="inlineStr">
        <is>
          <t>FI-1011</t>
        </is>
      </c>
      <c r="B3386" s="2" t="inlineStr">
        <is>
          <t>7081248-1</t>
        </is>
      </c>
      <c r="C3386" s="2" t="inlineStr">
        <is>
          <t>PUNTA DE TRIPOIDE F-UNO/PREMIO/PALIO 1.3 8V</t>
        </is>
      </c>
      <c r="D3386" s="2" t="inlineStr">
        <is>
          <t>ZUTAKA</t>
        </is>
      </c>
      <c r="E3386" s="3" t="n">
        <v>16</v>
      </c>
      <c r="F3386" s="4" t="n">
        <v>0.3</v>
      </c>
      <c r="G3386" s="5">
        <f>ROUND(E3386*(1+F3386),2)</f>
        <v>20.80</v>
      </c>
      <c r="H3386" s="5">
        <f>ROUND(G3386*NOTAS!$B$2,2)</f>
        <v>15003.99</v>
      </c>
      <c r="I3386" s="6">
        <f>ROUND(G3386*NOTAS!$B$3,0)</f>
        <v>67576</v>
      </c>
      <c r="J3386" s="2" t="n">
        <v>1</v>
      </c>
    </row>
    <row r="3387">
      <c r="A3387" s="2" t="inlineStr">
        <is>
          <t>TR0044</t>
        </is>
      </c>
      <c r="B3387" s="2" t="inlineStr">
        <is>
          <t>MZ01</t>
        </is>
      </c>
      <c r="C3387" s="2" t="inlineStr">
        <is>
          <t>PUNTA DE TRIPOIDE KIA RIO /323 22X24 RETEN INT</t>
        </is>
      </c>
      <c r="D3387" s="2" t="inlineStr">
        <is>
          <t>LUCAS VARITY</t>
        </is>
      </c>
      <c r="E3387" s="3" t="n">
        <v>16</v>
      </c>
      <c r="F3387" s="4" t="n">
        <v>0.3</v>
      </c>
      <c r="G3387" s="5">
        <f>ROUND(E3387*(1+F3387),2)</f>
        <v>20.80</v>
      </c>
      <c r="H3387" s="5">
        <f>ROUND(G3387*NOTAS!$B$2,2)</f>
        <v>15003.99</v>
      </c>
      <c r="I3387" s="6">
        <f>ROUND(G3387*NOTAS!$B$3,0)</f>
        <v>67576</v>
      </c>
      <c r="J3387" s="2" t="n">
        <v>3</v>
      </c>
    </row>
    <row r="3388">
      <c r="A3388" s="2" t="inlineStr">
        <is>
          <t>GM57</t>
        </is>
      </c>
      <c r="B3388" s="2" t="inlineStr"/>
      <c r="C3388" s="2" t="inlineStr">
        <is>
          <t>PUNTA DE TRIPOIDE LANOS/NUBIRA 1.6 22X22 RETEN INT</t>
        </is>
      </c>
      <c r="D3388" s="2" t="inlineStr">
        <is>
          <t>TITANIUM</t>
        </is>
      </c>
      <c r="E3388" s="3" t="n">
        <v>19</v>
      </c>
      <c r="F3388" s="4" t="n">
        <v>0.3</v>
      </c>
      <c r="G3388" s="5">
        <f>ROUND(E3388*(1+F3388),2)</f>
        <v>24.70</v>
      </c>
      <c r="H3388" s="5">
        <f>ROUND(G3388*NOTAS!$B$2,2)</f>
        <v>17817.24</v>
      </c>
      <c r="I3388" s="6">
        <f>ROUND(G3388*NOTAS!$B$3,0)</f>
        <v>80247</v>
      </c>
      <c r="J3388" s="2" t="n">
        <v>3</v>
      </c>
    </row>
    <row r="3389">
      <c r="A3389" s="2" t="inlineStr">
        <is>
          <t>GM57</t>
        </is>
      </c>
      <c r="B3389" s="2" t="inlineStr"/>
      <c r="C3389" s="2" t="inlineStr">
        <is>
          <t>PUNTA DE TRIPOIDE LANOS/NUBIRA 1.6 22X22 RETEN INT SIN GOMA</t>
        </is>
      </c>
      <c r="D3389" s="2" t="inlineStr">
        <is>
          <t>TITANIUM</t>
        </is>
      </c>
      <c r="E3389" s="3" t="n">
        <v>16</v>
      </c>
      <c r="F3389" s="4" t="n">
        <v>0.3</v>
      </c>
      <c r="G3389" s="5">
        <f>ROUND(E3389*(1+F3389),2)</f>
        <v>20.80</v>
      </c>
      <c r="H3389" s="5">
        <f>ROUND(G3389*NOTAS!$B$2,2)</f>
        <v>15003.99</v>
      </c>
      <c r="I3389" s="6">
        <f>ROUND(G3389*NOTAS!$B$3,0)</f>
        <v>67576</v>
      </c>
      <c r="J3389" s="2" t="n">
        <v>2</v>
      </c>
    </row>
    <row r="3390">
      <c r="A3390" s="2" t="inlineStr">
        <is>
          <t>TR0083</t>
        </is>
      </c>
      <c r="B3390" s="2" t="inlineStr">
        <is>
          <t>GM58A</t>
        </is>
      </c>
      <c r="C3390" s="2" t="inlineStr">
        <is>
          <t>PUNTA DE TRIPOIDE LANOS/NUBIRA 1.6 DOBLE LEVA 22X33 RETEN INT CON ABS</t>
        </is>
      </c>
      <c r="D3390" s="2" t="inlineStr">
        <is>
          <t>DEVIGILI</t>
        </is>
      </c>
      <c r="E3390" s="3" t="n">
        <v>16</v>
      </c>
      <c r="F3390" s="4" t="n">
        <v>0.3</v>
      </c>
      <c r="G3390" s="5">
        <f>ROUND(E3390*(1+F3390),2)</f>
        <v>20.80</v>
      </c>
      <c r="H3390" s="5">
        <f>ROUND(G3390*NOTAS!$B$2,2)</f>
        <v>15003.99</v>
      </c>
      <c r="I3390" s="6">
        <f>ROUND(G3390*NOTAS!$B$3,0)</f>
        <v>67576</v>
      </c>
      <c r="J3390" s="2" t="n">
        <v>2</v>
      </c>
    </row>
    <row r="3391">
      <c r="A3391" s="2" t="inlineStr">
        <is>
          <t>GM58</t>
        </is>
      </c>
      <c r="B3391" s="2" t="inlineStr"/>
      <c r="C3391" s="2" t="inlineStr">
        <is>
          <t>PUNTA DE TRIPOIDE LANOS/NUBIRA 1.6 DOBLE LEVA 22X33 RETEN INT SIN ABS</t>
        </is>
      </c>
      <c r="D3391" s="2" t="inlineStr">
        <is>
          <t>TITANIUM</t>
        </is>
      </c>
      <c r="E3391" s="3" t="n">
        <v>20</v>
      </c>
      <c r="F3391" s="4" t="n">
        <v>0.3</v>
      </c>
      <c r="G3391" s="5">
        <f>ROUND(E3391*(1+F3391),2)</f>
        <v>26.00</v>
      </c>
      <c r="H3391" s="5">
        <f>ROUND(G3391*NOTAS!$B$2,2)</f>
        <v>18754.99</v>
      </c>
      <c r="I3391" s="6">
        <f>ROUND(G3391*NOTAS!$B$3,0)</f>
        <v>84471</v>
      </c>
      <c r="J3391" s="2" t="n">
        <v>1</v>
      </c>
    </row>
    <row r="3392">
      <c r="A3392" s="2" t="inlineStr">
        <is>
          <t>TR0105</t>
        </is>
      </c>
      <c r="B3392" s="2" t="inlineStr"/>
      <c r="C3392" s="2" t="inlineStr">
        <is>
          <t>PUNTA DE TRIPOIDE MERIVA/MOTANA/CORSA 1.8 23X22X52 CON ABS</t>
        </is>
      </c>
      <c r="D3392" s="2" t="inlineStr">
        <is>
          <t>DEVIGILI</t>
        </is>
      </c>
      <c r="E3392" s="3" t="n">
        <v>16</v>
      </c>
      <c r="F3392" s="4" t="n">
        <v>0.3</v>
      </c>
      <c r="G3392" s="5">
        <f>ROUND(E3392*(1+F3392),2)</f>
        <v>20.80</v>
      </c>
      <c r="H3392" s="5">
        <f>ROUND(G3392*NOTAS!$B$2,2)</f>
        <v>15003.99</v>
      </c>
      <c r="I3392" s="6">
        <f>ROUND(G3392*NOTAS!$B$3,0)</f>
        <v>67576</v>
      </c>
      <c r="J3392" s="2" t="n">
        <v>1</v>
      </c>
    </row>
    <row r="3393">
      <c r="A3393" s="2" t="inlineStr">
        <is>
          <t>TR0028</t>
        </is>
      </c>
      <c r="B3393" s="2" t="inlineStr">
        <is>
          <t>GM90A</t>
        </is>
      </c>
      <c r="C3393" s="2" t="inlineStr">
        <is>
          <t>PUNTA DE TRIPOIDE OPTRA AUTOMATICO CON ABS</t>
        </is>
      </c>
      <c r="D3393" s="2" t="inlineStr">
        <is>
          <t>LUCAS VARITY</t>
        </is>
      </c>
      <c r="E3393" s="3" t="n">
        <v>17.18</v>
      </c>
      <c r="F3393" s="4" t="n">
        <v>0.3</v>
      </c>
      <c r="G3393" s="5">
        <f>ROUND(E3393*(1+F3393),2)</f>
        <v>22.33</v>
      </c>
      <c r="H3393" s="5">
        <f>ROUND(G3393*NOTAS!$B$2,2)</f>
        <v>16107.65</v>
      </c>
      <c r="I3393" s="6">
        <f>ROUND(G3393*NOTAS!$B$3,0)</f>
        <v>72547</v>
      </c>
      <c r="J3393" s="2" t="n">
        <v>5</v>
      </c>
    </row>
    <row r="3394">
      <c r="A3394" s="2" t="inlineStr">
        <is>
          <t>TR0085</t>
        </is>
      </c>
      <c r="B3394" s="2" t="inlineStr">
        <is>
          <t>GM100A</t>
        </is>
      </c>
      <c r="C3394" s="2" t="inlineStr">
        <is>
          <t>PUNTA DE TRIPOIDE OPTRA SINCRONICO CON ABS</t>
        </is>
      </c>
      <c r="D3394" s="2" t="inlineStr">
        <is>
          <t>LUCAS VARITY</t>
        </is>
      </c>
      <c r="E3394" s="3" t="n">
        <v>17</v>
      </c>
      <c r="F3394" s="4" t="n">
        <v>0.3</v>
      </c>
      <c r="G3394" s="5">
        <f>ROUND(E3394*(1+F3394),2)</f>
        <v>22.10</v>
      </c>
      <c r="H3394" s="5">
        <f>ROUND(G3394*NOTAS!$B$2,2)</f>
        <v>15941.74</v>
      </c>
      <c r="I3394" s="6">
        <f>ROUND(G3394*NOTAS!$B$3,0)</f>
        <v>71800</v>
      </c>
      <c r="J3394" s="2" t="n">
        <v>6</v>
      </c>
    </row>
    <row r="3395">
      <c r="A3395" s="2" t="inlineStr">
        <is>
          <t>TI607085</t>
        </is>
      </c>
      <c r="B3395" s="2" t="inlineStr"/>
      <c r="C3395" s="2" t="inlineStr">
        <is>
          <t>PUNTA DE TRIPOIDE R-18/FUEGO EJE FINO 29X23X56.3</t>
        </is>
      </c>
      <c r="D3395" s="2" t="inlineStr">
        <is>
          <t>TITANIUM</t>
        </is>
      </c>
      <c r="E3395" s="3" t="n">
        <v>9</v>
      </c>
      <c r="F3395" s="4" t="n">
        <v>0.3</v>
      </c>
      <c r="G3395" s="5">
        <f>ROUND(E3395*(1+F3395),2)</f>
        <v>11.70</v>
      </c>
      <c r="H3395" s="5">
        <f>ROUND(G3395*NOTAS!$B$2,2)</f>
        <v>8439.74</v>
      </c>
      <c r="I3395" s="6">
        <f>ROUND(G3395*NOTAS!$B$3,0)</f>
        <v>38012</v>
      </c>
      <c r="J3395" s="2" t="n">
        <v>9</v>
      </c>
    </row>
    <row r="3396">
      <c r="A3396" s="2" t="inlineStr">
        <is>
          <t>TI607082</t>
        </is>
      </c>
      <c r="B3396" s="2" t="inlineStr"/>
      <c r="C3396" s="2" t="inlineStr">
        <is>
          <t>PUNTA DE TRIPOIDE R-18/FUEGO EJE GRUESO</t>
        </is>
      </c>
      <c r="D3396" s="2" t="inlineStr">
        <is>
          <t>TITANIUM</t>
        </is>
      </c>
      <c r="E3396" s="3" t="n">
        <v>15</v>
      </c>
      <c r="F3396" s="4" t="n">
        <v>0.3</v>
      </c>
      <c r="G3396" s="5">
        <f>ROUND(E3396*(1+F3396),2)</f>
        <v>19.50</v>
      </c>
      <c r="H3396" s="5">
        <f>ROUND(G3396*NOTAS!$B$2,2)</f>
        <v>14066.24</v>
      </c>
      <c r="I3396" s="6">
        <f>ROUND(G3396*NOTAS!$B$3,0)</f>
        <v>63353</v>
      </c>
      <c r="J3396" s="2" t="n">
        <v>6</v>
      </c>
    </row>
    <row r="3397">
      <c r="A3397" s="2" t="inlineStr">
        <is>
          <t>TR0054</t>
        </is>
      </c>
      <c r="B3397" s="2" t="inlineStr">
        <is>
          <t>TI607084</t>
        </is>
      </c>
      <c r="C3397" s="2" t="inlineStr">
        <is>
          <t>PUNTA DE TRIPOIDE R-19/SYMBOL RETEN EXT</t>
        </is>
      </c>
      <c r="D3397" s="2" t="inlineStr">
        <is>
          <t>LUCAS VARITY</t>
        </is>
      </c>
      <c r="E3397" s="3" t="n">
        <v>16.46</v>
      </c>
      <c r="F3397" s="4" t="n">
        <v>0.3</v>
      </c>
      <c r="G3397" s="5">
        <f>ROUND(E3397*(1+F3397),2)</f>
        <v>21.40</v>
      </c>
      <c r="H3397" s="5">
        <f>ROUND(G3397*NOTAS!$B$2,2)</f>
        <v>15436.80</v>
      </c>
      <c r="I3397" s="6">
        <f>ROUND(G3397*NOTAS!$B$3,0)</f>
        <v>69526</v>
      </c>
      <c r="J3397" s="2" t="n">
        <v>15</v>
      </c>
    </row>
    <row r="3398">
      <c r="A3398" s="2" t="inlineStr">
        <is>
          <t>GST-RN-S321</t>
        </is>
      </c>
      <c r="B3398" s="2" t="inlineStr"/>
      <c r="C3398" s="2" t="inlineStr">
        <is>
          <t>PUNTA DE TRIPOIDE R-KANGOO SINCRONICO RETEN EXT</t>
        </is>
      </c>
      <c r="D3398" s="2" t="inlineStr">
        <is>
          <t>SUPERTREN</t>
        </is>
      </c>
      <c r="E3398" s="3" t="n">
        <v>17</v>
      </c>
      <c r="F3398" s="4" t="n">
        <v>0.3</v>
      </c>
      <c r="G3398" s="5">
        <f>ROUND(E3398*(1+F3398),2)</f>
        <v>22.10</v>
      </c>
      <c r="H3398" s="5">
        <f>ROUND(G3398*NOTAS!$B$2,2)</f>
        <v>15941.74</v>
      </c>
      <c r="I3398" s="6">
        <f>ROUND(G3398*NOTAS!$B$3,0)</f>
        <v>71800</v>
      </c>
      <c r="J3398" s="2" t="n">
        <v>2</v>
      </c>
    </row>
    <row r="3399">
      <c r="A3399" s="2" t="inlineStr">
        <is>
          <t>TI607088</t>
        </is>
      </c>
      <c r="B3399" s="2" t="inlineStr"/>
      <c r="C3399" s="2" t="inlineStr">
        <is>
          <t>PUNTA DE TRIPOIDE R-LOGAN/CLIO 08/… ESTRIA GRUESA 21X21X55 RETEN INT</t>
        </is>
      </c>
      <c r="D3399" s="2" t="inlineStr">
        <is>
          <t>TITANIUM</t>
        </is>
      </c>
      <c r="E3399" s="3" t="n">
        <v>20</v>
      </c>
      <c r="F3399" s="4" t="n">
        <v>0.3</v>
      </c>
      <c r="G3399" s="5">
        <f>ROUND(E3399*(1+F3399),2)</f>
        <v>26.00</v>
      </c>
      <c r="H3399" s="5">
        <f>ROUND(G3399*NOTAS!$B$2,2)</f>
        <v>18754.99</v>
      </c>
      <c r="I3399" s="6">
        <f>ROUND(G3399*NOTAS!$B$3,0)</f>
        <v>84471</v>
      </c>
      <c r="J3399" s="2" t="n">
        <v>9</v>
      </c>
    </row>
    <row r="3400">
      <c r="A3400" s="2" t="inlineStr">
        <is>
          <t>GST-RN-S017</t>
        </is>
      </c>
      <c r="B3400" s="2" t="inlineStr"/>
      <c r="C3400" s="2" t="inlineStr">
        <is>
          <t>PUNTA DE TRIPOIDE R-MEGANE II/SCENIC 1.6 AUTOMATICA RETEN EXT</t>
        </is>
      </c>
      <c r="D3400" s="2" t="inlineStr">
        <is>
          <t>SUPERTREN</t>
        </is>
      </c>
      <c r="E3400" s="3" t="n">
        <v>17</v>
      </c>
      <c r="F3400" s="4" t="n">
        <v>0.3</v>
      </c>
      <c r="G3400" s="5">
        <f>ROUND(E3400*(1+F3400),2)</f>
        <v>22.10</v>
      </c>
      <c r="H3400" s="5">
        <f>ROUND(G3400*NOTAS!$B$2,2)</f>
        <v>15941.74</v>
      </c>
      <c r="I3400" s="6">
        <f>ROUND(G3400*NOTAS!$B$3,0)</f>
        <v>71800</v>
      </c>
      <c r="J3400" s="2" t="n">
        <v>2</v>
      </c>
    </row>
    <row r="3401">
      <c r="A3401" s="2" t="inlineStr">
        <is>
          <t>GST-RN-3205A</t>
        </is>
      </c>
      <c r="B3401" s="2" t="inlineStr"/>
      <c r="C3401" s="2" t="inlineStr">
        <is>
          <t>PUNTA DE TRIPOIDE R-MEGANE SINCRONICO CON ABS RETEN INT</t>
        </is>
      </c>
      <c r="D3401" s="2" t="inlineStr">
        <is>
          <t>SUPERTREN</t>
        </is>
      </c>
      <c r="E3401" s="3" t="n">
        <v>17</v>
      </c>
      <c r="F3401" s="4" t="n">
        <v>0.3</v>
      </c>
      <c r="G3401" s="5">
        <f>ROUND(E3401*(1+F3401),2)</f>
        <v>22.10</v>
      </c>
      <c r="H3401" s="5">
        <f>ROUND(G3401*NOTAS!$B$2,2)</f>
        <v>15941.74</v>
      </c>
      <c r="I3401" s="6">
        <f>ROUND(G3401*NOTAS!$B$3,0)</f>
        <v>71800</v>
      </c>
      <c r="J3401" s="2" t="n">
        <v>4</v>
      </c>
    </row>
    <row r="3402">
      <c r="A3402" s="2" t="inlineStr">
        <is>
          <t>TI607084A</t>
        </is>
      </c>
      <c r="B3402" s="2" t="inlineStr"/>
      <c r="C3402" s="2" t="inlineStr">
        <is>
          <t>PUNTA DE TRIPOIDE R-SYMBOL/MEGANE CON ABS 30X21X51.3 RETEN EXT</t>
        </is>
      </c>
      <c r="D3402" s="2" t="inlineStr">
        <is>
          <t>TITANIUM</t>
        </is>
      </c>
      <c r="E3402" s="3" t="n">
        <v>23</v>
      </c>
      <c r="F3402" s="4" t="n">
        <v>0.3</v>
      </c>
      <c r="G3402" s="5">
        <f>ROUND(E3402*(1+F3402),2)</f>
        <v>29.90</v>
      </c>
      <c r="H3402" s="5">
        <f>ROUND(G3402*NOTAS!$B$2,2)</f>
        <v>21568.23</v>
      </c>
      <c r="I3402" s="6">
        <f>ROUND(G3402*NOTAS!$B$3,0)</f>
        <v>97141</v>
      </c>
      <c r="J3402" s="2" t="n">
        <v>3</v>
      </c>
    </row>
    <row r="3403">
      <c r="A3403" s="2" t="inlineStr">
        <is>
          <t>TI607083</t>
        </is>
      </c>
      <c r="B3403" s="2" t="inlineStr"/>
      <c r="C3403" s="2" t="inlineStr">
        <is>
          <t xml:space="preserve">PUNTA DE TRIPOIDE R-SYMBOL/MEGANE SIN ABS 30X21X46 RETEN INT </t>
        </is>
      </c>
      <c r="D3403" s="2" t="inlineStr">
        <is>
          <t>TITANIUM</t>
        </is>
      </c>
      <c r="E3403" s="3" t="n">
        <v>20</v>
      </c>
      <c r="F3403" s="4" t="n">
        <v>0.3</v>
      </c>
      <c r="G3403" s="5">
        <f>ROUND(E3403*(1+F3403),2)</f>
        <v>26.00</v>
      </c>
      <c r="H3403" s="5">
        <f>ROUND(G3403*NOTAS!$B$2,2)</f>
        <v>18754.99</v>
      </c>
      <c r="I3403" s="6">
        <f>ROUND(G3403*NOTAS!$B$3,0)</f>
        <v>84471</v>
      </c>
      <c r="J3403" s="2" t="n">
        <v>6</v>
      </c>
    </row>
    <row r="3404">
      <c r="A3404" s="2" t="inlineStr">
        <is>
          <t>RN-1014</t>
        </is>
      </c>
      <c r="B3404" s="2" t="inlineStr">
        <is>
          <t>T1607083</t>
        </is>
      </c>
      <c r="C3404" s="2" t="inlineStr">
        <is>
          <t xml:space="preserve">PUNTA DE TRIPOIDE R-SYMBOL/MEGANE SIN ABS 30X21X46 RETEN INT </t>
        </is>
      </c>
      <c r="D3404" s="2" t="inlineStr">
        <is>
          <t>ESP</t>
        </is>
      </c>
      <c r="E3404" s="3" t="n">
        <v>17</v>
      </c>
      <c r="F3404" s="4" t="n">
        <v>0.3</v>
      </c>
      <c r="G3404" s="5">
        <f>ROUND(E3404*(1+F3404),2)</f>
        <v>22.10</v>
      </c>
      <c r="H3404" s="5">
        <f>ROUND(G3404*NOTAS!$B$2,2)</f>
        <v>15941.74</v>
      </c>
      <c r="I3404" s="6">
        <f>ROUND(G3404*NOTAS!$B$3,0)</f>
        <v>71800</v>
      </c>
      <c r="J3404" s="2" t="n">
        <v>4</v>
      </c>
    </row>
    <row r="3405">
      <c r="A3405" s="2" t="inlineStr">
        <is>
          <t>SK52</t>
        </is>
      </c>
      <c r="B3405" s="2" t="inlineStr"/>
      <c r="C3405" s="2" t="inlineStr">
        <is>
          <t>PUNTA DE TRIPOIDE SPARK/MATIZ 19X23X44</t>
        </is>
      </c>
      <c r="D3405" s="2" t="inlineStr">
        <is>
          <t>TITANIUM</t>
        </is>
      </c>
      <c r="E3405" s="3" t="n">
        <v>18</v>
      </c>
      <c r="F3405" s="4" t="n">
        <v>0.3</v>
      </c>
      <c r="G3405" s="5">
        <f>ROUND(E3405*(1+F3405),2)</f>
        <v>23.40</v>
      </c>
      <c r="H3405" s="5">
        <f>ROUND(G3405*NOTAS!$B$2,2)</f>
        <v>16879.49</v>
      </c>
      <c r="I3405" s="6">
        <f>ROUND(G3405*NOTAS!$B$3,0)</f>
        <v>76024</v>
      </c>
      <c r="J3405" s="2" t="n">
        <v>1</v>
      </c>
    </row>
    <row r="3406">
      <c r="A3406" s="2" t="inlineStr">
        <is>
          <t>OP010</t>
        </is>
      </c>
      <c r="B3406" s="2" t="inlineStr"/>
      <c r="C3406" s="2" t="inlineStr">
        <is>
          <t>PUNTA DE TRIPOIDE SPARK/MATIZ 19X23X44</t>
        </is>
      </c>
      <c r="D3406" s="2" t="inlineStr">
        <is>
          <t>ANGAB</t>
        </is>
      </c>
      <c r="E3406" s="3" t="n">
        <v>14.4</v>
      </c>
      <c r="F3406" s="4" t="n">
        <v>0.3</v>
      </c>
      <c r="G3406" s="5">
        <f>ROUND(E3406*(1+F3406),2)</f>
        <v>18.72</v>
      </c>
      <c r="H3406" s="5">
        <f>ROUND(G3406*NOTAS!$B$2,2)</f>
        <v>13503.59</v>
      </c>
      <c r="I3406" s="6">
        <f>ROUND(G3406*NOTAS!$B$3,0)</f>
        <v>60819</v>
      </c>
      <c r="J3406" s="2" t="n">
        <v>1</v>
      </c>
    </row>
    <row r="3407">
      <c r="A3407" s="2" t="inlineStr">
        <is>
          <t>TR0007</t>
        </is>
      </c>
      <c r="B3407" s="2" t="inlineStr"/>
      <c r="C3407" s="2" t="inlineStr">
        <is>
          <t>PUNTA DE TRIPOIDE SPARK/MATIZ 19X23X44</t>
        </is>
      </c>
      <c r="D3407" s="2" t="inlineStr">
        <is>
          <t>DEVIGILI</t>
        </is>
      </c>
      <c r="E3407" s="3" t="n">
        <v>14.71</v>
      </c>
      <c r="F3407" s="4" t="n">
        <v>0.3</v>
      </c>
      <c r="G3407" s="5">
        <f>ROUND(E3407*(1+F3407),2)</f>
        <v>19.12</v>
      </c>
      <c r="H3407" s="5">
        <f>ROUND(G3407*NOTAS!$B$2,2)</f>
        <v>13792.13</v>
      </c>
      <c r="I3407" s="6">
        <f>ROUND(G3407*NOTAS!$B$3,0)</f>
        <v>62118</v>
      </c>
      <c r="J3407" s="2" t="n">
        <v>1</v>
      </c>
    </row>
    <row r="3408">
      <c r="A3408" s="2" t="inlineStr">
        <is>
          <t>SK22</t>
        </is>
      </c>
      <c r="B3408" s="2" t="inlineStr"/>
      <c r="C3408" s="2" t="inlineStr">
        <is>
          <t>PUNTA DE TRIPOIDE SWIFT 1.3 92/94 19X23X49</t>
        </is>
      </c>
      <c r="D3408" s="2" t="inlineStr">
        <is>
          <t>TITANIUM</t>
        </is>
      </c>
      <c r="E3408" s="3" t="n">
        <v>18</v>
      </c>
      <c r="F3408" s="4" t="n">
        <v>0.3</v>
      </c>
      <c r="G3408" s="5">
        <f>ROUND(E3408*(1+F3408),2)</f>
        <v>23.40</v>
      </c>
      <c r="H3408" s="5">
        <f>ROUND(G3408*NOTAS!$B$2,2)</f>
        <v>16879.49</v>
      </c>
      <c r="I3408" s="6">
        <f>ROUND(G3408*NOTAS!$B$3,0)</f>
        <v>76024</v>
      </c>
      <c r="J3408" s="2" t="n">
        <v>1</v>
      </c>
    </row>
    <row r="3409">
      <c r="A3409" s="2" t="inlineStr">
        <is>
          <t>TR0037</t>
        </is>
      </c>
      <c r="B3409" s="2" t="inlineStr">
        <is>
          <t>SK30</t>
        </is>
      </c>
      <c r="C3409" s="2" t="inlineStr">
        <is>
          <t>PUNTA DE TRIPOIDE SWIFT 1.6 22X23X49</t>
        </is>
      </c>
      <c r="D3409" s="2" t="inlineStr">
        <is>
          <t>DEVIGILI</t>
        </is>
      </c>
      <c r="E3409" s="3" t="n">
        <v>16</v>
      </c>
      <c r="F3409" s="4" t="n">
        <v>0.3</v>
      </c>
      <c r="G3409" s="5">
        <f>ROUND(E3409*(1+F3409),2)</f>
        <v>20.80</v>
      </c>
      <c r="H3409" s="5">
        <f>ROUND(G3409*NOTAS!$B$2,2)</f>
        <v>15003.99</v>
      </c>
      <c r="I3409" s="6">
        <f>ROUND(G3409*NOTAS!$B$3,0)</f>
        <v>67576</v>
      </c>
      <c r="J3409" s="2" t="n">
        <v>2</v>
      </c>
    </row>
    <row r="3410">
      <c r="A3410" s="2" t="inlineStr">
        <is>
          <t>SK30</t>
        </is>
      </c>
      <c r="B3410" s="2" t="inlineStr"/>
      <c r="C3410" s="2" t="inlineStr">
        <is>
          <t>PUNTA DE TRIPOIDE SWIFT 1.6 22X23X49</t>
        </is>
      </c>
      <c r="D3410" s="2" t="inlineStr">
        <is>
          <t>TITANIUM</t>
        </is>
      </c>
      <c r="E3410" s="3" t="n">
        <v>21</v>
      </c>
      <c r="F3410" s="4" t="n">
        <v>0.3</v>
      </c>
      <c r="G3410" s="5">
        <f>ROUND(E3410*(1+F3410),2)</f>
        <v>27.30</v>
      </c>
      <c r="H3410" s="5">
        <f>ROUND(G3410*NOTAS!$B$2,2)</f>
        <v>19692.73</v>
      </c>
      <c r="I3410" s="6">
        <f>ROUND(G3410*NOTAS!$B$3,0)</f>
        <v>88694</v>
      </c>
      <c r="J3410" s="2" t="n">
        <v>2</v>
      </c>
    </row>
    <row r="3411">
      <c r="A3411" s="2" t="inlineStr">
        <is>
          <t>606-252</t>
        </is>
      </c>
      <c r="B3411" s="2" t="inlineStr"/>
      <c r="C3411" s="2" t="inlineStr">
        <is>
          <t>PUNTA DE TRIPOIDE SWIFT 1.6 22X23X49 falta tuerca</t>
        </is>
      </c>
      <c r="D3411" s="2" t="inlineStr">
        <is>
          <t>CIFAM</t>
        </is>
      </c>
      <c r="E3411" s="3" t="n">
        <v>19</v>
      </c>
      <c r="F3411" s="4" t="n">
        <v>0.3</v>
      </c>
      <c r="G3411" s="5">
        <f>ROUND(E3411*(1+F3411),2)</f>
        <v>24.70</v>
      </c>
      <c r="H3411" s="5">
        <f>ROUND(G3411*NOTAS!$B$2,2)</f>
        <v>17817.24</v>
      </c>
      <c r="I3411" s="6">
        <f>ROUND(G3411*NOTAS!$B$3,0)</f>
        <v>80247</v>
      </c>
      <c r="J3411" s="2" t="n">
        <v>1</v>
      </c>
    </row>
    <row r="3412">
      <c r="A3412" s="2" t="inlineStr">
        <is>
          <t>96535151</t>
        </is>
      </c>
      <c r="B3412" s="2" t="inlineStr"/>
      <c r="C3412" s="2" t="inlineStr">
        <is>
          <t>PUNTA EJE TRASERA AVEO</t>
        </is>
      </c>
      <c r="D3412" s="2" t="inlineStr">
        <is>
          <t>GM</t>
        </is>
      </c>
      <c r="E3412" s="3" t="n">
        <v>30.7692</v>
      </c>
      <c r="F3412" s="4" t="n">
        <v>0.3</v>
      </c>
      <c r="G3412" s="5">
        <f>ROUND(E3412*(1+F3412),2)</f>
        <v>40.00</v>
      </c>
      <c r="H3412" s="5">
        <f>ROUND(G3412*NOTAS!$B$2,2)</f>
        <v>28853.82</v>
      </c>
      <c r="I3412" s="6">
        <f>ROUND(G3412*NOTAS!$B$3,0)</f>
        <v>129955</v>
      </c>
      <c r="J3412" s="2" t="n">
        <v>1</v>
      </c>
    </row>
    <row r="3413">
      <c r="A3413" s="2" t="inlineStr">
        <is>
          <t>93266897</t>
        </is>
      </c>
      <c r="B3413" s="2" t="inlineStr"/>
      <c r="C3413" s="2" t="inlineStr">
        <is>
          <t>PUNTA EJE TRASERA CORSA</t>
        </is>
      </c>
      <c r="D3413" s="2" t="inlineStr">
        <is>
          <t>GM</t>
        </is>
      </c>
      <c r="E3413" s="3" t="n">
        <v>29.2308</v>
      </c>
      <c r="F3413" s="4" t="n">
        <v>0.3</v>
      </c>
      <c r="G3413" s="5">
        <f>ROUND(E3413*(1+F3413),2)</f>
        <v>38.00</v>
      </c>
      <c r="H3413" s="5">
        <f>ROUND(G3413*NOTAS!$B$2,2)</f>
        <v>27411.13</v>
      </c>
      <c r="I3413" s="6">
        <f>ROUND(G3413*NOTAS!$B$3,0)</f>
        <v>123457</v>
      </c>
      <c r="J3413" s="2" t="n">
        <v>1</v>
      </c>
    </row>
    <row r="3414">
      <c r="A3414" s="2" t="inlineStr">
        <is>
          <t>93313695</t>
        </is>
      </c>
      <c r="B3414" s="2" t="inlineStr"/>
      <c r="C3414" s="2" t="inlineStr">
        <is>
          <t>PURIFICADOR COMPLETO CORSA</t>
        </is>
      </c>
      <c r="D3414" s="2" t="inlineStr">
        <is>
          <t>GM</t>
        </is>
      </c>
      <c r="E3414" s="3" t="n">
        <v>15.3846</v>
      </c>
      <c r="F3414" s="4" t="n">
        <v>0.3</v>
      </c>
      <c r="G3414" s="5">
        <f>ROUND(E3414*(1+F3414),2)</f>
        <v>20.00</v>
      </c>
      <c r="H3414" s="5">
        <f>ROUND(G3414*NOTAS!$B$2,2)</f>
        <v>14426.91</v>
      </c>
      <c r="I3414" s="6">
        <f>ROUND(G3414*NOTAS!$B$3,0)</f>
        <v>64977</v>
      </c>
      <c r="J3414" s="2" t="n">
        <v>1</v>
      </c>
    </row>
    <row r="3415">
      <c r="A3415" s="2" t="inlineStr">
        <is>
          <t>732639</t>
        </is>
      </c>
      <c r="B3415" s="2" t="inlineStr"/>
      <c r="C3415" s="2" t="inlineStr">
        <is>
          <t>RADIADOR TAPA ROSCA F-UNO/PREMIO 85/99</t>
        </is>
      </c>
      <c r="D3415" s="2" t="inlineStr">
        <is>
          <t>VALEO</t>
        </is>
      </c>
      <c r="E3415" s="3" t="n">
        <v>6.1538</v>
      </c>
      <c r="F3415" s="4" t="n">
        <v>0.3</v>
      </c>
      <c r="G3415" s="5">
        <f>ROUND(E3415*(1+F3415),2)</f>
        <v>8.00</v>
      </c>
      <c r="H3415" s="5">
        <f>ROUND(G3415*NOTAS!$B$2,2)</f>
        <v>5770.76</v>
      </c>
      <c r="I3415" s="6">
        <f>ROUND(G3415*NOTAS!$B$3,0)</f>
        <v>25991</v>
      </c>
      <c r="J3415" s="2" t="n">
        <v>1</v>
      </c>
    </row>
    <row r="3416">
      <c r="A3416" s="2" t="inlineStr">
        <is>
          <t>21248-L</t>
        </is>
      </c>
      <c r="B3416" s="2" t="inlineStr"/>
      <c r="C3416" s="2" t="inlineStr">
        <is>
          <t>RAMPA DE LUBRICACION LUBRICADOR 5TA CAJA SINCRONICA R-MEGANE/CLIO/SYMBOL</t>
        </is>
      </c>
      <c r="D3416" s="2" t="inlineStr">
        <is>
          <t>AEQUIPE</t>
        </is>
      </c>
      <c r="E3416" s="3" t="n">
        <v>13.8462</v>
      </c>
      <c r="F3416" s="4" t="n">
        <v>0.3</v>
      </c>
      <c r="G3416" s="5">
        <f>ROUND(E3416*(1+F3416),2)</f>
        <v>18.00</v>
      </c>
      <c r="H3416" s="5">
        <f>ROUND(G3416*NOTAS!$B$2,2)</f>
        <v>12984.22</v>
      </c>
      <c r="I3416" s="6">
        <f>ROUND(G3416*NOTAS!$B$3,0)</f>
        <v>58480</v>
      </c>
      <c r="J3416" s="2" t="n">
        <v>1</v>
      </c>
    </row>
    <row r="3417">
      <c r="A3417" s="2" t="inlineStr">
        <is>
          <t>R.CLI-808</t>
        </is>
      </c>
      <c r="B3417" s="2" t="inlineStr"/>
      <c r="C3417" s="2" t="inlineStr">
        <is>
          <t>RECIBIDOR MALETA R-SYMBOL/CLIO</t>
        </is>
      </c>
      <c r="D3417" s="2" t="inlineStr">
        <is>
          <t>TAKSIM GROUP</t>
        </is>
      </c>
      <c r="E3417" s="3" t="n">
        <v>7.6923</v>
      </c>
      <c r="F3417" s="4" t="n">
        <v>0.3</v>
      </c>
      <c r="G3417" s="5">
        <f>ROUND(E3417*(1+F3417),2)</f>
        <v>10.00</v>
      </c>
      <c r="H3417" s="5">
        <f>ROUND(G3417*NOTAS!$B$2,2)</f>
        <v>7213.46</v>
      </c>
      <c r="I3417" s="6">
        <f>ROUND(G3417*NOTAS!$B$3,0)</f>
        <v>32489</v>
      </c>
      <c r="J3417" s="2" t="n">
        <v>1</v>
      </c>
    </row>
    <row r="3418">
      <c r="A3418" s="2" t="inlineStr">
        <is>
          <t>52018018-A</t>
        </is>
      </c>
      <c r="B3418" s="2" t="inlineStr"/>
      <c r="C3418" s="2" t="inlineStr">
        <is>
          <t>REFRIGERANTE ACDELCO</t>
        </is>
      </c>
      <c r="D3418" s="2" t="inlineStr">
        <is>
          <t>ACDELCO</t>
        </is>
      </c>
      <c r="E3418" s="3" t="n">
        <v>7.6923</v>
      </c>
      <c r="F3418" s="4" t="n">
        <v>0.3</v>
      </c>
      <c r="G3418" s="5">
        <f>ROUND(E3418*(1+F3418),2)</f>
        <v>10.00</v>
      </c>
      <c r="H3418" s="5">
        <f>ROUND(G3418*NOTAS!$B$2,2)</f>
        <v>7213.46</v>
      </c>
      <c r="I3418" s="6">
        <f>ROUND(G3418*NOTAS!$B$3,0)</f>
        <v>32489</v>
      </c>
      <c r="J3418" s="2" t="n">
        <v>2</v>
      </c>
    </row>
    <row r="3419">
      <c r="A3419" s="2" t="inlineStr">
        <is>
          <t>88863334</t>
        </is>
      </c>
      <c r="B3419" s="2" t="inlineStr"/>
      <c r="C3419" s="2" t="inlineStr">
        <is>
          <t>REFRIGERANTE ACDELCO</t>
        </is>
      </c>
      <c r="D3419" s="2" t="inlineStr">
        <is>
          <t>ACDELCO</t>
        </is>
      </c>
      <c r="E3419" s="3" t="n">
        <v>7.6923</v>
      </c>
      <c r="F3419" s="4" t="n">
        <v>0.3</v>
      </c>
      <c r="G3419" s="5">
        <f>ROUND(E3419*(1+F3419),2)</f>
        <v>10.00</v>
      </c>
      <c r="H3419" s="5">
        <f>ROUND(G3419*NOTAS!$B$2,2)</f>
        <v>7213.46</v>
      </c>
      <c r="I3419" s="6">
        <f>ROUND(G3419*NOTAS!$B$3,0)</f>
        <v>32489</v>
      </c>
      <c r="J3419" s="2" t="n">
        <v>1</v>
      </c>
    </row>
    <row r="3420">
      <c r="A3420" s="2" t="inlineStr">
        <is>
          <t>9211Y3101</t>
        </is>
      </c>
      <c r="B3420" s="2" t="inlineStr"/>
      <c r="C3420" s="2" t="inlineStr">
        <is>
          <t>REFRIGERANTE CASTROL</t>
        </is>
      </c>
      <c r="D3420" s="2" t="inlineStr">
        <is>
          <t>CASTROL</t>
        </is>
      </c>
      <c r="E3420" s="3" t="n">
        <v>7.6923</v>
      </c>
      <c r="F3420" s="4" t="n">
        <v>0.3</v>
      </c>
      <c r="G3420" s="5">
        <f>ROUND(E3420*(1+F3420),2)</f>
        <v>10.00</v>
      </c>
      <c r="H3420" s="5">
        <f>ROUND(G3420*NOTAS!$B$2,2)</f>
        <v>7213.46</v>
      </c>
      <c r="I3420" s="6">
        <f>ROUND(G3420*NOTAS!$B$3,0)</f>
        <v>32489</v>
      </c>
      <c r="J3420" s="2" t="n">
        <v>14</v>
      </c>
    </row>
    <row r="3421">
      <c r="A3421" s="2" t="inlineStr">
        <is>
          <t>C1815</t>
        </is>
      </c>
      <c r="B3421" s="2" t="inlineStr"/>
      <c r="C3421" s="2" t="inlineStr">
        <is>
          <t>REGULADOR PRECION GASOLINA AVEO</t>
        </is>
      </c>
      <c r="D3421" s="2" t="inlineStr">
        <is>
          <t>FP</t>
        </is>
      </c>
      <c r="E3421" s="3" t="n">
        <v>18.43</v>
      </c>
      <c r="F3421" s="4" t="n">
        <v>0.3</v>
      </c>
      <c r="G3421" s="5">
        <f>ROUND(E3421*(1+F3421),2)</f>
        <v>23.96</v>
      </c>
      <c r="H3421" s="5">
        <f>ROUND(G3421*NOTAS!$B$2,2)</f>
        <v>17283.44</v>
      </c>
      <c r="I3421" s="6">
        <f>ROUND(G3421*NOTAS!$B$3,0)</f>
        <v>77843</v>
      </c>
      <c r="J3421" s="2" t="n">
        <v>2</v>
      </c>
    </row>
    <row r="3422">
      <c r="A3422" s="2" t="inlineStr">
        <is>
          <t>96423299</t>
        </is>
      </c>
      <c r="B3422" s="2" t="inlineStr"/>
      <c r="C3422" s="2" t="inlineStr">
        <is>
          <t>REGULADOR PRECION GASOLINA AVEO</t>
        </is>
      </c>
      <c r="D3422" s="2" t="inlineStr">
        <is>
          <t>GM</t>
        </is>
      </c>
      <c r="E3422" s="3" t="n">
        <v>5.47</v>
      </c>
      <c r="F3422" s="4" t="n">
        <v>0.3</v>
      </c>
      <c r="G3422" s="5">
        <f>ROUND(E3422*(1+F3422),2)</f>
        <v>7.11</v>
      </c>
      <c r="H3422" s="5">
        <f>ROUND(G3422*NOTAS!$B$2,2)</f>
        <v>5128.77</v>
      </c>
      <c r="I3422" s="6">
        <f>ROUND(G3422*NOTAS!$B$3,0)</f>
        <v>23099</v>
      </c>
      <c r="J3422" s="2" t="n">
        <v>1</v>
      </c>
    </row>
    <row r="3423">
      <c r="A3423" s="2" t="inlineStr">
        <is>
          <t>PRD00001</t>
        </is>
      </c>
      <c r="B3423" s="2" t="inlineStr"/>
      <c r="C3423" s="2" t="inlineStr">
        <is>
          <t>REGULADOR PRECION GASOLINA CORSA 3.0 BAR</t>
        </is>
      </c>
      <c r="D3423" s="2" t="inlineStr">
        <is>
          <t>DELPHI</t>
        </is>
      </c>
      <c r="E3423" s="3" t="n">
        <v>15.3846</v>
      </c>
      <c r="F3423" s="4" t="n">
        <v>0.3</v>
      </c>
      <c r="G3423" s="5">
        <f>ROUND(E3423*(1+F3423),2)</f>
        <v>20.00</v>
      </c>
      <c r="H3423" s="5">
        <f>ROUND(G3423*NOTAS!$B$2,2)</f>
        <v>14426.91</v>
      </c>
      <c r="I3423" s="6">
        <f>ROUND(G3423*NOTAS!$B$3,0)</f>
        <v>64977</v>
      </c>
      <c r="J3423" s="2" t="n">
        <v>1</v>
      </c>
    </row>
    <row r="3424">
      <c r="A3424" s="2" t="inlineStr">
        <is>
          <t>96184769</t>
        </is>
      </c>
      <c r="B3424" s="2" t="inlineStr"/>
      <c r="C3424" s="2" t="inlineStr">
        <is>
          <t>REGULADOR PRECION GASOLINA CORSA/SPARK/FIESTA</t>
        </is>
      </c>
      <c r="D3424" s="2" t="inlineStr">
        <is>
          <t>GM</t>
        </is>
      </c>
      <c r="E3424" s="3" t="n">
        <v>5.35</v>
      </c>
      <c r="F3424" s="4" t="n">
        <v>0.3</v>
      </c>
      <c r="G3424" s="5">
        <f>ROUND(E3424*(1+F3424),2)</f>
        <v>6.96</v>
      </c>
      <c r="H3424" s="5">
        <f>ROUND(G3424*NOTAS!$B$2,2)</f>
        <v>5020.57</v>
      </c>
      <c r="I3424" s="6">
        <f>ROUND(G3424*NOTAS!$B$3,0)</f>
        <v>22612</v>
      </c>
      <c r="J3424" s="2" t="n">
        <v>1</v>
      </c>
    </row>
    <row r="3425">
      <c r="A3425" s="2" t="inlineStr">
        <is>
          <t>C1826</t>
        </is>
      </c>
      <c r="B3425" s="2" t="inlineStr"/>
      <c r="C3425" s="2" t="inlineStr">
        <is>
          <t>REGULADOR PRECION GASOLINA CORSA/SPARK/FIESTA</t>
        </is>
      </c>
      <c r="D3425" s="2" t="inlineStr">
        <is>
          <t>FP</t>
        </is>
      </c>
      <c r="E3425" s="3" t="n">
        <v>14.5</v>
      </c>
      <c r="F3425" s="4" t="n">
        <v>0.3</v>
      </c>
      <c r="G3425" s="5">
        <f>ROUND(E3425*(1+F3425),2)</f>
        <v>18.85</v>
      </c>
      <c r="H3425" s="5">
        <f>ROUND(G3425*NOTAS!$B$2,2)</f>
        <v>13597.36</v>
      </c>
      <c r="I3425" s="6">
        <f>ROUND(G3425*NOTAS!$B$3,0)</f>
        <v>61241</v>
      </c>
      <c r="J3425" s="2" t="n">
        <v>2</v>
      </c>
    </row>
    <row r="3426">
      <c r="A3426" s="2" t="inlineStr"/>
      <c r="B3426" s="2" t="inlineStr"/>
      <c r="C3426" s="2" t="inlineStr">
        <is>
          <t>REJILLA CAPOT IZQUIERDA R-11</t>
        </is>
      </c>
      <c r="D3426" s="2" t="inlineStr"/>
      <c r="E3426" s="3" t="n">
        <v>9.2308</v>
      </c>
      <c r="F3426" s="4" t="n">
        <v>0.3</v>
      </c>
      <c r="G3426" s="5">
        <f>ROUND(E3426*(1+F3426),2)</f>
        <v>12.00</v>
      </c>
      <c r="H3426" s="5">
        <f>ROUND(G3426*NOTAS!$B$2,2)</f>
        <v>8656.15</v>
      </c>
      <c r="I3426" s="6">
        <f>ROUND(G3426*NOTAS!$B$3,0)</f>
        <v>38986</v>
      </c>
      <c r="J3426" s="2" t="n">
        <v>3</v>
      </c>
    </row>
    <row r="3427">
      <c r="A3427" s="2" t="inlineStr">
        <is>
          <t>P94580644</t>
        </is>
      </c>
      <c r="B3427" s="2" t="inlineStr"/>
      <c r="C3427" s="2" t="inlineStr">
        <is>
          <t>RELAY BOMBA GASOLINA CIELO</t>
        </is>
      </c>
      <c r="D3427" s="2" t="inlineStr">
        <is>
          <t>KOREA</t>
        </is>
      </c>
      <c r="E3427" s="3" t="n">
        <v>6.1538</v>
      </c>
      <c r="F3427" s="4" t="n">
        <v>0.3</v>
      </c>
      <c r="G3427" s="5">
        <f>ROUND(E3427*(1+F3427),2)</f>
        <v>8.00</v>
      </c>
      <c r="H3427" s="5">
        <f>ROUND(G3427*NOTAS!$B$2,2)</f>
        <v>5770.76</v>
      </c>
      <c r="I3427" s="6">
        <f>ROUND(G3427*NOTAS!$B$3,0)</f>
        <v>25991</v>
      </c>
      <c r="J3427" s="2" t="n">
        <v>3</v>
      </c>
    </row>
    <row r="3428">
      <c r="A3428" s="2" t="inlineStr">
        <is>
          <t>90987-02004</t>
        </is>
      </c>
      <c r="B3428" s="2" t="inlineStr"/>
      <c r="C3428" s="2" t="inlineStr">
        <is>
          <t xml:space="preserve">RELAY ELECTROVENTILADOR COROLLA AVILA ARALLA </t>
        </is>
      </c>
      <c r="D3428" s="2" t="inlineStr"/>
      <c r="E3428" s="3" t="n">
        <v>6.1538</v>
      </c>
      <c r="F3428" s="4" t="n">
        <v>0.3</v>
      </c>
      <c r="G3428" s="5">
        <f>ROUND(E3428*(1+F3428),2)</f>
        <v>8.00</v>
      </c>
      <c r="H3428" s="5">
        <f>ROUND(G3428*NOTAS!$B$2,2)</f>
        <v>5770.76</v>
      </c>
      <c r="I3428" s="6">
        <f>ROUND(G3428*NOTAS!$B$3,0)</f>
        <v>25991</v>
      </c>
      <c r="J3428" s="2" t="n">
        <v>2</v>
      </c>
    </row>
    <row r="3429">
      <c r="A3429" s="2" t="inlineStr">
        <is>
          <t>P94580684</t>
        </is>
      </c>
      <c r="B3429" s="2" t="inlineStr"/>
      <c r="C3429" s="2" t="inlineStr">
        <is>
          <t>RELAY LUCES CIELO</t>
        </is>
      </c>
      <c r="D3429" s="2" t="inlineStr">
        <is>
          <t>KOREA</t>
        </is>
      </c>
      <c r="E3429" s="3" t="n">
        <v>6.1538</v>
      </c>
      <c r="F3429" s="4" t="n">
        <v>0.3</v>
      </c>
      <c r="G3429" s="5">
        <f>ROUND(E3429*(1+F3429),2)</f>
        <v>8.00</v>
      </c>
      <c r="H3429" s="5">
        <f>ROUND(G3429*NOTAS!$B$2,2)</f>
        <v>5770.76</v>
      </c>
      <c r="I3429" s="6">
        <f>ROUND(G3429*NOTAS!$B$3,0)</f>
        <v>25991</v>
      </c>
      <c r="J3429" s="2" t="n">
        <v>2</v>
      </c>
    </row>
    <row r="3430">
      <c r="A3430" s="2" t="inlineStr">
        <is>
          <t>905015</t>
        </is>
      </c>
      <c r="B3430" s="2" t="inlineStr">
        <is>
          <t>4M359A819AA</t>
        </is>
      </c>
      <c r="C3430" s="2" t="inlineStr">
        <is>
          <t>RESISTENCIA ELECTROVENTILADOR FIESTA/KA</t>
        </is>
      </c>
      <c r="D3430" s="2" t="inlineStr">
        <is>
          <t>FORD</t>
        </is>
      </c>
      <c r="E3430" s="3" t="n">
        <v>11.5385</v>
      </c>
      <c r="F3430" s="4" t="n">
        <v>0.3</v>
      </c>
      <c r="G3430" s="5">
        <f>ROUND(E3430*(1+F3430),2)</f>
        <v>15.00</v>
      </c>
      <c r="H3430" s="5">
        <f>ROUND(G3430*NOTAS!$B$2,2)</f>
        <v>10820.18</v>
      </c>
      <c r="I3430" s="6">
        <f>ROUND(G3430*NOTAS!$B$3,0)</f>
        <v>48733</v>
      </c>
      <c r="J3430" s="2" t="n">
        <v>1</v>
      </c>
    </row>
    <row r="3431">
      <c r="A3431" s="2" t="inlineStr">
        <is>
          <t>96353128</t>
        </is>
      </c>
      <c r="B3431" s="2" t="inlineStr"/>
      <c r="C3431" s="2" t="inlineStr">
        <is>
          <t>RESORTE VALVULA CIELO/LANOS/CORSA</t>
        </is>
      </c>
      <c r="D3431" s="2" t="inlineStr">
        <is>
          <t>GM</t>
        </is>
      </c>
      <c r="E3431" s="3" t="n">
        <v>7.6923</v>
      </c>
      <c r="F3431" s="4" t="n">
        <v>0.3</v>
      </c>
      <c r="G3431" s="5">
        <f>ROUND(E3431*(1+F3431),2)</f>
        <v>10.00</v>
      </c>
      <c r="H3431" s="5">
        <f>ROUND(G3431*NOTAS!$B$2,2)</f>
        <v>7213.46</v>
      </c>
      <c r="I3431" s="6">
        <f>ROUND(G3431*NOTAS!$B$3,0)</f>
        <v>32489</v>
      </c>
      <c r="J3431" s="2" t="n">
        <v>9</v>
      </c>
    </row>
    <row r="3432">
      <c r="A3432" s="2" t="inlineStr"/>
      <c r="B3432" s="2" t="inlineStr"/>
      <c r="C3432" s="2" t="inlineStr">
        <is>
          <t>RETROVISOR COMPLETO DERECHO CHEVETTE</t>
        </is>
      </c>
      <c r="D3432" s="2" t="inlineStr">
        <is>
          <t>METAGAL</t>
        </is>
      </c>
      <c r="E3432" s="3" t="n">
        <v>19.2308</v>
      </c>
      <c r="F3432" s="4" t="n">
        <v>0.3</v>
      </c>
      <c r="G3432" s="5">
        <f>ROUND(E3432*(1+F3432),2)</f>
        <v>25.00</v>
      </c>
      <c r="H3432" s="5">
        <f>ROUND(G3432*NOTAS!$B$2,2)</f>
        <v>18033.64</v>
      </c>
      <c r="I3432" s="6">
        <f>ROUND(G3432*NOTAS!$B$3,0)</f>
        <v>81222</v>
      </c>
      <c r="J3432" s="2" t="n">
        <v>1</v>
      </c>
    </row>
    <row r="3433">
      <c r="A3433" s="2" t="inlineStr">
        <is>
          <t>96082860</t>
        </is>
      </c>
      <c r="B3433" s="2" t="inlineStr"/>
      <c r="C3433" s="2" t="inlineStr">
        <is>
          <t>RETROVISOR COMPLETO DERECHO CIELO</t>
        </is>
      </c>
      <c r="D3433" s="2" t="inlineStr">
        <is>
          <t>KOREA</t>
        </is>
      </c>
      <c r="E3433" s="3" t="n">
        <v>16.9231</v>
      </c>
      <c r="F3433" s="4" t="n">
        <v>0.3</v>
      </c>
      <c r="G3433" s="5">
        <f>ROUND(E3433*(1+F3433),2)</f>
        <v>22.00</v>
      </c>
      <c r="H3433" s="5">
        <f>ROUND(G3433*NOTAS!$B$2,2)</f>
        <v>15869.60</v>
      </c>
      <c r="I3433" s="6">
        <f>ROUND(G3433*NOTAS!$B$3,0)</f>
        <v>71475</v>
      </c>
      <c r="J3433" s="2" t="n">
        <v>1</v>
      </c>
    </row>
    <row r="3434">
      <c r="A3434" s="2" t="inlineStr"/>
      <c r="B3434" s="2" t="inlineStr"/>
      <c r="C3434" s="2" t="inlineStr">
        <is>
          <t>RETROVISOR COMPLETO IZQUIERDO CHEVETTE</t>
        </is>
      </c>
      <c r="D3434" s="2" t="inlineStr">
        <is>
          <t>METAGAL</t>
        </is>
      </c>
      <c r="E3434" s="3" t="n">
        <v>19.2308</v>
      </c>
      <c r="F3434" s="4" t="n">
        <v>0.3</v>
      </c>
      <c r="G3434" s="5">
        <f>ROUND(E3434*(1+F3434),2)</f>
        <v>25.00</v>
      </c>
      <c r="H3434" s="5">
        <f>ROUND(G3434*NOTAS!$B$2,2)</f>
        <v>18033.64</v>
      </c>
      <c r="I3434" s="6">
        <f>ROUND(G3434*NOTAS!$B$3,0)</f>
        <v>81222</v>
      </c>
      <c r="J3434" s="2" t="n">
        <v>1</v>
      </c>
    </row>
    <row r="3435">
      <c r="A3435" s="2" t="inlineStr"/>
      <c r="B3435" s="2" t="inlineStr"/>
      <c r="C3435" s="2" t="inlineStr">
        <is>
          <t>RETROVISOR COMPLETO IZQUIERDO CORSA 00/06</t>
        </is>
      </c>
      <c r="D3435" s="2" t="inlineStr">
        <is>
          <t>COFRAN</t>
        </is>
      </c>
      <c r="E3435" s="3" t="n">
        <v>21.5385</v>
      </c>
      <c r="F3435" s="4" t="n">
        <v>0.3</v>
      </c>
      <c r="G3435" s="5">
        <f>ROUND(E3435*(1+F3435),2)</f>
        <v>28.00</v>
      </c>
      <c r="H3435" s="5">
        <f>ROUND(G3435*NOTAS!$B$2,2)</f>
        <v>20197.68</v>
      </c>
      <c r="I3435" s="6">
        <f>ROUND(G3435*NOTAS!$B$3,0)</f>
        <v>90968</v>
      </c>
      <c r="J3435" s="2" t="n">
        <v>1</v>
      </c>
    </row>
    <row r="3436">
      <c r="A3436" s="2" t="inlineStr">
        <is>
          <t>E-1331</t>
        </is>
      </c>
      <c r="B3436" s="2" t="inlineStr"/>
      <c r="C3436" s="2" t="inlineStr">
        <is>
          <t>RETROVISOR COMPLETO IZQUIERDO F-PALIO/SIENA FIRE</t>
        </is>
      </c>
      <c r="D3436" s="2" t="inlineStr">
        <is>
          <t>SPJ</t>
        </is>
      </c>
      <c r="E3436" s="3" t="n">
        <v>23.0769</v>
      </c>
      <c r="F3436" s="4" t="n">
        <v>0.3</v>
      </c>
      <c r="G3436" s="5">
        <f>ROUND(E3436*(1+F3436),2)</f>
        <v>30.00</v>
      </c>
      <c r="H3436" s="5">
        <f>ROUND(G3436*NOTAS!$B$2,2)</f>
        <v>21640.37</v>
      </c>
      <c r="I3436" s="6">
        <f>ROUND(G3436*NOTAS!$B$3,0)</f>
        <v>97466</v>
      </c>
      <c r="J3436" s="2" t="n">
        <v>1</v>
      </c>
    </row>
    <row r="3437">
      <c r="A3437" s="2" t="inlineStr"/>
      <c r="B3437" s="2" t="inlineStr"/>
      <c r="C3437" s="2" t="inlineStr">
        <is>
          <t>RODILLO CANA DIRECCION CHEVETTE</t>
        </is>
      </c>
      <c r="D3437" s="2" t="inlineStr">
        <is>
          <t>GM</t>
        </is>
      </c>
      <c r="E3437" s="3" t="n">
        <v>11.5385</v>
      </c>
      <c r="F3437" s="4" t="n">
        <v>0.3</v>
      </c>
      <c r="G3437" s="5">
        <f>ROUND(E3437*(1+F3437),2)</f>
        <v>15.00</v>
      </c>
      <c r="H3437" s="5">
        <f>ROUND(G3437*NOTAS!$B$2,2)</f>
        <v>10820.18</v>
      </c>
      <c r="I3437" s="6">
        <f>ROUND(G3437*NOTAS!$B$3,0)</f>
        <v>48733</v>
      </c>
      <c r="J3437" s="2" t="n">
        <v>1</v>
      </c>
    </row>
    <row r="3438">
      <c r="A3438" s="2" t="inlineStr">
        <is>
          <t>7703090312</t>
        </is>
      </c>
      <c r="B3438" s="2" t="inlineStr"/>
      <c r="C3438" s="2" t="inlineStr">
        <is>
          <t>RODILLO CANASTILLA CAJA R-11</t>
        </is>
      </c>
      <c r="D3438" s="2" t="inlineStr"/>
      <c r="E3438" s="3" t="n">
        <v>11.5385</v>
      </c>
      <c r="F3438" s="4" t="n">
        <v>0.3</v>
      </c>
      <c r="G3438" s="5">
        <f>ROUND(E3438*(1+F3438),2)</f>
        <v>15.00</v>
      </c>
      <c r="H3438" s="5">
        <f>ROUND(G3438*NOTAS!$B$2,2)</f>
        <v>10820.18</v>
      </c>
      <c r="I3438" s="6">
        <f>ROUND(G3438*NOTAS!$B$3,0)</f>
        <v>48733</v>
      </c>
      <c r="J3438" s="2" t="n">
        <v>1</v>
      </c>
    </row>
    <row r="3439">
      <c r="A3439" s="2" t="inlineStr">
        <is>
          <t>HK-1512</t>
        </is>
      </c>
      <c r="B3439" s="2" t="inlineStr"/>
      <c r="C3439" s="2" t="inlineStr">
        <is>
          <t>RODILLO CIGUENAL CHEVETTE</t>
        </is>
      </c>
      <c r="D3439" s="2" t="inlineStr">
        <is>
          <t>INA</t>
        </is>
      </c>
      <c r="E3439" s="3" t="n">
        <v>11.5385</v>
      </c>
      <c r="F3439" s="4" t="n">
        <v>0.3</v>
      </c>
      <c r="G3439" s="5">
        <f>ROUND(E3439*(1+F3439),2)</f>
        <v>15.00</v>
      </c>
      <c r="H3439" s="5">
        <f>ROUND(G3439*NOTAS!$B$2,2)</f>
        <v>10820.18</v>
      </c>
      <c r="I3439" s="6">
        <f>ROUND(G3439*NOTAS!$B$3,0)</f>
        <v>48733</v>
      </c>
      <c r="J3439" s="2" t="n">
        <v>8</v>
      </c>
    </row>
    <row r="3440">
      <c r="A3440" s="2" t="inlineStr">
        <is>
          <t>375940097</t>
        </is>
      </c>
      <c r="B3440" s="2" t="inlineStr"/>
      <c r="C3440" s="2" t="inlineStr">
        <is>
          <t>RODILLO PUENTE TRASERO R-19/MEGAME</t>
        </is>
      </c>
      <c r="D3440" s="2" t="inlineStr">
        <is>
          <t>NBC</t>
        </is>
      </c>
      <c r="E3440" s="3" t="n">
        <v>11.5385</v>
      </c>
      <c r="F3440" s="4" t="n">
        <v>0.3</v>
      </c>
      <c r="G3440" s="5">
        <f>ROUND(E3440*(1+F3440),2)</f>
        <v>15.00</v>
      </c>
      <c r="H3440" s="5">
        <f>ROUND(G3440*NOTAS!$B$2,2)</f>
        <v>10820.18</v>
      </c>
      <c r="I3440" s="6">
        <f>ROUND(G3440*NOTAS!$B$3,0)</f>
        <v>48733</v>
      </c>
      <c r="J3440" s="2" t="n">
        <v>1</v>
      </c>
    </row>
    <row r="3441">
      <c r="A3441" s="2" t="inlineStr">
        <is>
          <t>6306</t>
        </is>
      </c>
      <c r="B3441" s="2" t="inlineStr"/>
      <c r="C3441" s="2" t="inlineStr">
        <is>
          <t>ROLINERA 30X72X19</t>
        </is>
      </c>
      <c r="D3441" s="2" t="inlineStr">
        <is>
          <t>IRB</t>
        </is>
      </c>
      <c r="E3441" s="3" t="n">
        <v>6.1538</v>
      </c>
      <c r="F3441" s="4" t="n">
        <v>0.3</v>
      </c>
      <c r="G3441" s="5">
        <f>ROUND(E3441*(1+F3441),2)</f>
        <v>8.00</v>
      </c>
      <c r="H3441" s="5">
        <f>ROUND(G3441*NOTAS!$B$2,2)</f>
        <v>5770.76</v>
      </c>
      <c r="I3441" s="6">
        <f>ROUND(G3441*NOTAS!$B$3,0)</f>
        <v>25991</v>
      </c>
      <c r="J3441" s="2" t="n">
        <v>2</v>
      </c>
    </row>
    <row r="3442">
      <c r="A3442" s="2" t="inlineStr">
        <is>
          <t>6000-2RSH/C3</t>
        </is>
      </c>
      <c r="B3442" s="2" t="inlineStr"/>
      <c r="C3442" s="2" t="inlineStr">
        <is>
          <t>ROLINERA 6000</t>
        </is>
      </c>
      <c r="D3442" s="2" t="inlineStr">
        <is>
          <t>SKF</t>
        </is>
      </c>
      <c r="E3442" s="3" t="n">
        <v>3.0769</v>
      </c>
      <c r="F3442" s="4" t="n">
        <v>0.3</v>
      </c>
      <c r="G3442" s="5">
        <f>ROUND(E3442*(1+F3442),2)</f>
        <v>4.00</v>
      </c>
      <c r="H3442" s="5">
        <f>ROUND(G3442*NOTAS!$B$2,2)</f>
        <v>2885.38</v>
      </c>
      <c r="I3442" s="6">
        <f>ROUND(G3442*NOTAS!$B$3,0)</f>
        <v>12995</v>
      </c>
      <c r="J3442" s="2" t="n">
        <v>6</v>
      </c>
    </row>
    <row r="3443">
      <c r="A3443" s="2" t="inlineStr">
        <is>
          <t>6203-2RSH/C3</t>
        </is>
      </c>
      <c r="B3443" s="2" t="inlineStr"/>
      <c r="C3443" s="2" t="inlineStr">
        <is>
          <t>ROLINERA 6203</t>
        </is>
      </c>
      <c r="D3443" s="2" t="inlineStr">
        <is>
          <t>SKF</t>
        </is>
      </c>
      <c r="E3443" s="3" t="n">
        <v>3.8462</v>
      </c>
      <c r="F3443" s="4" t="n">
        <v>0.3</v>
      </c>
      <c r="G3443" s="5">
        <f>ROUND(E3443*(1+F3443),2)</f>
        <v>5.00</v>
      </c>
      <c r="H3443" s="5">
        <f>ROUND(G3443*NOTAS!$B$2,2)</f>
        <v>3606.73</v>
      </c>
      <c r="I3443" s="6">
        <f>ROUND(G3443*NOTAS!$B$3,0)</f>
        <v>16244</v>
      </c>
      <c r="J3443" s="2" t="n">
        <v>2</v>
      </c>
    </row>
    <row r="3444">
      <c r="A3444" s="2" t="inlineStr">
        <is>
          <t>6203 2RS</t>
        </is>
      </c>
      <c r="B3444" s="2" t="inlineStr"/>
      <c r="C3444" s="2" t="inlineStr">
        <is>
          <t>ROLINERA 6203</t>
        </is>
      </c>
      <c r="D3444" s="2" t="inlineStr">
        <is>
          <t xml:space="preserve">LUCAS  </t>
        </is>
      </c>
      <c r="E3444" s="3" t="n">
        <v>3.8462</v>
      </c>
      <c r="F3444" s="4" t="n">
        <v>0.3</v>
      </c>
      <c r="G3444" s="5">
        <f>ROUND(E3444*(1+F3444),2)</f>
        <v>5.00</v>
      </c>
      <c r="H3444" s="5">
        <f>ROUND(G3444*NOTAS!$B$2,2)</f>
        <v>3606.73</v>
      </c>
      <c r="I3444" s="6">
        <f>ROUND(G3444*NOTAS!$B$3,0)</f>
        <v>16244</v>
      </c>
      <c r="J3444" s="2" t="n">
        <v>1</v>
      </c>
    </row>
    <row r="3445">
      <c r="A3445" s="2" t="inlineStr">
        <is>
          <t>6303-2RSH-C3</t>
        </is>
      </c>
      <c r="B3445" s="2" t="inlineStr"/>
      <c r="C3445" s="2" t="inlineStr">
        <is>
          <t>ROLINERA 6303</t>
        </is>
      </c>
      <c r="D3445" s="2" t="inlineStr">
        <is>
          <t>SKF</t>
        </is>
      </c>
      <c r="E3445" s="3" t="n">
        <v>3.8462</v>
      </c>
      <c r="F3445" s="4" t="n">
        <v>0.3</v>
      </c>
      <c r="G3445" s="5">
        <f>ROUND(E3445*(1+F3445),2)</f>
        <v>5.00</v>
      </c>
      <c r="H3445" s="5">
        <f>ROUND(G3445*NOTAS!$B$2,2)</f>
        <v>3606.73</v>
      </c>
      <c r="I3445" s="6">
        <f>ROUND(G3445*NOTAS!$B$3,0)</f>
        <v>16244</v>
      </c>
      <c r="J3445" s="2" t="n">
        <v>2</v>
      </c>
    </row>
    <row r="3446">
      <c r="A3446" s="2" t="inlineStr">
        <is>
          <t>5999970</t>
        </is>
      </c>
      <c r="B3446" s="2" t="inlineStr"/>
      <c r="C3446" s="2" t="inlineStr">
        <is>
          <t>ROLINERA AGUJA CAJA 1RA F-PALIO/SIENA</t>
        </is>
      </c>
      <c r="D3446" s="2" t="inlineStr">
        <is>
          <t>ITALY</t>
        </is>
      </c>
      <c r="E3446" s="3" t="n">
        <v>6.1538</v>
      </c>
      <c r="F3446" s="4" t="n">
        <v>0.3</v>
      </c>
      <c r="G3446" s="5">
        <f>ROUND(E3446*(1+F3446),2)</f>
        <v>8.00</v>
      </c>
      <c r="H3446" s="5">
        <f>ROUND(G3446*NOTAS!$B$2,2)</f>
        <v>5770.76</v>
      </c>
      <c r="I3446" s="6">
        <f>ROUND(G3446*NOTAS!$B$3,0)</f>
        <v>25991</v>
      </c>
      <c r="J3446" s="2" t="n">
        <v>1</v>
      </c>
    </row>
    <row r="3447">
      <c r="A3447" s="2" t="inlineStr">
        <is>
          <t>7703090312</t>
        </is>
      </c>
      <c r="B3447" s="2" t="inlineStr"/>
      <c r="C3447" s="2" t="inlineStr">
        <is>
          <t>ROLINERA AGUJA CAJA 5TA R-11/19/CLIO</t>
        </is>
      </c>
      <c r="D3447" s="2" t="inlineStr">
        <is>
          <t>TAKSIM GROUP</t>
        </is>
      </c>
      <c r="E3447" s="3" t="n">
        <v>6.1538</v>
      </c>
      <c r="F3447" s="4" t="n">
        <v>0.3</v>
      </c>
      <c r="G3447" s="5">
        <f>ROUND(E3447*(1+F3447),2)</f>
        <v>8.00</v>
      </c>
      <c r="H3447" s="5">
        <f>ROUND(G3447*NOTAS!$B$2,2)</f>
        <v>5770.76</v>
      </c>
      <c r="I3447" s="6">
        <f>ROUND(G3447*NOTAS!$B$3,0)</f>
        <v>25991</v>
      </c>
      <c r="J3447" s="2" t="n">
        <v>1</v>
      </c>
    </row>
    <row r="3448">
      <c r="A3448" s="2" t="inlineStr"/>
      <c r="B3448" s="2" t="inlineStr"/>
      <c r="C3448" s="2" t="inlineStr">
        <is>
          <t>ROLINERA BASE AMORTIGUADOR DELANTERA FIESTA 04/13-ECOSPORT</t>
        </is>
      </c>
      <c r="D3448" s="2" t="inlineStr">
        <is>
          <t>BSB</t>
        </is>
      </c>
      <c r="E3448" s="3" t="n">
        <v>12.3077</v>
      </c>
      <c r="F3448" s="4" t="n">
        <v>0.3</v>
      </c>
      <c r="G3448" s="5">
        <f>ROUND(E3448*(1+F3448),2)</f>
        <v>16.00</v>
      </c>
      <c r="H3448" s="5">
        <f>ROUND(G3448*NOTAS!$B$2,2)</f>
        <v>11541.53</v>
      </c>
      <c r="I3448" s="6">
        <f>ROUND(G3448*NOTAS!$B$3,0)</f>
        <v>51982</v>
      </c>
      <c r="J3448" s="2" t="n">
        <v>1</v>
      </c>
    </row>
    <row r="3449">
      <c r="A3449" s="2" t="inlineStr">
        <is>
          <t>F-225554.5</t>
        </is>
      </c>
      <c r="B3449" s="2" t="inlineStr"/>
      <c r="C3449" s="2" t="inlineStr">
        <is>
          <t>ROLINERA BASE AMORTIGUADOR DELANTERA FIESTA/KA</t>
        </is>
      </c>
      <c r="D3449" s="2" t="inlineStr">
        <is>
          <t>INA</t>
        </is>
      </c>
      <c r="E3449" s="3" t="n">
        <v>6.3</v>
      </c>
      <c r="F3449" s="4" t="n">
        <v>0.3</v>
      </c>
      <c r="G3449" s="5">
        <f>ROUND(E3449*(1+F3449),2)</f>
        <v>8.19</v>
      </c>
      <c r="H3449" s="5">
        <f>ROUND(G3449*NOTAS!$B$2,2)</f>
        <v>5907.82</v>
      </c>
      <c r="I3449" s="6">
        <f>ROUND(G3449*NOTAS!$B$3,0)</f>
        <v>26608</v>
      </c>
      <c r="J3449" s="2" t="n">
        <v>7</v>
      </c>
    </row>
    <row r="3450">
      <c r="A3450" s="2" t="inlineStr">
        <is>
          <t>CA006</t>
        </is>
      </c>
      <c r="B3450" s="2" t="inlineStr"/>
      <c r="C3450" s="2" t="inlineStr">
        <is>
          <t>ROLINERA BASE AMORTIGUADOR DELANTERA F-TEMPRA</t>
        </is>
      </c>
      <c r="D3450" s="2" t="inlineStr">
        <is>
          <t>CORAM</t>
        </is>
      </c>
      <c r="E3450" s="3" t="n">
        <v>11.5385</v>
      </c>
      <c r="F3450" s="4" t="n">
        <v>0.3</v>
      </c>
      <c r="G3450" s="5">
        <f>ROUND(E3450*(1+F3450),2)</f>
        <v>15.00</v>
      </c>
      <c r="H3450" s="5">
        <f>ROUND(G3450*NOTAS!$B$2,2)</f>
        <v>10820.18</v>
      </c>
      <c r="I3450" s="6">
        <f>ROUND(G3450*NOTAS!$B$3,0)</f>
        <v>48733</v>
      </c>
      <c r="J3450" s="2" t="n">
        <v>2</v>
      </c>
    </row>
    <row r="3451">
      <c r="A3451" s="2" t="inlineStr"/>
      <c r="B3451" s="2" t="inlineStr"/>
      <c r="C3451" s="2" t="inlineStr">
        <is>
          <t>ROLINERA BASE AMORTIGUADOR DELANTERO OPTRA</t>
        </is>
      </c>
      <c r="D3451" s="2" t="inlineStr">
        <is>
          <t>INA</t>
        </is>
      </c>
      <c r="E3451" s="3" t="n">
        <v>11.5385</v>
      </c>
      <c r="F3451" s="4" t="n">
        <v>0.3</v>
      </c>
      <c r="G3451" s="5">
        <f>ROUND(E3451*(1+F3451),2)</f>
        <v>15.00</v>
      </c>
      <c r="H3451" s="5">
        <f>ROUND(G3451*NOTAS!$B$2,2)</f>
        <v>10820.18</v>
      </c>
      <c r="I3451" s="6">
        <f>ROUND(G3451*NOTAS!$B$3,0)</f>
        <v>48733</v>
      </c>
      <c r="J3451" s="2" t="n">
        <v>8</v>
      </c>
    </row>
    <row r="3452">
      <c r="A3452" s="2" t="inlineStr">
        <is>
          <t>M259.01</t>
        </is>
      </c>
      <c r="B3452" s="2" t="inlineStr"/>
      <c r="C3452" s="2" t="inlineStr">
        <is>
          <t>ROLINERA BASE AMORTIGUADOR R-11/19</t>
        </is>
      </c>
      <c r="D3452" s="2" t="inlineStr">
        <is>
          <t>SNR</t>
        </is>
      </c>
      <c r="E3452" s="3" t="n">
        <v>6</v>
      </c>
      <c r="F3452" s="4" t="n">
        <v>0.3</v>
      </c>
      <c r="G3452" s="5">
        <f>ROUND(E3452*(1+F3452),2)</f>
        <v>7.80</v>
      </c>
      <c r="H3452" s="5">
        <f>ROUND(G3452*NOTAS!$B$2,2)</f>
        <v>5626.50</v>
      </c>
      <c r="I3452" s="6">
        <f>ROUND(G3452*NOTAS!$B$3,0)</f>
        <v>25341</v>
      </c>
      <c r="J3452" s="2" t="n">
        <v>3</v>
      </c>
    </row>
    <row r="3453">
      <c r="A3453" s="2" t="inlineStr"/>
      <c r="B3453" s="2" t="inlineStr"/>
      <c r="C3453" s="2" t="inlineStr">
        <is>
          <t>ROLINERA BASE AMORTIGUADOR R-SYMBOL</t>
        </is>
      </c>
      <c r="D3453" s="2" t="inlineStr"/>
      <c r="E3453" s="3" t="n">
        <v>3.5</v>
      </c>
      <c r="F3453" s="4" t="n">
        <v>0.3</v>
      </c>
      <c r="G3453" s="5">
        <f>ROUND(E3453*(1+F3453),2)</f>
        <v>4.55</v>
      </c>
      <c r="H3453" s="5">
        <f>ROUND(G3453*NOTAS!$B$2,2)</f>
        <v>3282.12</v>
      </c>
      <c r="I3453" s="6">
        <f>ROUND(G3453*NOTAS!$B$3,0)</f>
        <v>14782</v>
      </c>
      <c r="J3453" s="2" t="n">
        <v>1</v>
      </c>
    </row>
    <row r="3454">
      <c r="A3454" s="2" t="inlineStr">
        <is>
          <t>5033888</t>
        </is>
      </c>
      <c r="B3454" s="2" t="inlineStr">
        <is>
          <t>E92Z-7025-AB</t>
        </is>
      </c>
      <c r="C3454" s="2" t="inlineStr">
        <is>
          <t>ROLINERA CAJA ECOSPORT</t>
        </is>
      </c>
      <c r="D3454" s="2" t="inlineStr">
        <is>
          <t>FORD</t>
        </is>
      </c>
      <c r="E3454" s="3" t="n">
        <v>9.2308</v>
      </c>
      <c r="F3454" s="4" t="n">
        <v>0.3</v>
      </c>
      <c r="G3454" s="5">
        <f>ROUND(E3454*(1+F3454),2)</f>
        <v>12.00</v>
      </c>
      <c r="H3454" s="5">
        <f>ROUND(G3454*NOTAS!$B$2,2)</f>
        <v>8656.15</v>
      </c>
      <c r="I3454" s="6">
        <f>ROUND(G3454*NOTAS!$B$3,0)</f>
        <v>38986</v>
      </c>
      <c r="J3454" s="2" t="n">
        <v>2</v>
      </c>
    </row>
    <row r="3455">
      <c r="A3455" s="2" t="inlineStr">
        <is>
          <t>1737033</t>
        </is>
      </c>
      <c r="B3455" s="2" t="inlineStr">
        <is>
          <t>96WT7025B3A</t>
        </is>
      </c>
      <c r="C3455" s="2" t="inlineStr">
        <is>
          <t>ROLINERA CAJA FIESTA/ECOSPORT 28X68X19</t>
        </is>
      </c>
      <c r="D3455" s="2" t="inlineStr">
        <is>
          <t>FORD</t>
        </is>
      </c>
      <c r="E3455" s="3" t="n">
        <v>7.6923</v>
      </c>
      <c r="F3455" s="4" t="n">
        <v>0.3</v>
      </c>
      <c r="G3455" s="5">
        <f>ROUND(E3455*(1+F3455),2)</f>
        <v>10.00</v>
      </c>
      <c r="H3455" s="5">
        <f>ROUND(G3455*NOTAS!$B$2,2)</f>
        <v>7213.46</v>
      </c>
      <c r="I3455" s="6">
        <f>ROUND(G3455*NOTAS!$B$3,0)</f>
        <v>32489</v>
      </c>
      <c r="J3455" s="2" t="n">
        <v>4</v>
      </c>
    </row>
    <row r="3456">
      <c r="A3456" s="2" t="inlineStr">
        <is>
          <t>F-110617.1</t>
        </is>
      </c>
      <c r="B3456" s="2" t="inlineStr"/>
      <c r="C3456" s="2" t="inlineStr">
        <is>
          <t>ROLINERA EJE PRIMARIO CAJA FIAT</t>
        </is>
      </c>
      <c r="D3456" s="2" t="inlineStr">
        <is>
          <t>INA</t>
        </is>
      </c>
      <c r="E3456" s="3" t="n">
        <v>15</v>
      </c>
      <c r="F3456" s="4" t="n">
        <v>0.3</v>
      </c>
      <c r="G3456" s="5">
        <f>ROUND(E3456*(1+F3456),2)</f>
        <v>19.50</v>
      </c>
      <c r="H3456" s="5">
        <f>ROUND(G3456*NOTAS!$B$2,2)</f>
        <v>14066.24</v>
      </c>
      <c r="I3456" s="6">
        <f>ROUND(G3456*NOTAS!$B$3,0)</f>
        <v>63353</v>
      </c>
      <c r="J3456" s="2" t="n">
        <v>3</v>
      </c>
    </row>
    <row r="3457">
      <c r="A3457" s="2" t="inlineStr">
        <is>
          <t>CS001</t>
        </is>
      </c>
      <c r="B3457" s="2" t="inlineStr"/>
      <c r="C3457" s="2" t="inlineStr">
        <is>
          <t>ROLINERA EJE PRIMARIO CAJA FIAT</t>
        </is>
      </c>
      <c r="D3457" s="2" t="inlineStr">
        <is>
          <t>CORAM</t>
        </is>
      </c>
      <c r="E3457" s="3" t="n">
        <v>12</v>
      </c>
      <c r="F3457" s="4" t="n">
        <v>0.3</v>
      </c>
      <c r="G3457" s="5">
        <f>ROUND(E3457*(1+F3457),2)</f>
        <v>15.60</v>
      </c>
      <c r="H3457" s="5">
        <f>ROUND(G3457*NOTAS!$B$2,2)</f>
        <v>11252.99</v>
      </c>
      <c r="I3457" s="6">
        <f>ROUND(G3457*NOTAS!$B$3,0)</f>
        <v>50682</v>
      </c>
      <c r="J3457" s="2" t="n">
        <v>1</v>
      </c>
    </row>
    <row r="3458">
      <c r="A3458" s="2" t="inlineStr">
        <is>
          <t>F-44348</t>
        </is>
      </c>
      <c r="B3458" s="2" t="inlineStr"/>
      <c r="C3458" s="2" t="inlineStr">
        <is>
          <t>ROLINERA GRANDE CAJA DIRECCION CHEVETTE</t>
        </is>
      </c>
      <c r="D3458" s="2" t="inlineStr">
        <is>
          <t>INA</t>
        </is>
      </c>
      <c r="E3458" s="3" t="n">
        <v>6</v>
      </c>
      <c r="F3458" s="4" t="n">
        <v>0.3</v>
      </c>
      <c r="G3458" s="5">
        <f>ROUND(E3458*(1+F3458),2)</f>
        <v>7.80</v>
      </c>
      <c r="H3458" s="5">
        <f>ROUND(G3458*NOTAS!$B$2,2)</f>
        <v>5626.50</v>
      </c>
      <c r="I3458" s="6">
        <f>ROUND(G3458*NOTAS!$B$3,0)</f>
        <v>25341</v>
      </c>
      <c r="J3458" s="2" t="n">
        <v>4</v>
      </c>
    </row>
    <row r="3459">
      <c r="A3459" s="2" t="inlineStr">
        <is>
          <t>F-110165,01</t>
        </is>
      </c>
      <c r="B3459" s="2" t="inlineStr"/>
      <c r="C3459" s="2" t="inlineStr">
        <is>
          <t>ROLINERA LATERAL CAJA TRIPOIDE F-UNO/PREMIO/PAL 23MM</t>
        </is>
      </c>
      <c r="D3459" s="2" t="inlineStr">
        <is>
          <t>INA</t>
        </is>
      </c>
      <c r="E3459" s="3" t="n">
        <v>11</v>
      </c>
      <c r="F3459" s="4" t="n">
        <v>0.3</v>
      </c>
      <c r="G3459" s="5">
        <f>ROUND(E3459*(1+F3459),2)</f>
        <v>14.30</v>
      </c>
      <c r="H3459" s="5">
        <f>ROUND(G3459*NOTAS!$B$2,2)</f>
        <v>10315.24</v>
      </c>
      <c r="I3459" s="6">
        <f>ROUND(G3459*NOTAS!$B$3,0)</f>
        <v>46459</v>
      </c>
      <c r="J3459" s="2" t="n">
        <v>9</v>
      </c>
    </row>
    <row r="3460">
      <c r="A3460" s="2" t="inlineStr">
        <is>
          <t>F-110731</t>
        </is>
      </c>
      <c r="B3460" s="2" t="inlineStr"/>
      <c r="C3460" s="2" t="inlineStr">
        <is>
          <t>ROLINERA LATERAL CAJA TRIPOIDE F-UNO/PREMIO/PAL 24MM</t>
        </is>
      </c>
      <c r="D3460" s="2" t="inlineStr">
        <is>
          <t>INA</t>
        </is>
      </c>
      <c r="E3460" s="3" t="n">
        <v>11</v>
      </c>
      <c r="F3460" s="4" t="n">
        <v>0.3</v>
      </c>
      <c r="G3460" s="5">
        <f>ROUND(E3460*(1+F3460),2)</f>
        <v>14.30</v>
      </c>
      <c r="H3460" s="5">
        <f>ROUND(G3460*NOTAS!$B$2,2)</f>
        <v>10315.24</v>
      </c>
      <c r="I3460" s="6">
        <f>ROUND(G3460*NOTAS!$B$3,0)</f>
        <v>46459</v>
      </c>
      <c r="J3460" s="2" t="n">
        <v>17</v>
      </c>
    </row>
    <row r="3461">
      <c r="A3461" s="2" t="inlineStr"/>
      <c r="B3461" s="2" t="inlineStr"/>
      <c r="C3461" s="2" t="inlineStr">
        <is>
          <t>ROLINERA LATERAL CAJA TRIPOIDE RENAULT</t>
        </is>
      </c>
      <c r="D3461" s="2" t="inlineStr">
        <is>
          <t>INA</t>
        </is>
      </c>
      <c r="E3461" s="3" t="n">
        <v>11</v>
      </c>
      <c r="F3461" s="4" t="n">
        <v>0.3</v>
      </c>
      <c r="G3461" s="5">
        <f>ROUND(E3461*(1+F3461),2)</f>
        <v>14.30</v>
      </c>
      <c r="H3461" s="5">
        <f>ROUND(G3461*NOTAS!$B$2,2)</f>
        <v>10315.24</v>
      </c>
      <c r="I3461" s="6">
        <f>ROUND(G3461*NOTAS!$B$3,0)</f>
        <v>46459</v>
      </c>
      <c r="J3461" s="2" t="n">
        <v>2</v>
      </c>
    </row>
    <row r="3462">
      <c r="A3462" s="2" t="inlineStr">
        <is>
          <t>F-44349</t>
        </is>
      </c>
      <c r="B3462" s="2" t="inlineStr"/>
      <c r="C3462" s="2" t="inlineStr">
        <is>
          <t>ROLINERA PEQUEÑA CAJA DIRECCION CHEVETTE</t>
        </is>
      </c>
      <c r="D3462" s="2" t="inlineStr">
        <is>
          <t>INA</t>
        </is>
      </c>
      <c r="E3462" s="3" t="n">
        <v>6</v>
      </c>
      <c r="F3462" s="4" t="n">
        <v>0.3</v>
      </c>
      <c r="G3462" s="5">
        <f>ROUND(E3462*(1+F3462),2)</f>
        <v>7.80</v>
      </c>
      <c r="H3462" s="5">
        <f>ROUND(G3462*NOTAS!$B$2,2)</f>
        <v>5626.50</v>
      </c>
      <c r="I3462" s="6">
        <f>ROUND(G3462*NOTAS!$B$3,0)</f>
        <v>25341</v>
      </c>
      <c r="J3462" s="2" t="n">
        <v>5</v>
      </c>
    </row>
    <row r="3463">
      <c r="A3463" s="2" t="inlineStr">
        <is>
          <t>RCHL1-38K</t>
        </is>
      </c>
      <c r="B3463" s="2" t="inlineStr"/>
      <c r="C3463" s="2" t="inlineStr">
        <is>
          <t>ROLINERA RUEDA DELANTERA  HYUNDAI EXCEL ACCENT</t>
        </is>
      </c>
      <c r="D3463" s="2" t="inlineStr">
        <is>
          <t>KBC</t>
        </is>
      </c>
      <c r="E3463" s="3" t="n">
        <v>10</v>
      </c>
      <c r="F3463" s="4" t="n">
        <v>0.3</v>
      </c>
      <c r="G3463" s="5">
        <f>ROUND(E3463*(1+F3463),2)</f>
        <v>13.00</v>
      </c>
      <c r="H3463" s="5">
        <f>ROUND(G3463*NOTAS!$B$2,2)</f>
        <v>9377.49</v>
      </c>
      <c r="I3463" s="6">
        <f>ROUND(G3463*NOTAS!$B$3,0)</f>
        <v>42235</v>
      </c>
      <c r="J3463" s="2" t="n">
        <v>1</v>
      </c>
    </row>
    <row r="3464">
      <c r="A3464" s="2" t="inlineStr">
        <is>
          <t>57410LFT/LM29710S</t>
        </is>
      </c>
      <c r="B3464" s="2" t="inlineStr"/>
      <c r="C3464" s="2" t="inlineStr">
        <is>
          <t>ROLINERA RUEDA DELANTERA  HYUNDAI EXCEL ACCENT</t>
        </is>
      </c>
      <c r="D3464" s="2" t="inlineStr">
        <is>
          <t>KOYO</t>
        </is>
      </c>
      <c r="E3464" s="3" t="n">
        <v>10</v>
      </c>
      <c r="F3464" s="4" t="n">
        <v>0.3</v>
      </c>
      <c r="G3464" s="5">
        <f>ROUND(E3464*(1+F3464),2)</f>
        <v>13.00</v>
      </c>
      <c r="H3464" s="5">
        <f>ROUND(G3464*NOTAS!$B$2,2)</f>
        <v>9377.49</v>
      </c>
      <c r="I3464" s="6">
        <f>ROUND(G3464*NOTAS!$B$3,0)</f>
        <v>42235</v>
      </c>
      <c r="J3464" s="2" t="n">
        <v>1</v>
      </c>
    </row>
    <row r="3465">
      <c r="A3465" s="2" t="inlineStr">
        <is>
          <t>309726DA</t>
        </is>
      </c>
      <c r="B3465" s="2" t="inlineStr"/>
      <c r="C3465" s="2" t="inlineStr">
        <is>
          <t>ROLINERA RUEDA DELANTERA AVEO/CIELO/LANOS 34X64X37</t>
        </is>
      </c>
      <c r="D3465" s="2" t="inlineStr">
        <is>
          <t>SKF</t>
        </is>
      </c>
      <c r="E3465" s="3" t="n">
        <v>15</v>
      </c>
      <c r="F3465" s="4" t="n">
        <v>0.3</v>
      </c>
      <c r="G3465" s="5">
        <f>ROUND(E3465*(1+F3465),2)</f>
        <v>19.50</v>
      </c>
      <c r="H3465" s="5">
        <f>ROUND(G3465*NOTAS!$B$2,2)</f>
        <v>14066.24</v>
      </c>
      <c r="I3465" s="6">
        <f>ROUND(G3465*NOTAS!$B$3,0)</f>
        <v>63353</v>
      </c>
      <c r="J3465" s="2" t="n">
        <v>4</v>
      </c>
    </row>
    <row r="3466">
      <c r="A3466" s="2" t="inlineStr">
        <is>
          <t>Z-540466.12</t>
        </is>
      </c>
      <c r="B3466" s="2" t="inlineStr"/>
      <c r="C3466" s="2" t="inlineStr">
        <is>
          <t>ROLINERA RUEDA DELANTERA AVEO/CIELO/LANOS 34X64X37</t>
        </is>
      </c>
      <c r="D3466" s="2" t="inlineStr">
        <is>
          <t>FAG</t>
        </is>
      </c>
      <c r="E3466" s="3" t="n">
        <v>15</v>
      </c>
      <c r="F3466" s="4" t="n">
        <v>0.3</v>
      </c>
      <c r="G3466" s="5">
        <f>ROUND(E3466*(1+F3466),2)</f>
        <v>19.50</v>
      </c>
      <c r="H3466" s="5">
        <f>ROUND(G3466*NOTAS!$B$2,2)</f>
        <v>14066.24</v>
      </c>
      <c r="I3466" s="6">
        <f>ROUND(G3466*NOTAS!$B$3,0)</f>
        <v>63353</v>
      </c>
      <c r="J3466" s="2" t="n">
        <v>1</v>
      </c>
    </row>
    <row r="3467">
      <c r="A3467" s="2" t="inlineStr">
        <is>
          <t>BAH-0092</t>
        </is>
      </c>
      <c r="B3467" s="2" t="inlineStr"/>
      <c r="C3467" s="2" t="inlineStr">
        <is>
          <t>ROLINERA RUEDA DELANTERA AVEO/CIELO/LANOS 34X64X37</t>
        </is>
      </c>
      <c r="D3467" s="2" t="inlineStr">
        <is>
          <t>HIGH TECH</t>
        </is>
      </c>
      <c r="E3467" s="3" t="n">
        <v>7</v>
      </c>
      <c r="F3467" s="4" t="n">
        <v>0.3</v>
      </c>
      <c r="G3467" s="5">
        <f>ROUND(E3467*(1+F3467),2)</f>
        <v>9.10</v>
      </c>
      <c r="H3467" s="5">
        <f>ROUND(G3467*NOTAS!$B$2,2)</f>
        <v>6564.24</v>
      </c>
      <c r="I3467" s="6">
        <f>ROUND(G3467*NOTAS!$B$3,0)</f>
        <v>29565</v>
      </c>
      <c r="J3467" s="2" t="n">
        <v>1</v>
      </c>
    </row>
    <row r="3468">
      <c r="A3468" s="2" t="inlineStr">
        <is>
          <t>94535247</t>
        </is>
      </c>
      <c r="B3468" s="2" t="inlineStr"/>
      <c r="C3468" s="2" t="inlineStr">
        <is>
          <t>ROLINERA RUEDA DELANTERA AVEO/CIELO/LANOS 34X64X37</t>
        </is>
      </c>
      <c r="D3468" s="2" t="inlineStr">
        <is>
          <t>GM</t>
        </is>
      </c>
      <c r="E3468" s="3" t="n">
        <v>7</v>
      </c>
      <c r="F3468" s="4" t="n">
        <v>0.3</v>
      </c>
      <c r="G3468" s="5">
        <f>ROUND(E3468*(1+F3468),2)</f>
        <v>9.10</v>
      </c>
      <c r="H3468" s="5">
        <f>ROUND(G3468*NOTAS!$B$2,2)</f>
        <v>6564.24</v>
      </c>
      <c r="I3468" s="6">
        <f>ROUND(G3468*NOTAS!$B$3,0)</f>
        <v>29565</v>
      </c>
      <c r="J3468" s="2" t="n">
        <v>2</v>
      </c>
    </row>
    <row r="3469">
      <c r="A3469" s="2" t="inlineStr">
        <is>
          <t>BAH-0092</t>
        </is>
      </c>
      <c r="B3469" s="2" t="inlineStr"/>
      <c r="C3469" s="2" t="inlineStr">
        <is>
          <t>ROLINERA RUEDA DELANTERA AVEO/CIELO/LANOS SELLO METALICO 34X64X37</t>
        </is>
      </c>
      <c r="D3469" s="2" t="inlineStr">
        <is>
          <t>SKF</t>
        </is>
      </c>
      <c r="E3469" s="3" t="n">
        <v>20</v>
      </c>
      <c r="F3469" s="4" t="n">
        <v>0.3</v>
      </c>
      <c r="G3469" s="5">
        <f>ROUND(E3469*(1+F3469),2)</f>
        <v>26.00</v>
      </c>
      <c r="H3469" s="5">
        <f>ROUND(G3469*NOTAS!$B$2,2)</f>
        <v>18754.99</v>
      </c>
      <c r="I3469" s="6">
        <f>ROUND(G3469*NOTAS!$B$3,0)</f>
        <v>84471</v>
      </c>
      <c r="J3469" s="2" t="n">
        <v>12</v>
      </c>
    </row>
    <row r="3470">
      <c r="A3470" s="2" t="inlineStr">
        <is>
          <t>DAC3464K-ZZ</t>
        </is>
      </c>
      <c r="B3470" s="2" t="inlineStr"/>
      <c r="C3470" s="2" t="inlineStr">
        <is>
          <t>ROLINERA RUEDA DELANTERA AVEO/CIELO/LANOS SELLO METALICO 34X64X37</t>
        </is>
      </c>
      <c r="D3470" s="2" t="inlineStr">
        <is>
          <t>KTO</t>
        </is>
      </c>
      <c r="E3470" s="3" t="n">
        <v>6.17</v>
      </c>
      <c r="F3470" s="4" t="n">
        <v>0.3</v>
      </c>
      <c r="G3470" s="5">
        <f>ROUND(E3470*(1+F3470),2)</f>
        <v>8.02</v>
      </c>
      <c r="H3470" s="5">
        <f>ROUND(G3470*NOTAS!$B$2,2)</f>
        <v>5785.19</v>
      </c>
      <c r="I3470" s="6">
        <f>ROUND(G3470*NOTAS!$B$3,0)</f>
        <v>26056</v>
      </c>
      <c r="J3470" s="2" t="n">
        <v>3</v>
      </c>
    </row>
    <row r="3471">
      <c r="A3471" s="2" t="inlineStr">
        <is>
          <t>DAC3874W-6CS84</t>
        </is>
      </c>
      <c r="B3471" s="2" t="inlineStr"/>
      <c r="C3471" s="2" t="inlineStr">
        <is>
          <t>ROLINERA RUEDA DELANTERA COROLLA ARAYA AVILA SENTRA 91/10 38X74X36</t>
        </is>
      </c>
      <c r="D3471" s="2" t="inlineStr">
        <is>
          <t>KOYO</t>
        </is>
      </c>
      <c r="E3471" s="3" t="n">
        <v>15</v>
      </c>
      <c r="F3471" s="4" t="n">
        <v>0.3</v>
      </c>
      <c r="G3471" s="5">
        <f>ROUND(E3471*(1+F3471),2)</f>
        <v>19.50</v>
      </c>
      <c r="H3471" s="5">
        <f>ROUND(G3471*NOTAS!$B$2,2)</f>
        <v>14066.24</v>
      </c>
      <c r="I3471" s="6">
        <f>ROUND(G3471*NOTAS!$B$3,0)</f>
        <v>63353</v>
      </c>
      <c r="J3471" s="2" t="n">
        <v>1</v>
      </c>
    </row>
    <row r="3472">
      <c r="A3472" s="2" t="inlineStr">
        <is>
          <t>BAHB636114A</t>
        </is>
      </c>
      <c r="B3472" s="2" t="inlineStr"/>
      <c r="C3472" s="2" t="inlineStr">
        <is>
          <t>ROLINERA RUEDA DELANTERA CORSA/MONTANA 34X66X37</t>
        </is>
      </c>
      <c r="D3472" s="2" t="inlineStr">
        <is>
          <t>SKF</t>
        </is>
      </c>
      <c r="E3472" s="3" t="n">
        <v>15</v>
      </c>
      <c r="F3472" s="4" t="n">
        <v>0.3</v>
      </c>
      <c r="G3472" s="5">
        <f>ROUND(E3472*(1+F3472),2)</f>
        <v>19.50</v>
      </c>
      <c r="H3472" s="5">
        <f>ROUND(G3472*NOTAS!$B$2,2)</f>
        <v>14066.24</v>
      </c>
      <c r="I3472" s="6">
        <f>ROUND(G3472*NOTAS!$B$3,0)</f>
        <v>63353</v>
      </c>
      <c r="J3472" s="2" t="n">
        <v>1</v>
      </c>
    </row>
    <row r="3473">
      <c r="A3473" s="2" t="inlineStr">
        <is>
          <t>F-110487.1</t>
        </is>
      </c>
      <c r="B3473" s="2" t="inlineStr"/>
      <c r="C3473" s="2" t="inlineStr">
        <is>
          <t>ROLINERA RUEDA DELANTERA CORSA/MONTANA 34X66X37</t>
        </is>
      </c>
      <c r="D3473" s="2" t="inlineStr">
        <is>
          <t>INA</t>
        </is>
      </c>
      <c r="E3473" s="3" t="n">
        <v>15</v>
      </c>
      <c r="F3473" s="4" t="n">
        <v>0.3</v>
      </c>
      <c r="G3473" s="5">
        <f>ROUND(E3473*(1+F3473),2)</f>
        <v>19.50</v>
      </c>
      <c r="H3473" s="5">
        <f>ROUND(G3473*NOTAS!$B$2,2)</f>
        <v>14066.24</v>
      </c>
      <c r="I3473" s="6">
        <f>ROUND(G3473*NOTAS!$B$3,0)</f>
        <v>63353</v>
      </c>
      <c r="J3473" s="2" t="n">
        <v>8</v>
      </c>
    </row>
    <row r="3474">
      <c r="A3474" s="2" t="inlineStr"/>
      <c r="B3474" s="2" t="inlineStr"/>
      <c r="C3474" s="2" t="inlineStr">
        <is>
          <t>ROLINERA RUEDA DELANTERA CORSA/MONTANA 34X66X37</t>
        </is>
      </c>
      <c r="D3474" s="2" t="inlineStr">
        <is>
          <t>RHR</t>
        </is>
      </c>
      <c r="E3474" s="3" t="n">
        <v>6</v>
      </c>
      <c r="F3474" s="4" t="n">
        <v>0.3</v>
      </c>
      <c r="G3474" s="5">
        <f>ROUND(E3474*(1+F3474),2)</f>
        <v>7.80</v>
      </c>
      <c r="H3474" s="5">
        <f>ROUND(G3474*NOTAS!$B$2,2)</f>
        <v>5626.50</v>
      </c>
      <c r="I3474" s="6">
        <f>ROUND(G3474*NOTAS!$B$3,0)</f>
        <v>25341</v>
      </c>
      <c r="J3474" s="2" t="n">
        <v>1</v>
      </c>
    </row>
    <row r="3475">
      <c r="A3475" s="2" t="inlineStr">
        <is>
          <t>DAC-636114</t>
        </is>
      </c>
      <c r="B3475" s="2" t="inlineStr"/>
      <c r="C3475" s="2" t="inlineStr">
        <is>
          <t>ROLINERA RUEDA DELANTERA CORSA/MONTANA 34X66X37</t>
        </is>
      </c>
      <c r="D3475" s="2" t="inlineStr">
        <is>
          <t>KOYO</t>
        </is>
      </c>
      <c r="E3475" s="3" t="n">
        <v>15</v>
      </c>
      <c r="F3475" s="4" t="n">
        <v>0.3</v>
      </c>
      <c r="G3475" s="5">
        <f>ROUND(E3475*(1+F3475),2)</f>
        <v>19.50</v>
      </c>
      <c r="H3475" s="5">
        <f>ROUND(G3475*NOTAS!$B$2,2)</f>
        <v>14066.24</v>
      </c>
      <c r="I3475" s="6">
        <f>ROUND(G3475*NOTAS!$B$3,0)</f>
        <v>63353</v>
      </c>
      <c r="J3475" s="2" t="n">
        <v>4</v>
      </c>
    </row>
    <row r="3476">
      <c r="A3476" s="2" t="inlineStr">
        <is>
          <t>GM0019</t>
        </is>
      </c>
      <c r="B3476" s="2" t="inlineStr"/>
      <c r="C3476" s="2" t="inlineStr">
        <is>
          <t>ROLINERA RUEDA DELANTERA CORSA/MONTANA 34X66X37</t>
        </is>
      </c>
      <c r="D3476" s="2" t="inlineStr">
        <is>
          <t>LUCAS VARITY</t>
        </is>
      </c>
      <c r="E3476" s="3" t="n">
        <v>6</v>
      </c>
      <c r="F3476" s="4" t="n">
        <v>0.3</v>
      </c>
      <c r="G3476" s="5">
        <f>ROUND(E3476*(1+F3476),2)</f>
        <v>7.80</v>
      </c>
      <c r="H3476" s="5">
        <f>ROUND(G3476*NOTAS!$B$2,2)</f>
        <v>5626.50</v>
      </c>
      <c r="I3476" s="6">
        <f>ROUND(G3476*NOTAS!$B$3,0)</f>
        <v>25341</v>
      </c>
      <c r="J3476" s="2" t="n">
        <v>10</v>
      </c>
    </row>
    <row r="3477">
      <c r="A3477" s="2" t="inlineStr">
        <is>
          <t>DAC34660037</t>
        </is>
      </c>
      <c r="B3477" s="2" t="inlineStr"/>
      <c r="C3477" s="2" t="inlineStr">
        <is>
          <t>ROLINERA RUEDA DELANTERA CORSA/MONTANA 34X66X37</t>
        </is>
      </c>
      <c r="D3477" s="2" t="inlineStr">
        <is>
          <t>CRAFT</t>
        </is>
      </c>
      <c r="E3477" s="3" t="n">
        <v>7</v>
      </c>
      <c r="F3477" s="4" t="n">
        <v>0.3</v>
      </c>
      <c r="G3477" s="5">
        <f>ROUND(E3477*(1+F3477),2)</f>
        <v>9.10</v>
      </c>
      <c r="H3477" s="5">
        <f>ROUND(G3477*NOTAS!$B$2,2)</f>
        <v>6564.24</v>
      </c>
      <c r="I3477" s="6">
        <f>ROUND(G3477*NOTAS!$B$3,0)</f>
        <v>29565</v>
      </c>
      <c r="J3477" s="2" t="n">
        <v>2</v>
      </c>
    </row>
    <row r="3478">
      <c r="A3478" s="2" t="inlineStr">
        <is>
          <t>90447280</t>
        </is>
      </c>
      <c r="B3478" s="2" t="inlineStr"/>
      <c r="C3478" s="2" t="inlineStr">
        <is>
          <t>ROLINERA RUEDA DELANTERA CORSA/MONTANA 34X66X37</t>
        </is>
      </c>
      <c r="D3478" s="2" t="inlineStr">
        <is>
          <t>AXN</t>
        </is>
      </c>
      <c r="E3478" s="3" t="n">
        <v>6</v>
      </c>
      <c r="F3478" s="4" t="n">
        <v>0.3</v>
      </c>
      <c r="G3478" s="5">
        <f>ROUND(E3478*(1+F3478),2)</f>
        <v>7.80</v>
      </c>
      <c r="H3478" s="5">
        <f>ROUND(G3478*NOTAS!$B$2,2)</f>
        <v>5626.50</v>
      </c>
      <c r="I3478" s="6">
        <f>ROUND(G3478*NOTAS!$B$3,0)</f>
        <v>25341</v>
      </c>
      <c r="J3478" s="2" t="n">
        <v>3</v>
      </c>
    </row>
    <row r="3479">
      <c r="A3479" s="2" t="inlineStr">
        <is>
          <t>CR021</t>
        </is>
      </c>
      <c r="B3479" s="2" t="inlineStr"/>
      <c r="C3479" s="2" t="inlineStr">
        <is>
          <t>ROLINERA RUEDA DELANTERA CORSA/MONTANA 34X66X37</t>
        </is>
      </c>
      <c r="D3479" s="2" t="inlineStr">
        <is>
          <t>EUROBERING</t>
        </is>
      </c>
      <c r="E3479" s="3" t="n">
        <v>13</v>
      </c>
      <c r="F3479" s="4" t="n">
        <v>0.3</v>
      </c>
      <c r="G3479" s="5">
        <f>ROUND(E3479*(1+F3479),2)</f>
        <v>16.90</v>
      </c>
      <c r="H3479" s="5">
        <f>ROUND(G3479*NOTAS!$B$2,2)</f>
        <v>12190.74</v>
      </c>
      <c r="I3479" s="6">
        <f>ROUND(G3479*NOTAS!$B$3,0)</f>
        <v>54906</v>
      </c>
      <c r="J3479" s="2" t="n">
        <v>2</v>
      </c>
    </row>
    <row r="3480">
      <c r="A3480" s="2" t="inlineStr">
        <is>
          <t>BAH-0109C</t>
        </is>
      </c>
      <c r="B3480" s="2" t="inlineStr"/>
      <c r="C3480" s="2" t="inlineStr">
        <is>
          <t>ROLINERA RUEDA DELANTERA ECOSPORT 39X72X37</t>
        </is>
      </c>
      <c r="D3480" s="2" t="inlineStr">
        <is>
          <t>SKF</t>
        </is>
      </c>
      <c r="E3480" s="3" t="n">
        <v>15</v>
      </c>
      <c r="F3480" s="4" t="n">
        <v>0.3</v>
      </c>
      <c r="G3480" s="5">
        <f>ROUND(E3480*(1+F3480),2)</f>
        <v>19.50</v>
      </c>
      <c r="H3480" s="5">
        <f>ROUND(G3480*NOTAS!$B$2,2)</f>
        <v>14066.24</v>
      </c>
      <c r="I3480" s="6">
        <f>ROUND(G3480*NOTAS!$B$3,0)</f>
        <v>63353</v>
      </c>
      <c r="J3480" s="2" t="n">
        <v>4</v>
      </c>
    </row>
    <row r="3481">
      <c r="A3481" s="2" t="inlineStr">
        <is>
          <t>F-801663</t>
        </is>
      </c>
      <c r="B3481" s="2" t="inlineStr"/>
      <c r="C3481" s="2" t="inlineStr">
        <is>
          <t>ROLINERA RUEDA DELANTERA ECOSPORT 39X72X37</t>
        </is>
      </c>
      <c r="D3481" s="2" t="inlineStr">
        <is>
          <t>FAG</t>
        </is>
      </c>
      <c r="E3481" s="3" t="n">
        <v>15</v>
      </c>
      <c r="F3481" s="4" t="n">
        <v>0.3</v>
      </c>
      <c r="G3481" s="5">
        <f>ROUND(E3481*(1+F3481),2)</f>
        <v>19.50</v>
      </c>
      <c r="H3481" s="5">
        <f>ROUND(G3481*NOTAS!$B$2,2)</f>
        <v>14066.24</v>
      </c>
      <c r="I3481" s="6">
        <f>ROUND(G3481*NOTAS!$B$3,0)</f>
        <v>63353</v>
      </c>
      <c r="J3481" s="2" t="n">
        <v>9</v>
      </c>
    </row>
    <row r="3482">
      <c r="A3482" s="2" t="inlineStr">
        <is>
          <t>DAC4072W</t>
        </is>
      </c>
      <c r="B3482" s="2" t="inlineStr"/>
      <c r="C3482" s="2" t="inlineStr">
        <is>
          <t>ROLINERA RUEDA DELANTERA ESTEEM 40X72X36</t>
        </is>
      </c>
      <c r="D3482" s="2" t="inlineStr">
        <is>
          <t>AHM</t>
        </is>
      </c>
      <c r="E3482" s="3" t="n">
        <v>7</v>
      </c>
      <c r="F3482" s="4" t="n">
        <v>0.3</v>
      </c>
      <c r="G3482" s="5">
        <f>ROUND(E3482*(1+F3482),2)</f>
        <v>9.10</v>
      </c>
      <c r="H3482" s="5">
        <f>ROUND(G3482*NOTAS!$B$2,2)</f>
        <v>6564.24</v>
      </c>
      <c r="I3482" s="6">
        <f>ROUND(G3482*NOTAS!$B$3,0)</f>
        <v>29565</v>
      </c>
      <c r="J3482" s="2" t="n">
        <v>1</v>
      </c>
    </row>
    <row r="3483">
      <c r="A3483" s="2" t="inlineStr">
        <is>
          <t>8040</t>
        </is>
      </c>
      <c r="B3483" s="2" t="inlineStr"/>
      <c r="C3483" s="2" t="inlineStr">
        <is>
          <t>ROLINERA RUEDA DELANTERA F-147/SPAZIO 30X60X37</t>
        </is>
      </c>
      <c r="D3483" s="2" t="inlineStr">
        <is>
          <t>KOYO</t>
        </is>
      </c>
      <c r="E3483" s="3" t="n">
        <v>12</v>
      </c>
      <c r="F3483" s="4" t="n">
        <v>0.3</v>
      </c>
      <c r="G3483" s="5">
        <f>ROUND(E3483*(1+F3483),2)</f>
        <v>15.60</v>
      </c>
      <c r="H3483" s="5">
        <f>ROUND(G3483*NOTAS!$B$2,2)</f>
        <v>11252.99</v>
      </c>
      <c r="I3483" s="6">
        <f>ROUND(G3483*NOTAS!$B$3,0)</f>
        <v>50682</v>
      </c>
      <c r="J3483" s="2" t="n">
        <v>4</v>
      </c>
    </row>
    <row r="3484">
      <c r="A3484" s="2" t="inlineStr">
        <is>
          <t>633313C</t>
        </is>
      </c>
      <c r="B3484" s="2" t="inlineStr"/>
      <c r="C3484" s="2" t="inlineStr">
        <is>
          <t>ROLINERA RUEDA DELANTERA F-147/SPAZIO 30X60X37</t>
        </is>
      </c>
      <c r="D3484" s="2" t="inlineStr">
        <is>
          <t>KML</t>
        </is>
      </c>
      <c r="E3484" s="3" t="n">
        <v>6</v>
      </c>
      <c r="F3484" s="4" t="n">
        <v>0.3</v>
      </c>
      <c r="G3484" s="5">
        <f>ROUND(E3484*(1+F3484),2)</f>
        <v>7.80</v>
      </c>
      <c r="H3484" s="5">
        <f>ROUND(G3484*NOTAS!$B$2,2)</f>
        <v>5626.50</v>
      </c>
      <c r="I3484" s="6">
        <f>ROUND(G3484*NOTAS!$B$3,0)</f>
        <v>25341</v>
      </c>
      <c r="J3484" s="2" t="n">
        <v>2</v>
      </c>
    </row>
    <row r="3485">
      <c r="A3485" s="2" t="inlineStr">
        <is>
          <t>F-45721</t>
        </is>
      </c>
      <c r="B3485" s="2" t="inlineStr"/>
      <c r="C3485" s="2" t="inlineStr">
        <is>
          <t>ROLINERA RUEDA DELANTERA F-147/SPAZIO 30X60X37</t>
        </is>
      </c>
      <c r="D3485" s="2" t="inlineStr">
        <is>
          <t>INA</t>
        </is>
      </c>
      <c r="E3485" s="3" t="n">
        <v>15</v>
      </c>
      <c r="F3485" s="4" t="n">
        <v>0.3</v>
      </c>
      <c r="G3485" s="5">
        <f>ROUND(E3485*(1+F3485),2)</f>
        <v>19.50</v>
      </c>
      <c r="H3485" s="5">
        <f>ROUND(G3485*NOTAS!$B$2,2)</f>
        <v>14066.24</v>
      </c>
      <c r="I3485" s="6">
        <f>ROUND(G3485*NOTAS!$B$3,0)</f>
        <v>63353</v>
      </c>
      <c r="J3485" s="2" t="n">
        <v>2</v>
      </c>
    </row>
    <row r="3486">
      <c r="A3486" s="2" t="inlineStr">
        <is>
          <t>JL69349/310/Q</t>
        </is>
      </c>
      <c r="B3486" s="2" t="inlineStr">
        <is>
          <t>SET-11</t>
        </is>
      </c>
      <c r="C3486" s="2" t="inlineStr">
        <is>
          <t>ROLINERA RUEDA DELANTERA FESTIVA</t>
        </is>
      </c>
      <c r="D3486" s="2" t="inlineStr">
        <is>
          <t>SKF</t>
        </is>
      </c>
      <c r="E3486" s="3" t="n">
        <v>10</v>
      </c>
      <c r="F3486" s="4" t="n">
        <v>0.3</v>
      </c>
      <c r="G3486" s="5">
        <f>ROUND(E3486*(1+F3486),2)</f>
        <v>13.00</v>
      </c>
      <c r="H3486" s="5">
        <f>ROUND(G3486*NOTAS!$B$2,2)</f>
        <v>9377.49</v>
      </c>
      <c r="I3486" s="6">
        <f>ROUND(G3486*NOTAS!$B$3,0)</f>
        <v>42235</v>
      </c>
      <c r="J3486" s="2" t="n">
        <v>1</v>
      </c>
    </row>
    <row r="3487">
      <c r="A3487" s="2" t="inlineStr">
        <is>
          <t>GM0020</t>
        </is>
      </c>
      <c r="B3487" s="2" t="inlineStr"/>
      <c r="C3487" s="2" t="inlineStr">
        <is>
          <t>ROLINERA RUEDA DELANTERA FIESTA/KA/MONZA/GOL 39X72X37</t>
        </is>
      </c>
      <c r="D3487" s="2" t="inlineStr">
        <is>
          <t>MAXXUN</t>
        </is>
      </c>
      <c r="E3487" s="3" t="n">
        <v>5.32</v>
      </c>
      <c r="F3487" s="4" t="n">
        <v>0.3</v>
      </c>
      <c r="G3487" s="5">
        <f>ROUND(E3487*(1+F3487),2)</f>
        <v>6.92</v>
      </c>
      <c r="H3487" s="5">
        <f>ROUND(G3487*NOTAS!$B$2,2)</f>
        <v>4991.71</v>
      </c>
      <c r="I3487" s="6">
        <f>ROUND(G3487*NOTAS!$B$3,0)</f>
        <v>22482</v>
      </c>
      <c r="J3487" s="2" t="n">
        <v>1</v>
      </c>
    </row>
    <row r="3488">
      <c r="A3488" s="2" t="inlineStr">
        <is>
          <t>WD40532</t>
        </is>
      </c>
      <c r="B3488" s="2" t="inlineStr"/>
      <c r="C3488" s="2" t="inlineStr">
        <is>
          <t>ROLINERA RUEDA DELANTERA FIESTA/KA/MONZA/GOL 39X72X37</t>
        </is>
      </c>
      <c r="D3488" s="2" t="inlineStr">
        <is>
          <t>WHX</t>
        </is>
      </c>
      <c r="E3488" s="3" t="n">
        <v>7</v>
      </c>
      <c r="F3488" s="4" t="n">
        <v>0.3</v>
      </c>
      <c r="G3488" s="5">
        <f>ROUND(E3488*(1+F3488),2)</f>
        <v>9.10</v>
      </c>
      <c r="H3488" s="5">
        <f>ROUND(G3488*NOTAS!$B$2,2)</f>
        <v>6564.24</v>
      </c>
      <c r="I3488" s="6">
        <f>ROUND(G3488*NOTAS!$B$3,0)</f>
        <v>29565</v>
      </c>
      <c r="J3488" s="2" t="n">
        <v>10</v>
      </c>
    </row>
    <row r="3489">
      <c r="A3489" s="2" t="inlineStr">
        <is>
          <t>F-110622.02</t>
        </is>
      </c>
      <c r="B3489" s="2" t="inlineStr"/>
      <c r="C3489" s="2" t="inlineStr">
        <is>
          <t>ROLINERA RUEDA DELANTERA FIESTA/KA/MONZA/GOL 39X72X37</t>
        </is>
      </c>
      <c r="D3489" s="2" t="inlineStr">
        <is>
          <t>INA</t>
        </is>
      </c>
      <c r="E3489" s="3" t="n">
        <v>15</v>
      </c>
      <c r="F3489" s="4" t="n">
        <v>0.3</v>
      </c>
      <c r="G3489" s="5">
        <f>ROUND(E3489*(1+F3489),2)</f>
        <v>19.50</v>
      </c>
      <c r="H3489" s="5">
        <f>ROUND(G3489*NOTAS!$B$2,2)</f>
        <v>14066.24</v>
      </c>
      <c r="I3489" s="6">
        <f>ROUND(G3489*NOTAS!$B$3,0)</f>
        <v>63353</v>
      </c>
      <c r="J3489" s="2" t="n">
        <v>15</v>
      </c>
    </row>
    <row r="3490">
      <c r="A3490" s="2" t="inlineStr">
        <is>
          <t>BAHB311396B</t>
        </is>
      </c>
      <c r="B3490" s="2" t="inlineStr"/>
      <c r="C3490" s="2" t="inlineStr">
        <is>
          <t>ROLINERA RUEDA DELANTERA FIESTA/KA/MONZA/GOL 39X72X37</t>
        </is>
      </c>
      <c r="D3490" s="2" t="inlineStr">
        <is>
          <t>SKF</t>
        </is>
      </c>
      <c r="E3490" s="3" t="n">
        <v>15</v>
      </c>
      <c r="F3490" s="4" t="n">
        <v>0.3</v>
      </c>
      <c r="G3490" s="5">
        <f>ROUND(E3490*(1+F3490),2)</f>
        <v>19.50</v>
      </c>
      <c r="H3490" s="5">
        <f>ROUND(G3490*NOTAS!$B$2,2)</f>
        <v>14066.24</v>
      </c>
      <c r="I3490" s="6">
        <f>ROUND(G3490*NOTAS!$B$3,0)</f>
        <v>63353</v>
      </c>
      <c r="J3490" s="2" t="n">
        <v>19</v>
      </c>
    </row>
    <row r="3491">
      <c r="A3491" s="2" t="inlineStr">
        <is>
          <t>8085</t>
        </is>
      </c>
      <c r="B3491" s="2" t="inlineStr"/>
      <c r="C3491" s="2" t="inlineStr">
        <is>
          <t>ROLINERA RUEDA DELANTERA FIESTA/KA/MONZA/GOL 39X72X37</t>
        </is>
      </c>
      <c r="D3491" s="2" t="inlineStr">
        <is>
          <t>KOYO</t>
        </is>
      </c>
      <c r="E3491" s="3" t="n">
        <v>15</v>
      </c>
      <c r="F3491" s="4" t="n">
        <v>0.3</v>
      </c>
      <c r="G3491" s="5">
        <f>ROUND(E3491*(1+F3491),2)</f>
        <v>19.50</v>
      </c>
      <c r="H3491" s="5">
        <f>ROUND(G3491*NOTAS!$B$2,2)</f>
        <v>14066.24</v>
      </c>
      <c r="I3491" s="6">
        <f>ROUND(G3491*NOTAS!$B$3,0)</f>
        <v>63353</v>
      </c>
      <c r="J3491" s="2" t="n">
        <v>19</v>
      </c>
    </row>
    <row r="3492">
      <c r="A3492" s="2" t="inlineStr">
        <is>
          <t>7554660</t>
        </is>
      </c>
      <c r="B3492" s="2" t="inlineStr"/>
      <c r="C3492" s="2" t="inlineStr">
        <is>
          <t>ROLINERA RUEDA DELANTERA F-TEMPRA 1.6 35X72X33</t>
        </is>
      </c>
      <c r="D3492" s="2" t="inlineStr"/>
      <c r="E3492" s="3" t="n">
        <v>7</v>
      </c>
      <c r="F3492" s="4" t="n">
        <v>0.3</v>
      </c>
      <c r="G3492" s="5">
        <f>ROUND(E3492*(1+F3492),2)</f>
        <v>9.10</v>
      </c>
      <c r="H3492" s="5">
        <f>ROUND(G3492*NOTAS!$B$2,2)</f>
        <v>6564.24</v>
      </c>
      <c r="I3492" s="6">
        <f>ROUND(G3492*NOTAS!$B$3,0)</f>
        <v>29565</v>
      </c>
      <c r="J3492" s="2" t="n">
        <v>1</v>
      </c>
    </row>
    <row r="3493">
      <c r="A3493" s="2" t="inlineStr">
        <is>
          <t>5941798</t>
        </is>
      </c>
      <c r="B3493" s="2" t="inlineStr"/>
      <c r="C3493" s="2" t="inlineStr">
        <is>
          <t>ROLINERA RUEDA DELANTERA F-UNO/PREMIO/REGATA 35X68X37</t>
        </is>
      </c>
      <c r="D3493" s="2" t="inlineStr">
        <is>
          <t>AXN</t>
        </is>
      </c>
      <c r="E3493" s="3" t="n">
        <v>7</v>
      </c>
      <c r="F3493" s="4" t="n">
        <v>0.3</v>
      </c>
      <c r="G3493" s="5">
        <f>ROUND(E3493*(1+F3493),2)</f>
        <v>9.10</v>
      </c>
      <c r="H3493" s="5">
        <f>ROUND(G3493*NOTAS!$B$2,2)</f>
        <v>6564.24</v>
      </c>
      <c r="I3493" s="6">
        <f>ROUND(G3493*NOTAS!$B$3,0)</f>
        <v>29565</v>
      </c>
      <c r="J3493" s="2" t="n">
        <v>3</v>
      </c>
    </row>
    <row r="3494">
      <c r="A3494" s="2" t="inlineStr">
        <is>
          <t>DAC-541153</t>
        </is>
      </c>
      <c r="B3494" s="2" t="inlineStr"/>
      <c r="C3494" s="2" t="inlineStr">
        <is>
          <t>ROLINERA RUEDA DELANTERA F-UNO/PREMIO/REGATA 35X68X37</t>
        </is>
      </c>
      <c r="D3494" s="2" t="inlineStr">
        <is>
          <t>KOYO</t>
        </is>
      </c>
      <c r="E3494" s="3" t="n">
        <v>13</v>
      </c>
      <c r="F3494" s="4" t="n">
        <v>0.3</v>
      </c>
      <c r="G3494" s="5">
        <f>ROUND(E3494*(1+F3494),2)</f>
        <v>16.90</v>
      </c>
      <c r="H3494" s="5">
        <f>ROUND(G3494*NOTAS!$B$2,2)</f>
        <v>12190.74</v>
      </c>
      <c r="I3494" s="6">
        <f>ROUND(G3494*NOTAS!$B$3,0)</f>
        <v>54906</v>
      </c>
      <c r="J3494" s="2" t="n">
        <v>5</v>
      </c>
    </row>
    <row r="3495">
      <c r="A3495" s="2" t="inlineStr">
        <is>
          <t>FI0018</t>
        </is>
      </c>
      <c r="B3495" s="2" t="inlineStr"/>
      <c r="C3495" s="2" t="inlineStr">
        <is>
          <t>ROLINERA RUEDA DELANTERA F-UNO/PREMIO/REGATA 35X68X37</t>
        </is>
      </c>
      <c r="D3495" s="2" t="inlineStr">
        <is>
          <t>LUCAS VARITY</t>
        </is>
      </c>
      <c r="E3495" s="3" t="n">
        <v>5</v>
      </c>
      <c r="F3495" s="4" t="n">
        <v>0.3</v>
      </c>
      <c r="G3495" s="5">
        <f>ROUND(E3495*(1+F3495),2)</f>
        <v>6.50</v>
      </c>
      <c r="H3495" s="5">
        <f>ROUND(G3495*NOTAS!$B$2,2)</f>
        <v>4688.75</v>
      </c>
      <c r="I3495" s="6">
        <f>ROUND(G3495*NOTAS!$B$3,0)</f>
        <v>21118</v>
      </c>
      <c r="J3495" s="2" t="n">
        <v>5</v>
      </c>
    </row>
    <row r="3496">
      <c r="A3496" s="2" t="inlineStr">
        <is>
          <t>FI0018</t>
        </is>
      </c>
      <c r="B3496" s="2" t="inlineStr"/>
      <c r="C3496" s="2" t="inlineStr">
        <is>
          <t>ROLINERA RUEDA DELANTERA F-UNO/PREMIO/REGATA 35X68X37</t>
        </is>
      </c>
      <c r="D3496" s="2" t="inlineStr">
        <is>
          <t>MAXXUN</t>
        </is>
      </c>
      <c r="E3496" s="3" t="n">
        <v>5</v>
      </c>
      <c r="F3496" s="4" t="n">
        <v>0.3</v>
      </c>
      <c r="G3496" s="5">
        <f>ROUND(E3496*(1+F3496),2)</f>
        <v>6.50</v>
      </c>
      <c r="H3496" s="5">
        <f>ROUND(G3496*NOTAS!$B$2,2)</f>
        <v>4688.75</v>
      </c>
      <c r="I3496" s="6">
        <f>ROUND(G3496*NOTAS!$B$3,0)</f>
        <v>21118</v>
      </c>
      <c r="J3496" s="2" t="n">
        <v>2</v>
      </c>
    </row>
    <row r="3497">
      <c r="A3497" s="2" t="inlineStr">
        <is>
          <t>BAH-0031</t>
        </is>
      </c>
      <c r="B3497" s="2" t="inlineStr"/>
      <c r="C3497" s="2" t="inlineStr">
        <is>
          <t>ROLINERA RUEDA DELANTERA F-UNO/PREMIO/REGATA 35X68X37</t>
        </is>
      </c>
      <c r="D3497" s="2" t="inlineStr">
        <is>
          <t>SKF</t>
        </is>
      </c>
      <c r="E3497" s="3" t="n">
        <v>15</v>
      </c>
      <c r="F3497" s="4" t="n">
        <v>0.3</v>
      </c>
      <c r="G3497" s="5">
        <f>ROUND(E3497*(1+F3497),2)</f>
        <v>19.50</v>
      </c>
      <c r="H3497" s="5">
        <f>ROUND(G3497*NOTAS!$B$2,2)</f>
        <v>14066.24</v>
      </c>
      <c r="I3497" s="6">
        <f>ROUND(G3497*NOTAS!$B$3,0)</f>
        <v>63353</v>
      </c>
      <c r="J3497" s="2" t="n">
        <v>66</v>
      </c>
    </row>
    <row r="3498">
      <c r="A3498" s="2" t="inlineStr">
        <is>
          <t>F-45951.1</t>
        </is>
      </c>
      <c r="B3498" s="2" t="inlineStr"/>
      <c r="C3498" s="2" t="inlineStr">
        <is>
          <t>ROLINERA RUEDA DELANTERA F-UNO/PREMIO/REGATA 35X68X37</t>
        </is>
      </c>
      <c r="D3498" s="2" t="inlineStr">
        <is>
          <t>INA</t>
        </is>
      </c>
      <c r="E3498" s="3" t="n">
        <v>12</v>
      </c>
      <c r="F3498" s="4" t="n">
        <v>0.3</v>
      </c>
      <c r="G3498" s="5">
        <f>ROUND(E3498*(1+F3498),2)</f>
        <v>15.60</v>
      </c>
      <c r="H3498" s="5">
        <f>ROUND(G3498*NOTAS!$B$2,2)</f>
        <v>11252.99</v>
      </c>
      <c r="I3498" s="6">
        <f>ROUND(G3498*NOTAS!$B$3,0)</f>
        <v>50682</v>
      </c>
      <c r="J3498" s="2" t="n">
        <v>40</v>
      </c>
    </row>
    <row r="3499">
      <c r="A3499" s="2" t="inlineStr">
        <is>
          <t>KML-633295</t>
        </is>
      </c>
      <c r="B3499" s="2" t="inlineStr"/>
      <c r="C3499" s="2" t="inlineStr">
        <is>
          <t>ROLINERA RUEDA DELANTERA F-UNO/PREMIO/REGATA 35X68X37</t>
        </is>
      </c>
      <c r="D3499" s="2" t="inlineStr">
        <is>
          <t>KML</t>
        </is>
      </c>
      <c r="E3499" s="3" t="n">
        <v>7</v>
      </c>
      <c r="F3499" s="4" t="n">
        <v>0.3</v>
      </c>
      <c r="G3499" s="5">
        <f>ROUND(E3499*(1+F3499),2)</f>
        <v>9.10</v>
      </c>
      <c r="H3499" s="5">
        <f>ROUND(G3499*NOTAS!$B$2,2)</f>
        <v>6564.24</v>
      </c>
      <c r="I3499" s="6">
        <f>ROUND(G3499*NOTAS!$B$3,0)</f>
        <v>29565</v>
      </c>
      <c r="J3499" s="2" t="n">
        <v>6</v>
      </c>
    </row>
    <row r="3500">
      <c r="A3500" s="2" t="inlineStr">
        <is>
          <t>8747</t>
        </is>
      </c>
      <c r="B3500" s="2" t="inlineStr"/>
      <c r="C3500" s="2" t="inlineStr">
        <is>
          <t>ROLINERA RUEDA DELANTERA KIA RIO 38X70X37</t>
        </is>
      </c>
      <c r="D3500" s="2" t="inlineStr">
        <is>
          <t>KOYO</t>
        </is>
      </c>
      <c r="E3500" s="3" t="n">
        <v>15</v>
      </c>
      <c r="F3500" s="4" t="n">
        <v>0.3</v>
      </c>
      <c r="G3500" s="5">
        <f>ROUND(E3500*(1+F3500),2)</f>
        <v>19.50</v>
      </c>
      <c r="H3500" s="5">
        <f>ROUND(G3500*NOTAS!$B$2,2)</f>
        <v>14066.24</v>
      </c>
      <c r="I3500" s="6">
        <f>ROUND(G3500*NOTAS!$B$3,0)</f>
        <v>63353</v>
      </c>
      <c r="J3500" s="2" t="n">
        <v>7</v>
      </c>
    </row>
    <row r="3501">
      <c r="A3501" s="2" t="inlineStr">
        <is>
          <t>SI94535259</t>
        </is>
      </c>
      <c r="B3501" s="2" t="inlineStr"/>
      <c r="C3501" s="2" t="inlineStr">
        <is>
          <t>ROLINERA RUEDA DELANTERA OPTRA 39X74X39</t>
        </is>
      </c>
      <c r="D3501" s="2" t="inlineStr">
        <is>
          <t>SIMS</t>
        </is>
      </c>
      <c r="E3501" s="3" t="n">
        <v>7</v>
      </c>
      <c r="F3501" s="4" t="n">
        <v>0.3</v>
      </c>
      <c r="G3501" s="5">
        <f>ROUND(E3501*(1+F3501),2)</f>
        <v>9.10</v>
      </c>
      <c r="H3501" s="5">
        <f>ROUND(G3501*NOTAS!$B$2,2)</f>
        <v>6564.24</v>
      </c>
      <c r="I3501" s="6">
        <f>ROUND(G3501*NOTAS!$B$3,0)</f>
        <v>29565</v>
      </c>
      <c r="J3501" s="2" t="n">
        <v>2</v>
      </c>
    </row>
    <row r="3502">
      <c r="A3502" s="2" t="inlineStr">
        <is>
          <t>BAH-0043</t>
        </is>
      </c>
      <c r="B3502" s="2" t="inlineStr"/>
      <c r="C3502" s="2" t="inlineStr">
        <is>
          <t>ROLINERA RUEDA DELANTERA OPTRA 39X74X39</t>
        </is>
      </c>
      <c r="D3502" s="2" t="inlineStr">
        <is>
          <t>SKF</t>
        </is>
      </c>
      <c r="E3502" s="3" t="n">
        <v>15</v>
      </c>
      <c r="F3502" s="4" t="n">
        <v>0.3</v>
      </c>
      <c r="G3502" s="5">
        <f>ROUND(E3502*(1+F3502),2)</f>
        <v>19.50</v>
      </c>
      <c r="H3502" s="5">
        <f>ROUND(G3502*NOTAS!$B$2,2)</f>
        <v>14066.24</v>
      </c>
      <c r="I3502" s="6">
        <f>ROUND(G3502*NOTAS!$B$3,0)</f>
        <v>63353</v>
      </c>
      <c r="J3502" s="2" t="n">
        <v>2</v>
      </c>
    </row>
    <row r="3503">
      <c r="A3503" s="2" t="inlineStr">
        <is>
          <t>PSC-H002</t>
        </is>
      </c>
      <c r="B3503" s="2" t="inlineStr"/>
      <c r="C3503" s="2" t="inlineStr">
        <is>
          <t>ROLINERA RUEDA DELANTERA OPTRA 39X74X39</t>
        </is>
      </c>
      <c r="D3503" s="2" t="inlineStr">
        <is>
          <t>PARTS-MALL</t>
        </is>
      </c>
      <c r="E3503" s="3" t="n">
        <v>15</v>
      </c>
      <c r="F3503" s="4" t="n">
        <v>0.3</v>
      </c>
      <c r="G3503" s="5">
        <f>ROUND(E3503*(1+F3503),2)</f>
        <v>19.50</v>
      </c>
      <c r="H3503" s="5">
        <f>ROUND(G3503*NOTAS!$B$2,2)</f>
        <v>14066.24</v>
      </c>
      <c r="I3503" s="6">
        <f>ROUND(G3503*NOTAS!$B$3,0)</f>
        <v>63353</v>
      </c>
      <c r="J3503" s="2" t="n">
        <v>2</v>
      </c>
    </row>
    <row r="3504">
      <c r="A3504" s="2" t="inlineStr">
        <is>
          <t>VKBA3596</t>
        </is>
      </c>
      <c r="B3504" s="2" t="inlineStr"/>
      <c r="C3504" s="2" t="inlineStr">
        <is>
          <t>ROLINERA RUEDA DELANTERA R-11/SYMBOL 00-03/TW 35X65X35</t>
        </is>
      </c>
      <c r="D3504" s="2" t="inlineStr">
        <is>
          <t>SKF</t>
        </is>
      </c>
      <c r="E3504" s="3" t="n">
        <v>15</v>
      </c>
      <c r="F3504" s="4" t="n">
        <v>0.3</v>
      </c>
      <c r="G3504" s="5">
        <f>ROUND(E3504*(1+F3504),2)</f>
        <v>19.50</v>
      </c>
      <c r="H3504" s="5">
        <f>ROUND(G3504*NOTAS!$B$2,2)</f>
        <v>14066.24</v>
      </c>
      <c r="I3504" s="6">
        <f>ROUND(G3504*NOTAS!$B$3,0)</f>
        <v>63353</v>
      </c>
      <c r="J3504" s="2" t="n">
        <v>6</v>
      </c>
    </row>
    <row r="3505">
      <c r="A3505" s="2" t="inlineStr">
        <is>
          <t>PWK1589</t>
        </is>
      </c>
      <c r="B3505" s="2" t="inlineStr"/>
      <c r="C3505" s="2" t="inlineStr">
        <is>
          <t>ROLINERA RUEDA DELANTERA R-11/SYMBOL 00-03/TW 35X65X35</t>
        </is>
      </c>
      <c r="D3505" s="2" t="inlineStr">
        <is>
          <t>BRT</t>
        </is>
      </c>
      <c r="E3505" s="3" t="n">
        <v>7</v>
      </c>
      <c r="F3505" s="4" t="n">
        <v>0.3</v>
      </c>
      <c r="G3505" s="5">
        <f>ROUND(E3505*(1+F3505),2)</f>
        <v>9.10</v>
      </c>
      <c r="H3505" s="5">
        <f>ROUND(G3505*NOTAS!$B$2,2)</f>
        <v>6564.24</v>
      </c>
      <c r="I3505" s="6">
        <f>ROUND(G3505*NOTAS!$B$3,0)</f>
        <v>29565</v>
      </c>
      <c r="J3505" s="2" t="n">
        <v>1</v>
      </c>
    </row>
    <row r="3506">
      <c r="A3506" s="2" t="inlineStr">
        <is>
          <t>RE0015</t>
        </is>
      </c>
      <c r="B3506" s="2" t="inlineStr"/>
      <c r="C3506" s="2" t="inlineStr">
        <is>
          <t>ROLINERA RUEDA DELANTERA R-11/SYMBOL 00-03/TW 35X65X35</t>
        </is>
      </c>
      <c r="D3506" s="2" t="inlineStr">
        <is>
          <t>MAXXUN</t>
        </is>
      </c>
      <c r="E3506" s="3" t="n">
        <v>5</v>
      </c>
      <c r="F3506" s="4" t="n">
        <v>0.3</v>
      </c>
      <c r="G3506" s="5">
        <f>ROUND(E3506*(1+F3506),2)</f>
        <v>6.50</v>
      </c>
      <c r="H3506" s="5">
        <f>ROUND(G3506*NOTAS!$B$2,2)</f>
        <v>4688.75</v>
      </c>
      <c r="I3506" s="6">
        <f>ROUND(G3506*NOTAS!$B$3,0)</f>
        <v>21118</v>
      </c>
      <c r="J3506" s="2" t="n">
        <v>1</v>
      </c>
    </row>
    <row r="3507">
      <c r="A3507" s="2" t="inlineStr">
        <is>
          <t>7703090283</t>
        </is>
      </c>
      <c r="B3507" s="2" t="inlineStr"/>
      <c r="C3507" s="2" t="inlineStr">
        <is>
          <t>ROLINERA RUEDA DELANTERA R-11/SYMBOL 00-03/TW 35X65X35</t>
        </is>
      </c>
      <c r="D3507" s="2" t="inlineStr">
        <is>
          <t>FAG</t>
        </is>
      </c>
      <c r="E3507" s="3" t="n">
        <v>15</v>
      </c>
      <c r="F3507" s="4" t="n">
        <v>0.3</v>
      </c>
      <c r="G3507" s="5">
        <f>ROUND(E3507*(1+F3507),2)</f>
        <v>19.50</v>
      </c>
      <c r="H3507" s="5">
        <f>ROUND(G3507*NOTAS!$B$2,2)</f>
        <v>14066.24</v>
      </c>
      <c r="I3507" s="6">
        <f>ROUND(G3507*NOTAS!$B$3,0)</f>
        <v>63353</v>
      </c>
      <c r="J3507" s="2" t="n">
        <v>5</v>
      </c>
    </row>
    <row r="3508">
      <c r="A3508" s="2" t="inlineStr">
        <is>
          <t>BT2B445620BB</t>
        </is>
      </c>
      <c r="B3508" s="2" t="inlineStr"/>
      <c r="C3508" s="2" t="inlineStr">
        <is>
          <t>ROLINERA RUEDA DELANTERA R-11/SYMBOL 00-03/TW 35X65X35</t>
        </is>
      </c>
      <c r="D3508" s="2" t="inlineStr">
        <is>
          <t>SKF</t>
        </is>
      </c>
      <c r="E3508" s="3" t="n">
        <v>15</v>
      </c>
      <c r="F3508" s="4" t="n">
        <v>0.3</v>
      </c>
      <c r="G3508" s="5">
        <f>ROUND(E3508*(1+F3508),2)</f>
        <v>19.50</v>
      </c>
      <c r="H3508" s="5">
        <f>ROUND(G3508*NOTAS!$B$2,2)</f>
        <v>14066.24</v>
      </c>
      <c r="I3508" s="6">
        <f>ROUND(G3508*NOTAS!$B$3,0)</f>
        <v>63353</v>
      </c>
      <c r="J3508" s="2" t="n">
        <v>8</v>
      </c>
    </row>
    <row r="3509">
      <c r="A3509" s="2" t="inlineStr">
        <is>
          <t>8042</t>
        </is>
      </c>
      <c r="B3509" s="2" t="inlineStr"/>
      <c r="C3509" s="2" t="inlineStr">
        <is>
          <t>ROLINERA RUEDA DELANTERA R-11/SYMBOL 00-03/TW 35X65X35</t>
        </is>
      </c>
      <c r="D3509" s="2" t="inlineStr">
        <is>
          <t>KOYO</t>
        </is>
      </c>
      <c r="E3509" s="3" t="n">
        <v>15</v>
      </c>
      <c r="F3509" s="4" t="n">
        <v>0.3</v>
      </c>
      <c r="G3509" s="5">
        <f>ROUND(E3509*(1+F3509),2)</f>
        <v>19.50</v>
      </c>
      <c r="H3509" s="5">
        <f>ROUND(G3509*NOTAS!$B$2,2)</f>
        <v>14066.24</v>
      </c>
      <c r="I3509" s="6">
        <f>ROUND(G3509*NOTAS!$B$3,0)</f>
        <v>63353</v>
      </c>
      <c r="J3509" s="2" t="n">
        <v>35</v>
      </c>
    </row>
    <row r="3510">
      <c r="A3510" s="2" t="inlineStr">
        <is>
          <t>CR31</t>
        </is>
      </c>
      <c r="B3510" s="2" t="inlineStr"/>
      <c r="C3510" s="2" t="inlineStr">
        <is>
          <t>ROLINERA RUEDA DELANTERA R-18/FUEGO/21 40X108X32/17</t>
        </is>
      </c>
      <c r="D3510" s="2" t="inlineStr">
        <is>
          <t>CORAM</t>
        </is>
      </c>
      <c r="E3510" s="3" t="n">
        <v>24</v>
      </c>
      <c r="F3510" s="4" t="n">
        <v>0.3</v>
      </c>
      <c r="G3510" s="5">
        <f>ROUND(E3510*(1+F3510),2)</f>
        <v>31.20</v>
      </c>
      <c r="H3510" s="5">
        <f>ROUND(G3510*NOTAS!$B$2,2)</f>
        <v>22505.98</v>
      </c>
      <c r="I3510" s="6">
        <f>ROUND(G3510*NOTAS!$B$3,0)</f>
        <v>101365</v>
      </c>
      <c r="J3510" s="2" t="n">
        <v>6</v>
      </c>
    </row>
    <row r="3511">
      <c r="A3511" s="2" t="inlineStr">
        <is>
          <t>KML-445533</t>
        </is>
      </c>
      <c r="B3511" s="2" t="inlineStr"/>
      <c r="C3511" s="2" t="inlineStr">
        <is>
          <t>ROLINERA RUEDA DELANTERA R-18/FUEGO/21 40X108X32/17</t>
        </is>
      </c>
      <c r="D3511" s="2" t="inlineStr">
        <is>
          <t>KML</t>
        </is>
      </c>
      <c r="E3511" s="3" t="n">
        <v>20</v>
      </c>
      <c r="F3511" s="4" t="n">
        <v>0.3</v>
      </c>
      <c r="G3511" s="5">
        <f>ROUND(E3511*(1+F3511),2)</f>
        <v>26.00</v>
      </c>
      <c r="H3511" s="5">
        <f>ROUND(G3511*NOTAS!$B$2,2)</f>
        <v>18754.99</v>
      </c>
      <c r="I3511" s="6">
        <f>ROUND(G3511*NOTAS!$B$3,0)</f>
        <v>84471</v>
      </c>
      <c r="J3511" s="2" t="n">
        <v>6</v>
      </c>
    </row>
    <row r="3512">
      <c r="A3512" s="2" t="inlineStr">
        <is>
          <t>BAH-0094</t>
        </is>
      </c>
      <c r="B3512" s="2" t="inlineStr"/>
      <c r="C3512" s="2" t="inlineStr">
        <is>
          <t>ROLINERA RUEDA DELANTERA R-19/LOGAN/SYMBOL 04/… F-PAL/SIE1.8 37X72X37</t>
        </is>
      </c>
      <c r="D3512" s="2" t="inlineStr">
        <is>
          <t>SKF</t>
        </is>
      </c>
      <c r="E3512" s="3" t="n">
        <v>15</v>
      </c>
      <c r="F3512" s="4" t="n">
        <v>0.3</v>
      </c>
      <c r="G3512" s="5">
        <f>ROUND(E3512*(1+F3512),2)</f>
        <v>19.50</v>
      </c>
      <c r="H3512" s="5">
        <f>ROUND(G3512*NOTAS!$B$2,2)</f>
        <v>14066.24</v>
      </c>
      <c r="I3512" s="6">
        <f>ROUND(G3512*NOTAS!$B$3,0)</f>
        <v>63353</v>
      </c>
      <c r="J3512" s="2" t="n">
        <v>30</v>
      </c>
    </row>
    <row r="3513">
      <c r="A3513" s="2" t="inlineStr">
        <is>
          <t>F-113175</t>
        </is>
      </c>
      <c r="B3513" s="2" t="inlineStr"/>
      <c r="C3513" s="2" t="inlineStr">
        <is>
          <t>ROLINERA RUEDA DELANTERA R-19/LOGAN/SYMBOL 04/… F-PAL/SIE1.8 37X72X37</t>
        </is>
      </c>
      <c r="D3513" s="2" t="inlineStr">
        <is>
          <t>INA</t>
        </is>
      </c>
      <c r="E3513" s="3" t="n">
        <v>15</v>
      </c>
      <c r="F3513" s="4" t="n">
        <v>0.3</v>
      </c>
      <c r="G3513" s="5">
        <f>ROUND(E3513*(1+F3513),2)</f>
        <v>19.50</v>
      </c>
      <c r="H3513" s="5">
        <f>ROUND(G3513*NOTAS!$B$2,2)</f>
        <v>14066.24</v>
      </c>
      <c r="I3513" s="6">
        <f>ROUND(G3513*NOTAS!$B$3,0)</f>
        <v>63353</v>
      </c>
      <c r="J3513" s="2" t="n">
        <v>15</v>
      </c>
    </row>
    <row r="3514">
      <c r="A3514" s="2" t="inlineStr">
        <is>
          <t>8066/8088</t>
        </is>
      </c>
      <c r="B3514" s="2" t="inlineStr"/>
      <c r="C3514" s="2" t="inlineStr">
        <is>
          <t>ROLINERA RUEDA DELANTERA R-19/LOGAN/SYMBOL 04/… F-PAL/SIE1.8 37X72X37</t>
        </is>
      </c>
      <c r="D3514" s="2" t="inlineStr">
        <is>
          <t>KOYO</t>
        </is>
      </c>
      <c r="E3514" s="3" t="n">
        <v>15</v>
      </c>
      <c r="F3514" s="4" t="n">
        <v>0.3</v>
      </c>
      <c r="G3514" s="5">
        <f>ROUND(E3514*(1+F3514),2)</f>
        <v>19.50</v>
      </c>
      <c r="H3514" s="5">
        <f>ROUND(G3514*NOTAS!$B$2,2)</f>
        <v>14066.24</v>
      </c>
      <c r="I3514" s="6">
        <f>ROUND(G3514*NOTAS!$B$3,0)</f>
        <v>63353</v>
      </c>
      <c r="J3514" s="2" t="n">
        <v>22</v>
      </c>
    </row>
    <row r="3515">
      <c r="A3515" s="2" t="inlineStr">
        <is>
          <t>RE0014</t>
        </is>
      </c>
      <c r="B3515" s="2" t="inlineStr"/>
      <c r="C3515" s="2" t="inlineStr">
        <is>
          <t>ROLINERA RUEDA DELANTERA R-19/LOGAN/SYMBOL 04/… F-PAL/SIE1.8 37X72X37</t>
        </is>
      </c>
      <c r="D3515" s="2" t="inlineStr">
        <is>
          <t>MAXXUN</t>
        </is>
      </c>
      <c r="E3515" s="3" t="n">
        <v>5.17</v>
      </c>
      <c r="F3515" s="4" t="n">
        <v>0.3</v>
      </c>
      <c r="G3515" s="5">
        <f>ROUND(E3515*(1+F3515),2)</f>
        <v>6.72</v>
      </c>
      <c r="H3515" s="5">
        <f>ROUND(G3515*NOTAS!$B$2,2)</f>
        <v>4847.44</v>
      </c>
      <c r="I3515" s="6">
        <f>ROUND(G3515*NOTAS!$B$3,0)</f>
        <v>21832</v>
      </c>
      <c r="J3515" s="2" t="n">
        <v>2</v>
      </c>
    </row>
    <row r="3516">
      <c r="A3516" s="2" t="inlineStr">
        <is>
          <t>82390273-1</t>
        </is>
      </c>
      <c r="B3516" s="2" t="inlineStr"/>
      <c r="C3516" s="2" t="inlineStr">
        <is>
          <t>ROLINERA RUEDA DELANTERA R-19/LOGAN/SYMBOL 04/… F-PAL/SIE1.8 37X72X37</t>
        </is>
      </c>
      <c r="D3516" s="2" t="inlineStr">
        <is>
          <t>AXN</t>
        </is>
      </c>
      <c r="E3516" s="3" t="n">
        <v>7</v>
      </c>
      <c r="F3516" s="4" t="n">
        <v>0.3</v>
      </c>
      <c r="G3516" s="5">
        <f>ROUND(E3516*(1+F3516),2)</f>
        <v>9.10</v>
      </c>
      <c r="H3516" s="5">
        <f>ROUND(G3516*NOTAS!$B$2,2)</f>
        <v>6564.24</v>
      </c>
      <c r="I3516" s="6">
        <f>ROUND(G3516*NOTAS!$B$3,0)</f>
        <v>29565</v>
      </c>
      <c r="J3516" s="2" t="n">
        <v>1</v>
      </c>
    </row>
    <row r="3517">
      <c r="A3517" s="2" t="inlineStr">
        <is>
          <t>8066/8088</t>
        </is>
      </c>
      <c r="B3517" s="2" t="inlineStr"/>
      <c r="C3517" s="2" t="inlineStr">
        <is>
          <t>ROLINERA RUEDA DELANTERA R-19/LOGAN/SYMBOL 04/… F-PAL/SIE1.8 37X72X37</t>
        </is>
      </c>
      <c r="D3517" s="2" t="inlineStr">
        <is>
          <t>KOYO</t>
        </is>
      </c>
      <c r="E3517" s="3" t="n">
        <v>15</v>
      </c>
      <c r="F3517" s="4" t="n">
        <v>0.3</v>
      </c>
      <c r="G3517" s="5">
        <f>ROUND(E3517*(1+F3517),2)</f>
        <v>19.50</v>
      </c>
      <c r="H3517" s="5">
        <f>ROUND(G3517*NOTAS!$B$2,2)</f>
        <v>14066.24</v>
      </c>
      <c r="I3517" s="6">
        <f>ROUND(G3517*NOTAS!$B$3,0)</f>
        <v>63353</v>
      </c>
      <c r="J3517" s="2" t="n">
        <v>22</v>
      </c>
    </row>
    <row r="3518">
      <c r="A3518" s="2" t="inlineStr">
        <is>
          <t>6206</t>
        </is>
      </c>
      <c r="B3518" s="2" t="inlineStr"/>
      <c r="C3518" s="2" t="inlineStr">
        <is>
          <t>ROLINERA RUEDA DELANTERA R-5</t>
        </is>
      </c>
      <c r="D3518" s="2" t="inlineStr">
        <is>
          <t>NBC</t>
        </is>
      </c>
      <c r="E3518" s="3" t="n">
        <v>3</v>
      </c>
      <c r="F3518" s="4" t="n">
        <v>0.3</v>
      </c>
      <c r="G3518" s="5">
        <f>ROUND(E3518*(1+F3518),2)</f>
        <v>3.90</v>
      </c>
      <c r="H3518" s="5">
        <f>ROUND(G3518*NOTAS!$B$2,2)</f>
        <v>2813.25</v>
      </c>
      <c r="I3518" s="6">
        <f>ROUND(G3518*NOTAS!$B$3,0)</f>
        <v>12671</v>
      </c>
      <c r="J3518" s="2" t="n">
        <v>2</v>
      </c>
    </row>
    <row r="3519">
      <c r="A3519" s="2" t="inlineStr">
        <is>
          <t>SET17-1</t>
        </is>
      </c>
      <c r="B3519" s="2" t="inlineStr"/>
      <c r="C3519" s="2" t="inlineStr">
        <is>
          <t>ROLINERA RUEDA DELANTERA SPARK</t>
        </is>
      </c>
      <c r="D3519" s="2" t="inlineStr">
        <is>
          <t>KBC</t>
        </is>
      </c>
      <c r="E3519" s="3" t="n">
        <v>7</v>
      </c>
      <c r="F3519" s="4" t="n">
        <v>0.3</v>
      </c>
      <c r="G3519" s="5">
        <f>ROUND(E3519*(1+F3519),2)</f>
        <v>9.10</v>
      </c>
      <c r="H3519" s="5">
        <f>ROUND(G3519*NOTAS!$B$2,2)</f>
        <v>6564.24</v>
      </c>
      <c r="I3519" s="6">
        <f>ROUND(G3519*NOTAS!$B$3,0)</f>
        <v>29565</v>
      </c>
      <c r="J3519" s="2" t="n">
        <v>3</v>
      </c>
    </row>
    <row r="3520">
      <c r="A3520" s="2" t="inlineStr">
        <is>
          <t>L68149/11</t>
        </is>
      </c>
      <c r="B3520" s="2" t="inlineStr"/>
      <c r="C3520" s="2" t="inlineStr">
        <is>
          <t>ROLINERA RUEDA DELANTERA SPARK</t>
        </is>
      </c>
      <c r="D3520" s="2" t="inlineStr">
        <is>
          <t>KOYO</t>
        </is>
      </c>
      <c r="E3520" s="3" t="n">
        <v>12</v>
      </c>
      <c r="F3520" s="4" t="n">
        <v>0.3</v>
      </c>
      <c r="G3520" s="5">
        <f>ROUND(E3520*(1+F3520),2)</f>
        <v>15.60</v>
      </c>
      <c r="H3520" s="5">
        <f>ROUND(G3520*NOTAS!$B$2,2)</f>
        <v>11252.99</v>
      </c>
      <c r="I3520" s="6">
        <f>ROUND(G3520*NOTAS!$B$3,0)</f>
        <v>50682</v>
      </c>
      <c r="J3520" s="2" t="n">
        <v>7</v>
      </c>
    </row>
    <row r="3521">
      <c r="A3521" s="2" t="inlineStr">
        <is>
          <t>P96285525</t>
        </is>
      </c>
      <c r="B3521" s="2" t="inlineStr"/>
      <c r="C3521" s="2" t="inlineStr">
        <is>
          <t>ROLINERA RUEDA DELANTERA SPARK</t>
        </is>
      </c>
      <c r="D3521" s="2" t="inlineStr">
        <is>
          <t>UNION</t>
        </is>
      </c>
      <c r="E3521" s="3" t="n">
        <v>4</v>
      </c>
      <c r="F3521" s="4" t="n">
        <v>0.3</v>
      </c>
      <c r="G3521" s="5">
        <f>ROUND(E3521*(1+F3521),2)</f>
        <v>5.20</v>
      </c>
      <c r="H3521" s="5">
        <f>ROUND(G3521*NOTAS!$B$2,2)</f>
        <v>3751.00</v>
      </c>
      <c r="I3521" s="6">
        <f>ROUND(G3521*NOTAS!$B$3,0)</f>
        <v>16894</v>
      </c>
      <c r="J3521" s="2" t="n">
        <v>1</v>
      </c>
    </row>
    <row r="3522">
      <c r="A3522" s="2" t="inlineStr">
        <is>
          <t>GM0021</t>
        </is>
      </c>
      <c r="B3522" s="2" t="inlineStr"/>
      <c r="C3522" s="2" t="inlineStr">
        <is>
          <t>ROLINERA RUEDA DELANTERA SWIFT 36X68X33</t>
        </is>
      </c>
      <c r="D3522" s="2" t="inlineStr">
        <is>
          <t>MAXXUN</t>
        </is>
      </c>
      <c r="E3522" s="3" t="n">
        <v>6</v>
      </c>
      <c r="F3522" s="4" t="n">
        <v>0.3</v>
      </c>
      <c r="G3522" s="5">
        <f>ROUND(E3522*(1+F3522),2)</f>
        <v>7.80</v>
      </c>
      <c r="H3522" s="5">
        <f>ROUND(G3522*NOTAS!$B$2,2)</f>
        <v>5626.50</v>
      </c>
      <c r="I3522" s="6">
        <f>ROUND(G3522*NOTAS!$B$3,0)</f>
        <v>25341</v>
      </c>
      <c r="J3522" s="2" t="n">
        <v>4</v>
      </c>
    </row>
    <row r="3523">
      <c r="A3523" s="2" t="inlineStr">
        <is>
          <t>DAC35620040</t>
        </is>
      </c>
      <c r="B3523" s="2" t="inlineStr"/>
      <c r="C3523" s="2" t="inlineStr">
        <is>
          <t>ROLINERA RUEDA DELANTERA WAGON R 35X62X40</t>
        </is>
      </c>
      <c r="D3523" s="2" t="inlineStr">
        <is>
          <t>KOYO</t>
        </is>
      </c>
      <c r="E3523" s="3" t="n">
        <v>5.8</v>
      </c>
      <c r="F3523" s="4" t="n">
        <v>0.3</v>
      </c>
      <c r="G3523" s="5">
        <f>ROUND(E3523*(1+F3523),2)</f>
        <v>7.54</v>
      </c>
      <c r="H3523" s="5">
        <f>ROUND(G3523*NOTAS!$B$2,2)</f>
        <v>5438.95</v>
      </c>
      <c r="I3523" s="6">
        <f>ROUND(G3523*NOTAS!$B$3,0)</f>
        <v>24496</v>
      </c>
      <c r="J3523" s="2" t="n">
        <v>2</v>
      </c>
    </row>
    <row r="3524">
      <c r="A3524" s="2" t="inlineStr">
        <is>
          <t>2220</t>
        </is>
      </c>
      <c r="B3524" s="2" t="inlineStr"/>
      <c r="C3524" s="2" t="inlineStr">
        <is>
          <t>ROLINERA RUEDA TRASERA AVEO/R-19/SYMBOL/TW/CL 25X52X37</t>
        </is>
      </c>
      <c r="D3524" s="2" t="inlineStr">
        <is>
          <t>KOYO</t>
        </is>
      </c>
      <c r="E3524" s="3" t="n">
        <v>15</v>
      </c>
      <c r="F3524" s="4" t="n">
        <v>0.3</v>
      </c>
      <c r="G3524" s="5">
        <f>ROUND(E3524*(1+F3524),2)</f>
        <v>19.50</v>
      </c>
      <c r="H3524" s="5">
        <f>ROUND(G3524*NOTAS!$B$2,2)</f>
        <v>14066.24</v>
      </c>
      <c r="I3524" s="6">
        <f>ROUND(G3524*NOTAS!$B$3,0)</f>
        <v>63353</v>
      </c>
      <c r="J3524" s="2" t="n">
        <v>12</v>
      </c>
    </row>
    <row r="3525">
      <c r="A3525" s="2" t="inlineStr">
        <is>
          <t>BT2B445539CC</t>
        </is>
      </c>
      <c r="B3525" s="2" t="inlineStr"/>
      <c r="C3525" s="2" t="inlineStr">
        <is>
          <t>ROLINERA RUEDA TRASERA AVEO/R-19/SYMBOL/TW/CL 25X52X37</t>
        </is>
      </c>
      <c r="D3525" s="2" t="inlineStr">
        <is>
          <t>SKF</t>
        </is>
      </c>
      <c r="E3525" s="3" t="n">
        <v>15</v>
      </c>
      <c r="F3525" s="4" t="n">
        <v>0.3</v>
      </c>
      <c r="G3525" s="5">
        <f>ROUND(E3525*(1+F3525),2)</f>
        <v>19.50</v>
      </c>
      <c r="H3525" s="5">
        <f>ROUND(G3525*NOTAS!$B$2,2)</f>
        <v>14066.24</v>
      </c>
      <c r="I3525" s="6">
        <f>ROUND(G3525*NOTAS!$B$3,0)</f>
        <v>63353</v>
      </c>
      <c r="J3525" s="2" t="n">
        <v>3</v>
      </c>
    </row>
    <row r="3526">
      <c r="A3526" s="2" t="inlineStr">
        <is>
          <t>CR25</t>
        </is>
      </c>
      <c r="B3526" s="2" t="inlineStr"/>
      <c r="C3526" s="2" t="inlineStr">
        <is>
          <t>ROLINERA RUEDA TRASERA AVEO/R-19/SYMBOL/TW/CL 25X52X37</t>
        </is>
      </c>
      <c r="D3526" s="2" t="inlineStr">
        <is>
          <t>EUROBERING</t>
        </is>
      </c>
      <c r="E3526" s="3" t="n">
        <v>12</v>
      </c>
      <c r="F3526" s="4" t="n">
        <v>0.3</v>
      </c>
      <c r="G3526" s="5">
        <f>ROUND(E3526*(1+F3526),2)</f>
        <v>15.60</v>
      </c>
      <c r="H3526" s="5">
        <f>ROUND(G3526*NOTAS!$B$2,2)</f>
        <v>11252.99</v>
      </c>
      <c r="I3526" s="6">
        <f>ROUND(G3526*NOTAS!$B$3,0)</f>
        <v>50682</v>
      </c>
      <c r="J3526" s="2" t="n">
        <v>2</v>
      </c>
    </row>
    <row r="3527">
      <c r="A3527" s="2" t="inlineStr">
        <is>
          <t>95608940-1</t>
        </is>
      </c>
      <c r="B3527" s="2" t="inlineStr"/>
      <c r="C3527" s="2" t="inlineStr">
        <is>
          <t>ROLINERA RUEDA TRASERA AVEO/R-19/SYMBOL/TW/CL 25X52X37</t>
        </is>
      </c>
      <c r="D3527" s="2" t="inlineStr">
        <is>
          <t>AXN</t>
        </is>
      </c>
      <c r="E3527" s="3" t="n">
        <v>7</v>
      </c>
      <c r="F3527" s="4" t="n">
        <v>0.3</v>
      </c>
      <c r="G3527" s="5">
        <f>ROUND(E3527*(1+F3527),2)</f>
        <v>9.10</v>
      </c>
      <c r="H3527" s="5">
        <f>ROUND(G3527*NOTAS!$B$2,2)</f>
        <v>6564.24</v>
      </c>
      <c r="I3527" s="6">
        <f>ROUND(G3527*NOTAS!$B$3,0)</f>
        <v>29565</v>
      </c>
      <c r="J3527" s="2" t="n">
        <v>3</v>
      </c>
    </row>
    <row r="3528">
      <c r="A3528" s="2" t="inlineStr">
        <is>
          <t>RE0183</t>
        </is>
      </c>
      <c r="B3528" s="2" t="inlineStr"/>
      <c r="C3528" s="2" t="inlineStr">
        <is>
          <t>ROLINERA RUEDA TRASERA AVEO/R-19/SYMBOL/TW/CL 25X52X37</t>
        </is>
      </c>
      <c r="D3528" s="2" t="inlineStr">
        <is>
          <t>MAXXUN</t>
        </is>
      </c>
      <c r="E3528" s="3" t="n">
        <v>6</v>
      </c>
      <c r="F3528" s="4" t="n">
        <v>0.3</v>
      </c>
      <c r="G3528" s="5">
        <f>ROUND(E3528*(1+F3528),2)</f>
        <v>7.80</v>
      </c>
      <c r="H3528" s="5">
        <f>ROUND(G3528*NOTAS!$B$2,2)</f>
        <v>5626.50</v>
      </c>
      <c r="I3528" s="6">
        <f>ROUND(G3528*NOTAS!$B$3,0)</f>
        <v>25341</v>
      </c>
      <c r="J3528" s="2" t="n">
        <v>4</v>
      </c>
    </row>
    <row r="3529">
      <c r="A3529" s="2" t="inlineStr">
        <is>
          <t>96471776</t>
        </is>
      </c>
      <c r="B3529" s="2" t="inlineStr"/>
      <c r="C3529" s="2" t="inlineStr">
        <is>
          <t>ROLINERA RUEDA TRASERA AVEO/R-19/SYMBOL/TW/CL 25X52X37</t>
        </is>
      </c>
      <c r="D3529" s="2" t="inlineStr">
        <is>
          <t>GM</t>
        </is>
      </c>
      <c r="E3529" s="3" t="n">
        <v>7</v>
      </c>
      <c r="F3529" s="4" t="n">
        <v>0.3</v>
      </c>
      <c r="G3529" s="5">
        <f>ROUND(E3529*(1+F3529),2)</f>
        <v>9.10</v>
      </c>
      <c r="H3529" s="5">
        <f>ROUND(G3529*NOTAS!$B$2,2)</f>
        <v>6564.24</v>
      </c>
      <c r="I3529" s="6">
        <f>ROUND(G3529*NOTAS!$B$3,0)</f>
        <v>29565</v>
      </c>
      <c r="J3529" s="2" t="n">
        <v>1</v>
      </c>
    </row>
    <row r="3530">
      <c r="A3530" s="2" t="inlineStr">
        <is>
          <t>DAC286142AWCS40</t>
        </is>
      </c>
      <c r="B3530" s="2" t="inlineStr"/>
      <c r="C3530" s="2" t="inlineStr">
        <is>
          <t>ROLINERA RUEDA TRASERA COROLLA AVILA ARAYA SKY 28X62X42</t>
        </is>
      </c>
      <c r="D3530" s="2" t="inlineStr">
        <is>
          <t>KOYO</t>
        </is>
      </c>
      <c r="E3530" s="3" t="n">
        <v>15</v>
      </c>
      <c r="F3530" s="4" t="n">
        <v>0.3</v>
      </c>
      <c r="G3530" s="5">
        <f>ROUND(E3530*(1+F3530),2)</f>
        <v>19.50</v>
      </c>
      <c r="H3530" s="5">
        <f>ROUND(G3530*NOTAS!$B$2,2)</f>
        <v>14066.24</v>
      </c>
      <c r="I3530" s="6">
        <f>ROUND(G3530*NOTAS!$B$3,0)</f>
        <v>63353</v>
      </c>
      <c r="J3530" s="2" t="n">
        <v>2</v>
      </c>
    </row>
    <row r="3531">
      <c r="A3531" s="2" t="inlineStr">
        <is>
          <t>224.32005JR</t>
        </is>
      </c>
      <c r="B3531" s="2" t="inlineStr"/>
      <c r="C3531" s="2" t="inlineStr">
        <is>
          <t>ROLINERA RUEDA TRASERA EXT R-5</t>
        </is>
      </c>
      <c r="D3531" s="2" t="inlineStr">
        <is>
          <t>DMI</t>
        </is>
      </c>
      <c r="E3531" s="3" t="n">
        <v>2</v>
      </c>
      <c r="F3531" s="4" t="n">
        <v>0.3</v>
      </c>
      <c r="G3531" s="5">
        <f>ROUND(E3531*(1+F3531),2)</f>
        <v>2.60</v>
      </c>
      <c r="H3531" s="5">
        <f>ROUND(G3531*NOTAS!$B$2,2)</f>
        <v>1875.50</v>
      </c>
      <c r="I3531" s="6">
        <f>ROUND(G3531*NOTAS!$B$3,0)</f>
        <v>8447</v>
      </c>
      <c r="J3531" s="2" t="n">
        <v>3</v>
      </c>
    </row>
    <row r="3532">
      <c r="A3532" s="2" t="inlineStr">
        <is>
          <t>30204JR</t>
        </is>
      </c>
      <c r="B3532" s="2" t="inlineStr"/>
      <c r="C3532" s="2" t="inlineStr">
        <is>
          <t>ROLINERA RUEDA TRASERA EXT SPARK/MATIZ</t>
        </is>
      </c>
      <c r="D3532" s="2" t="inlineStr">
        <is>
          <t>KOYO</t>
        </is>
      </c>
      <c r="E3532" s="3" t="n">
        <v>10</v>
      </c>
      <c r="F3532" s="4" t="n">
        <v>0.3</v>
      </c>
      <c r="G3532" s="5">
        <f>ROUND(E3532*(1+F3532),2)</f>
        <v>13.00</v>
      </c>
      <c r="H3532" s="5">
        <f>ROUND(G3532*NOTAS!$B$2,2)</f>
        <v>9377.49</v>
      </c>
      <c r="I3532" s="6">
        <f>ROUND(G3532*NOTAS!$B$3,0)</f>
        <v>42235</v>
      </c>
      <c r="J3532" s="2" t="n">
        <v>2</v>
      </c>
    </row>
    <row r="3533">
      <c r="A3533" s="2" t="inlineStr">
        <is>
          <t>96316634</t>
        </is>
      </c>
      <c r="B3533" s="2" t="inlineStr"/>
      <c r="C3533" s="2" t="inlineStr">
        <is>
          <t>ROLINERA RUEDA TRASERA EXT SPARK/MATIZ</t>
        </is>
      </c>
      <c r="D3533" s="2" t="inlineStr">
        <is>
          <t>GM</t>
        </is>
      </c>
      <c r="E3533" s="3" t="n">
        <v>8</v>
      </c>
      <c r="F3533" s="4" t="n">
        <v>0.3</v>
      </c>
      <c r="G3533" s="5">
        <f>ROUND(E3533*(1+F3533),2)</f>
        <v>10.40</v>
      </c>
      <c r="H3533" s="5">
        <f>ROUND(G3533*NOTAS!$B$2,2)</f>
        <v>7501.99</v>
      </c>
      <c r="I3533" s="6">
        <f>ROUND(G3533*NOTAS!$B$3,0)</f>
        <v>33788</v>
      </c>
      <c r="J3533" s="2" t="n">
        <v>2</v>
      </c>
    </row>
    <row r="3534">
      <c r="A3534" s="2" t="inlineStr">
        <is>
          <t>BTH-1206AB</t>
        </is>
      </c>
      <c r="B3534" s="2" t="inlineStr"/>
      <c r="C3534" s="2" t="inlineStr">
        <is>
          <t>ROLINERA RUEDA TRASERA FIESTA 04/… ECOSPORT</t>
        </is>
      </c>
      <c r="D3534" s="2" t="inlineStr">
        <is>
          <t>SKF</t>
        </is>
      </c>
      <c r="E3534" s="3" t="n">
        <v>15</v>
      </c>
      <c r="F3534" s="4" t="n">
        <v>0.3</v>
      </c>
      <c r="G3534" s="5">
        <f>ROUND(E3534*(1+F3534),2)</f>
        <v>19.50</v>
      </c>
      <c r="H3534" s="5">
        <f>ROUND(G3534*NOTAS!$B$2,2)</f>
        <v>14066.24</v>
      </c>
      <c r="I3534" s="6">
        <f>ROUND(G3534*NOTAS!$B$3,0)</f>
        <v>63353</v>
      </c>
      <c r="J3534" s="2" t="n">
        <v>16</v>
      </c>
    </row>
    <row r="3535">
      <c r="A3535" s="2" t="inlineStr">
        <is>
          <t>301023</t>
        </is>
      </c>
      <c r="B3535" s="2" t="inlineStr"/>
      <c r="C3535" s="2" t="inlineStr">
        <is>
          <t>ROLINERA RUEDA TRASERA FIESTA 04/… ECOSPORT</t>
        </is>
      </c>
      <c r="D3535" s="2" t="inlineStr">
        <is>
          <t>AXN</t>
        </is>
      </c>
      <c r="E3535" s="3" t="n">
        <v>7</v>
      </c>
      <c r="F3535" s="4" t="n">
        <v>0.3</v>
      </c>
      <c r="G3535" s="5">
        <f>ROUND(E3535*(1+F3535),2)</f>
        <v>9.10</v>
      </c>
      <c r="H3535" s="5">
        <f>ROUND(G3535*NOTAS!$B$2,2)</f>
        <v>6564.24</v>
      </c>
      <c r="I3535" s="6">
        <f>ROUND(G3535*NOTAS!$B$3,0)</f>
        <v>29565</v>
      </c>
      <c r="J3535" s="2" t="n">
        <v>3</v>
      </c>
    </row>
    <row r="3536">
      <c r="A3536" s="2" t="inlineStr">
        <is>
          <t>2228</t>
        </is>
      </c>
      <c r="B3536" s="2" t="inlineStr"/>
      <c r="C3536" s="2" t="inlineStr">
        <is>
          <t>ROLINERA RUEDA TRASERA FIESTA 04/… ECOSPORT</t>
        </is>
      </c>
      <c r="D3536" s="2" t="inlineStr">
        <is>
          <t>AHM</t>
        </is>
      </c>
      <c r="E3536" s="3" t="n">
        <v>7</v>
      </c>
      <c r="F3536" s="4" t="n">
        <v>0.3</v>
      </c>
      <c r="G3536" s="5">
        <f>ROUND(E3536*(1+F3536),2)</f>
        <v>9.10</v>
      </c>
      <c r="H3536" s="5">
        <f>ROUND(G3536*NOTAS!$B$2,2)</f>
        <v>6564.24</v>
      </c>
      <c r="I3536" s="6">
        <f>ROUND(G3536*NOTAS!$B$3,0)</f>
        <v>29565</v>
      </c>
      <c r="J3536" s="2" t="n">
        <v>2</v>
      </c>
    </row>
    <row r="3537">
      <c r="A3537" s="2" t="inlineStr">
        <is>
          <t>2228</t>
        </is>
      </c>
      <c r="B3537" s="2" t="inlineStr"/>
      <c r="C3537" s="2" t="inlineStr">
        <is>
          <t>ROLINERA RUEDA TRASERA FIESTA 04/… ECOSPORT</t>
        </is>
      </c>
      <c r="D3537" s="2" t="inlineStr">
        <is>
          <t>KOYO</t>
        </is>
      </c>
      <c r="E3537" s="3" t="n">
        <v>15</v>
      </c>
      <c r="F3537" s="4" t="n">
        <v>0.3</v>
      </c>
      <c r="G3537" s="5">
        <f>ROUND(E3537*(1+F3537),2)</f>
        <v>19.50</v>
      </c>
      <c r="H3537" s="5">
        <f>ROUND(G3537*NOTAS!$B$2,2)</f>
        <v>14066.24</v>
      </c>
      <c r="I3537" s="6">
        <f>ROUND(G3537*NOTAS!$B$3,0)</f>
        <v>63353</v>
      </c>
      <c r="J3537" s="2" t="n">
        <v>1</v>
      </c>
    </row>
    <row r="3538">
      <c r="A3538" s="2" t="inlineStr">
        <is>
          <t>CR-43</t>
        </is>
      </c>
      <c r="B3538" s="2" t="inlineStr"/>
      <c r="C3538" s="2" t="inlineStr">
        <is>
          <t>ROLINERA RUEDA TRASERA FIESTA/KA</t>
        </is>
      </c>
      <c r="D3538" s="2" t="inlineStr">
        <is>
          <t>CORAM</t>
        </is>
      </c>
      <c r="E3538" s="3" t="n">
        <v>7</v>
      </c>
      <c r="F3538" s="4" t="n">
        <v>0.3</v>
      </c>
      <c r="G3538" s="5">
        <f>ROUND(E3538*(1+F3538),2)</f>
        <v>9.10</v>
      </c>
      <c r="H3538" s="5">
        <f>ROUND(G3538*NOTAS!$B$2,2)</f>
        <v>6564.24</v>
      </c>
      <c r="I3538" s="6">
        <f>ROUND(G3538*NOTAS!$B$3,0)</f>
        <v>29565</v>
      </c>
      <c r="J3538" s="2" t="n">
        <v>9</v>
      </c>
    </row>
    <row r="3539">
      <c r="A3539" s="2" t="inlineStr">
        <is>
          <t>329013Q</t>
        </is>
      </c>
      <c r="B3539" s="2" t="inlineStr"/>
      <c r="C3539" s="2" t="inlineStr">
        <is>
          <t>ROLINERA RUEDA TRASERA FIESTA/KA</t>
        </is>
      </c>
      <c r="D3539" s="2" t="inlineStr">
        <is>
          <t>KML</t>
        </is>
      </c>
      <c r="E3539" s="3" t="n">
        <v>4</v>
      </c>
      <c r="F3539" s="4" t="n">
        <v>0.3</v>
      </c>
      <c r="G3539" s="5">
        <f>ROUND(E3539*(1+F3539),2)</f>
        <v>5.20</v>
      </c>
      <c r="H3539" s="5">
        <f>ROUND(G3539*NOTAS!$B$2,2)</f>
        <v>3751.00</v>
      </c>
      <c r="I3539" s="6">
        <f>ROUND(G3539*NOTAS!$B$3,0)</f>
        <v>16894</v>
      </c>
      <c r="J3539" s="2" t="n">
        <v>2</v>
      </c>
    </row>
    <row r="3540">
      <c r="A3540" s="2" t="inlineStr">
        <is>
          <t>FD0043</t>
        </is>
      </c>
      <c r="B3540" s="2" t="inlineStr"/>
      <c r="C3540" s="2" t="inlineStr">
        <is>
          <t>ROLINERA RUEDA TRASERA FIESTA/KA</t>
        </is>
      </c>
      <c r="D3540" s="2" t="inlineStr">
        <is>
          <t>MAXXUN</t>
        </is>
      </c>
      <c r="E3540" s="3" t="n">
        <v>4</v>
      </c>
      <c r="F3540" s="4" t="n">
        <v>0.3</v>
      </c>
      <c r="G3540" s="5">
        <f>ROUND(E3540*(1+F3540),2)</f>
        <v>5.20</v>
      </c>
      <c r="H3540" s="5">
        <f>ROUND(G3540*NOTAS!$B$2,2)</f>
        <v>3751.00</v>
      </c>
      <c r="I3540" s="6">
        <f>ROUND(G3540*NOTAS!$B$3,0)</f>
        <v>16894</v>
      </c>
      <c r="J3540" s="2" t="n">
        <v>6</v>
      </c>
    </row>
    <row r="3541">
      <c r="A3541" s="2" t="inlineStr">
        <is>
          <t>32004</t>
        </is>
      </c>
      <c r="B3541" s="2" t="inlineStr"/>
      <c r="C3541" s="2" t="inlineStr">
        <is>
          <t>ROLINERA RUEDA TRASERA INT R-5</t>
        </is>
      </c>
      <c r="D3541" s="2" t="inlineStr">
        <is>
          <t>SHIWATA</t>
        </is>
      </c>
      <c r="E3541" s="3" t="n">
        <v>2</v>
      </c>
      <c r="F3541" s="4" t="n">
        <v>0.3</v>
      </c>
      <c r="G3541" s="5">
        <f>ROUND(E3541*(1+F3541),2)</f>
        <v>2.60</v>
      </c>
      <c r="H3541" s="5">
        <f>ROUND(G3541*NOTAS!$B$2,2)</f>
        <v>1875.50</v>
      </c>
      <c r="I3541" s="6">
        <f>ROUND(G3541*NOTAS!$B$3,0)</f>
        <v>8447</v>
      </c>
      <c r="J3541" s="2" t="n">
        <v>2</v>
      </c>
    </row>
    <row r="3542">
      <c r="A3542" s="2" t="inlineStr">
        <is>
          <t>30205JR</t>
        </is>
      </c>
      <c r="B3542" s="2" t="inlineStr"/>
      <c r="C3542" s="2" t="inlineStr">
        <is>
          <t>ROLINERA RUEDA TRASERA INT SPARK/MATIZ</t>
        </is>
      </c>
      <c r="D3542" s="2" t="inlineStr">
        <is>
          <t>KOYO</t>
        </is>
      </c>
      <c r="E3542" s="3" t="n">
        <v>10</v>
      </c>
      <c r="F3542" s="4" t="n">
        <v>0.3</v>
      </c>
      <c r="G3542" s="5">
        <f>ROUND(E3542*(1+F3542),2)</f>
        <v>13.00</v>
      </c>
      <c r="H3542" s="5">
        <f>ROUND(G3542*NOTAS!$B$2,2)</f>
        <v>9377.49</v>
      </c>
      <c r="I3542" s="6">
        <f>ROUND(G3542*NOTAS!$B$3,0)</f>
        <v>42235</v>
      </c>
      <c r="J3542" s="2" t="n">
        <v>8</v>
      </c>
    </row>
    <row r="3543">
      <c r="A3543" s="2" t="inlineStr">
        <is>
          <t>96316635</t>
        </is>
      </c>
      <c r="B3543" s="2" t="inlineStr"/>
      <c r="C3543" s="2" t="inlineStr">
        <is>
          <t>ROLINERA RUEDA TRASERA INT SPARK/MATIZ</t>
        </is>
      </c>
      <c r="D3543" s="2" t="inlineStr">
        <is>
          <t>WOORI CHEMICAL</t>
        </is>
      </c>
      <c r="E3543" s="3" t="n">
        <v>6</v>
      </c>
      <c r="F3543" s="4" t="n">
        <v>0.3</v>
      </c>
      <c r="G3543" s="5">
        <f>ROUND(E3543*(1+F3543),2)</f>
        <v>7.80</v>
      </c>
      <c r="H3543" s="5">
        <f>ROUND(G3543*NOTAS!$B$2,2)</f>
        <v>5626.50</v>
      </c>
      <c r="I3543" s="6">
        <f>ROUND(G3543*NOTAS!$B$3,0)</f>
        <v>25341</v>
      </c>
      <c r="J3543" s="2" t="n">
        <v>2</v>
      </c>
    </row>
    <row r="3544">
      <c r="A3544" s="2" t="inlineStr">
        <is>
          <t>GM0023</t>
        </is>
      </c>
      <c r="B3544" s="2" t="inlineStr"/>
      <c r="C3544" s="2" t="inlineStr">
        <is>
          <t>ROLINERA RUEDA TRASERA INT SWIFT</t>
        </is>
      </c>
      <c r="D3544" s="2" t="inlineStr">
        <is>
          <t>LUCAS VARITY</t>
        </is>
      </c>
      <c r="E3544" s="3" t="n">
        <v>4</v>
      </c>
      <c r="F3544" s="4" t="n">
        <v>0.3</v>
      </c>
      <c r="G3544" s="5">
        <f>ROUND(E3544*(1+F3544),2)</f>
        <v>5.20</v>
      </c>
      <c r="H3544" s="5">
        <f>ROUND(G3544*NOTAS!$B$2,2)</f>
        <v>3751.00</v>
      </c>
      <c r="I3544" s="6">
        <f>ROUND(G3544*NOTAS!$B$3,0)</f>
        <v>16894</v>
      </c>
      <c r="J3544" s="2" t="n">
        <v>4</v>
      </c>
    </row>
    <row r="3545">
      <c r="A3545" s="2" t="inlineStr">
        <is>
          <t>5707</t>
        </is>
      </c>
      <c r="B3545" s="2" t="inlineStr"/>
      <c r="C3545" s="2" t="inlineStr">
        <is>
          <t>ROLINERA RUEDA TRASERA PUNTA EJE GRUESA MALIBU</t>
        </is>
      </c>
      <c r="D3545" s="2" t="inlineStr">
        <is>
          <t>FEDERAL MOGUL</t>
        </is>
      </c>
      <c r="E3545" s="3" t="n">
        <v>15.3846</v>
      </c>
      <c r="F3545" s="4" t="n">
        <v>0.3</v>
      </c>
      <c r="G3545" s="5">
        <f>ROUND(E3545*(1+F3545),2)</f>
        <v>20.00</v>
      </c>
      <c r="H3545" s="5">
        <f>ROUND(G3545*NOTAS!$B$2,2)</f>
        <v>14426.91</v>
      </c>
      <c r="I3545" s="6">
        <f>ROUND(G3545*NOTAS!$B$3,0)</f>
        <v>64977</v>
      </c>
      <c r="J3545" s="2" t="n">
        <v>1</v>
      </c>
    </row>
    <row r="3546">
      <c r="A3546" s="2" t="inlineStr">
        <is>
          <t>A-1</t>
        </is>
      </c>
      <c r="B3546" s="2" t="inlineStr">
        <is>
          <t>SET-1</t>
        </is>
      </c>
      <c r="C3546" s="2" t="inlineStr">
        <is>
          <t>ROLINERA SET-1</t>
        </is>
      </c>
      <c r="D3546" s="2" t="inlineStr">
        <is>
          <t>FEDERAL MOGUL</t>
        </is>
      </c>
      <c r="E3546" s="3" t="n">
        <v>4</v>
      </c>
      <c r="F3546" s="4" t="n">
        <v>0.3</v>
      </c>
      <c r="G3546" s="5">
        <f>ROUND(E3546*(1+F3546),2)</f>
        <v>5.20</v>
      </c>
      <c r="H3546" s="5">
        <f>ROUND(G3546*NOTAS!$B$2,2)</f>
        <v>3751.00</v>
      </c>
      <c r="I3546" s="6">
        <f>ROUND(G3546*NOTAS!$B$3,0)</f>
        <v>16894</v>
      </c>
      <c r="J3546" s="2" t="n">
        <v>2</v>
      </c>
    </row>
    <row r="3547">
      <c r="A3547" s="2" t="inlineStr">
        <is>
          <t>LM11749R/10</t>
        </is>
      </c>
      <c r="B3547" s="2" t="inlineStr">
        <is>
          <t>SET-1</t>
        </is>
      </c>
      <c r="C3547" s="2" t="inlineStr">
        <is>
          <t>ROLINERA SET-1</t>
        </is>
      </c>
      <c r="D3547" s="2" t="inlineStr">
        <is>
          <t>KOYO</t>
        </is>
      </c>
      <c r="E3547" s="3" t="n">
        <v>8</v>
      </c>
      <c r="F3547" s="4" t="n">
        <v>0.3</v>
      </c>
      <c r="G3547" s="5">
        <f>ROUND(E3547*(1+F3547),2)</f>
        <v>10.40</v>
      </c>
      <c r="H3547" s="5">
        <f>ROUND(G3547*NOTAS!$B$2,2)</f>
        <v>7501.99</v>
      </c>
      <c r="I3547" s="6">
        <f>ROUND(G3547*NOTAS!$B$3,0)</f>
        <v>33788</v>
      </c>
      <c r="J3547" s="2" t="n">
        <v>8</v>
      </c>
    </row>
    <row r="3548">
      <c r="A3548" s="2" t="inlineStr">
        <is>
          <t>SET-1</t>
        </is>
      </c>
      <c r="B3548" s="2" t="inlineStr"/>
      <c r="C3548" s="2" t="inlineStr">
        <is>
          <t>ROLINERA SET-1</t>
        </is>
      </c>
      <c r="D3548" s="2" t="inlineStr">
        <is>
          <t>AHM</t>
        </is>
      </c>
      <c r="E3548" s="3" t="n">
        <v>2</v>
      </c>
      <c r="F3548" s="4" t="n">
        <v>0.3</v>
      </c>
      <c r="G3548" s="5">
        <f>ROUND(E3548*(1+F3548),2)</f>
        <v>2.60</v>
      </c>
      <c r="H3548" s="5">
        <f>ROUND(G3548*NOTAS!$B$2,2)</f>
        <v>1875.50</v>
      </c>
      <c r="I3548" s="6">
        <f>ROUND(G3548*NOTAS!$B$3,0)</f>
        <v>8447</v>
      </c>
      <c r="J3548" s="2" t="n">
        <v>2</v>
      </c>
    </row>
    <row r="3549">
      <c r="A3549" s="2" t="inlineStr">
        <is>
          <t>SET10</t>
        </is>
      </c>
      <c r="B3549" s="2" t="inlineStr">
        <is>
          <t>SET-10</t>
        </is>
      </c>
      <c r="C3549" s="2" t="inlineStr">
        <is>
          <t>ROLINERA SET-10 PUNTA EJE TRASERA DANA 44 MALIBU BLAZER C10</t>
        </is>
      </c>
      <c r="D3549" s="2" t="inlineStr">
        <is>
          <t>TIMKEN</t>
        </is>
      </c>
      <c r="E3549" s="3" t="n">
        <v>20</v>
      </c>
      <c r="F3549" s="4" t="n">
        <v>0.3</v>
      </c>
      <c r="G3549" s="5">
        <f>ROUND(E3549*(1+F3549),2)</f>
        <v>26.00</v>
      </c>
      <c r="H3549" s="5">
        <f>ROUND(G3549*NOTAS!$B$2,2)</f>
        <v>18754.99</v>
      </c>
      <c r="I3549" s="6">
        <f>ROUND(G3549*NOTAS!$B$3,0)</f>
        <v>84471</v>
      </c>
      <c r="J3549" s="2" t="n">
        <v>2</v>
      </c>
    </row>
    <row r="3550">
      <c r="A3550" s="2" t="inlineStr">
        <is>
          <t>LM11949/10</t>
        </is>
      </c>
      <c r="B3550" s="2" t="inlineStr">
        <is>
          <t>SET-2</t>
        </is>
      </c>
      <c r="C3550" s="2" t="inlineStr">
        <is>
          <t>ROLINERA SET-2</t>
        </is>
      </c>
      <c r="D3550" s="2" t="inlineStr">
        <is>
          <t>TIMKEN</t>
        </is>
      </c>
      <c r="E3550" s="3" t="n">
        <v>8</v>
      </c>
      <c r="F3550" s="4" t="n">
        <v>0.3</v>
      </c>
      <c r="G3550" s="5">
        <f>ROUND(E3550*(1+F3550),2)</f>
        <v>10.40</v>
      </c>
      <c r="H3550" s="5">
        <f>ROUND(G3550*NOTAS!$B$2,2)</f>
        <v>7501.99</v>
      </c>
      <c r="I3550" s="6">
        <f>ROUND(G3550*NOTAS!$B$3,0)</f>
        <v>33788</v>
      </c>
      <c r="J3550" s="2" t="n">
        <v>3</v>
      </c>
    </row>
    <row r="3551">
      <c r="A3551" s="2" t="inlineStr">
        <is>
          <t>LM11949/10</t>
        </is>
      </c>
      <c r="B3551" s="2" t="inlineStr">
        <is>
          <t>SET-2</t>
        </is>
      </c>
      <c r="C3551" s="2" t="inlineStr">
        <is>
          <t>ROLINERA SET-2</t>
        </is>
      </c>
      <c r="D3551" s="2" t="inlineStr">
        <is>
          <t>HIGH TECH</t>
        </is>
      </c>
      <c r="E3551" s="3" t="n">
        <v>2</v>
      </c>
      <c r="F3551" s="4" t="n">
        <v>0.3</v>
      </c>
      <c r="G3551" s="5">
        <f>ROUND(E3551*(1+F3551),2)</f>
        <v>2.60</v>
      </c>
      <c r="H3551" s="5">
        <f>ROUND(G3551*NOTAS!$B$2,2)</f>
        <v>1875.50</v>
      </c>
      <c r="I3551" s="6">
        <f>ROUND(G3551*NOTAS!$B$3,0)</f>
        <v>8447</v>
      </c>
      <c r="J3551" s="2" t="n">
        <v>3</v>
      </c>
    </row>
    <row r="3552">
      <c r="A3552" s="2" t="inlineStr">
        <is>
          <t>SET-2</t>
        </is>
      </c>
      <c r="B3552" s="2" t="inlineStr"/>
      <c r="C3552" s="2" t="inlineStr">
        <is>
          <t>ROLINERA SET-2</t>
        </is>
      </c>
      <c r="D3552" s="2" t="inlineStr">
        <is>
          <t>AHM</t>
        </is>
      </c>
      <c r="E3552" s="3" t="n">
        <v>2</v>
      </c>
      <c r="F3552" s="4" t="n">
        <v>0.3</v>
      </c>
      <c r="G3552" s="5">
        <f>ROUND(E3552*(1+F3552),2)</f>
        <v>2.60</v>
      </c>
      <c r="H3552" s="5">
        <f>ROUND(G3552*NOTAS!$B$2,2)</f>
        <v>1875.50</v>
      </c>
      <c r="I3552" s="6">
        <f>ROUND(G3552*NOTAS!$B$3,0)</f>
        <v>8447</v>
      </c>
      <c r="J3552" s="2" t="n">
        <v>2</v>
      </c>
    </row>
    <row r="3553">
      <c r="A3553" s="2" t="inlineStr">
        <is>
          <t>SET-34</t>
        </is>
      </c>
      <c r="B3553" s="2" t="inlineStr">
        <is>
          <t>LM12748F-LM12710</t>
        </is>
      </c>
      <c r="C3553" s="2" t="inlineStr">
        <is>
          <t xml:space="preserve">ROLINERA SET-34 DELANTERA EXT MALIBU BLAZER </t>
        </is>
      </c>
      <c r="D3553" s="2" t="inlineStr">
        <is>
          <t>TIMKEN</t>
        </is>
      </c>
      <c r="E3553" s="3" t="n">
        <v>20</v>
      </c>
      <c r="F3553" s="4" t="n">
        <v>0.3</v>
      </c>
      <c r="G3553" s="5">
        <f>ROUND(E3553*(1+F3553),2)</f>
        <v>26.00</v>
      </c>
      <c r="H3553" s="5">
        <f>ROUND(G3553*NOTAS!$B$2,2)</f>
        <v>18754.99</v>
      </c>
      <c r="I3553" s="6">
        <f>ROUND(G3553*NOTAS!$B$3,0)</f>
        <v>84471</v>
      </c>
      <c r="J3553" s="2" t="n">
        <v>2</v>
      </c>
    </row>
    <row r="3554">
      <c r="A3554" s="2" t="inlineStr">
        <is>
          <t>L44649R/10</t>
        </is>
      </c>
      <c r="B3554" s="2" t="inlineStr">
        <is>
          <t>SET-4</t>
        </is>
      </c>
      <c r="C3554" s="2" t="inlineStr">
        <is>
          <t>ROLINERA SET-4</t>
        </is>
      </c>
      <c r="D3554" s="2" t="inlineStr">
        <is>
          <t>TIMKEN</t>
        </is>
      </c>
      <c r="E3554" s="3" t="n">
        <v>8</v>
      </c>
      <c r="F3554" s="4" t="n">
        <v>0.3</v>
      </c>
      <c r="G3554" s="5">
        <f>ROUND(E3554*(1+F3554),2)</f>
        <v>10.40</v>
      </c>
      <c r="H3554" s="5">
        <f>ROUND(G3554*NOTAS!$B$2,2)</f>
        <v>7501.99</v>
      </c>
      <c r="I3554" s="6">
        <f>ROUND(G3554*NOTAS!$B$3,0)</f>
        <v>33788</v>
      </c>
      <c r="J3554" s="2" t="n">
        <v>1</v>
      </c>
    </row>
    <row r="3555">
      <c r="A3555" s="2" t="inlineStr">
        <is>
          <t>95165</t>
        </is>
      </c>
      <c r="B3555" s="2" t="inlineStr">
        <is>
          <t>SET-4</t>
        </is>
      </c>
      <c r="C3555" s="2" t="inlineStr">
        <is>
          <t>ROLINERA SET-4</t>
        </is>
      </c>
      <c r="D3555" s="2" t="inlineStr">
        <is>
          <t>FEDERAL MOGUL</t>
        </is>
      </c>
      <c r="E3555" s="3" t="n">
        <v>4</v>
      </c>
      <c r="F3555" s="4" t="n">
        <v>0.3</v>
      </c>
      <c r="G3555" s="5">
        <f>ROUND(E3555*(1+F3555),2)</f>
        <v>5.20</v>
      </c>
      <c r="H3555" s="5">
        <f>ROUND(G3555*NOTAS!$B$2,2)</f>
        <v>3751.00</v>
      </c>
      <c r="I3555" s="6">
        <f>ROUND(G3555*NOTAS!$B$3,0)</f>
        <v>16894</v>
      </c>
      <c r="J3555" s="2" t="n">
        <v>1</v>
      </c>
    </row>
    <row r="3556">
      <c r="A3556" s="2" t="inlineStr">
        <is>
          <t>L44649R/10</t>
        </is>
      </c>
      <c r="B3556" s="2" t="inlineStr">
        <is>
          <t>SET-4</t>
        </is>
      </c>
      <c r="C3556" s="2" t="inlineStr">
        <is>
          <t>ROLINERA SET-4</t>
        </is>
      </c>
      <c r="D3556" s="2" t="inlineStr">
        <is>
          <t>KOYO</t>
        </is>
      </c>
      <c r="E3556" s="3" t="n">
        <v>8</v>
      </c>
      <c r="F3556" s="4" t="n">
        <v>0.3</v>
      </c>
      <c r="G3556" s="5">
        <f>ROUND(E3556*(1+F3556),2)</f>
        <v>10.40</v>
      </c>
      <c r="H3556" s="5">
        <f>ROUND(G3556*NOTAS!$B$2,2)</f>
        <v>7501.99</v>
      </c>
      <c r="I3556" s="6">
        <f>ROUND(G3556*NOTAS!$B$3,0)</f>
        <v>33788</v>
      </c>
      <c r="J3556" s="2" t="n">
        <v>6</v>
      </c>
    </row>
    <row r="3557">
      <c r="A3557" s="2" t="inlineStr">
        <is>
          <t>SET6</t>
        </is>
      </c>
      <c r="B3557" s="2" t="inlineStr">
        <is>
          <t>LM67048-LM67010</t>
        </is>
      </c>
      <c r="C3557" s="2" t="inlineStr">
        <is>
          <t>ROLINERA SET-6 RDA DELANT MALIBU CAPRICE C10</t>
        </is>
      </c>
      <c r="D3557" s="2" t="inlineStr">
        <is>
          <t>TIMKEN</t>
        </is>
      </c>
      <c r="E3557" s="3" t="n">
        <v>10</v>
      </c>
      <c r="F3557" s="4" t="n">
        <v>0.3</v>
      </c>
      <c r="G3557" s="5">
        <f>ROUND(E3557*(1+F3557),2)</f>
        <v>13.00</v>
      </c>
      <c r="H3557" s="5">
        <f>ROUND(G3557*NOTAS!$B$2,2)</f>
        <v>9377.49</v>
      </c>
      <c r="I3557" s="6">
        <f>ROUND(G3557*NOTAS!$B$3,0)</f>
        <v>42235</v>
      </c>
      <c r="J3557" s="2" t="n">
        <v>5</v>
      </c>
    </row>
    <row r="3558">
      <c r="A3558" s="2" t="inlineStr">
        <is>
          <t>MU0007</t>
        </is>
      </c>
      <c r="B3558" s="2" t="inlineStr">
        <is>
          <t>SET-8</t>
        </is>
      </c>
      <c r="C3558" s="2" t="inlineStr">
        <is>
          <t>ROLINERA SET-8</t>
        </is>
      </c>
      <c r="D3558" s="2" t="inlineStr">
        <is>
          <t>MAXXUN</t>
        </is>
      </c>
      <c r="E3558" s="3" t="n">
        <v>3</v>
      </c>
      <c r="F3558" s="4" t="n">
        <v>0.3</v>
      </c>
      <c r="G3558" s="5">
        <f>ROUND(E3558*(1+F3558),2)</f>
        <v>3.90</v>
      </c>
      <c r="H3558" s="5">
        <f>ROUND(G3558*NOTAS!$B$2,2)</f>
        <v>2813.25</v>
      </c>
      <c r="I3558" s="6">
        <f>ROUND(G3558*NOTAS!$B$3,0)</f>
        <v>12671</v>
      </c>
      <c r="J3558" s="2" t="n">
        <v>4</v>
      </c>
    </row>
    <row r="3559">
      <c r="A3559" s="2" t="inlineStr">
        <is>
          <t>L45449/10</t>
        </is>
      </c>
      <c r="B3559" s="2" t="inlineStr">
        <is>
          <t>SET-8</t>
        </is>
      </c>
      <c r="C3559" s="2" t="inlineStr">
        <is>
          <t>ROLINERA SET-8</t>
        </is>
      </c>
      <c r="D3559" s="2" t="inlineStr">
        <is>
          <t>KOYO</t>
        </is>
      </c>
      <c r="E3559" s="3" t="n">
        <v>8</v>
      </c>
      <c r="F3559" s="4" t="n">
        <v>0.3</v>
      </c>
      <c r="G3559" s="5">
        <f>ROUND(E3559*(1+F3559),2)</f>
        <v>10.40</v>
      </c>
      <c r="H3559" s="5">
        <f>ROUND(G3559*NOTAS!$B$2,2)</f>
        <v>7501.99</v>
      </c>
      <c r="I3559" s="6">
        <f>ROUND(G3559*NOTAS!$B$3,0)</f>
        <v>33788</v>
      </c>
      <c r="J3559" s="2" t="n">
        <v>7</v>
      </c>
    </row>
    <row r="3560">
      <c r="A3560" s="2" t="inlineStr">
        <is>
          <t>L45449/410/Q</t>
        </is>
      </c>
      <c r="B3560" s="2" t="inlineStr">
        <is>
          <t>SET-8</t>
        </is>
      </c>
      <c r="C3560" s="2" t="inlineStr">
        <is>
          <t>ROLINERA SET-8</t>
        </is>
      </c>
      <c r="D3560" s="2" t="inlineStr">
        <is>
          <t>SKF</t>
        </is>
      </c>
      <c r="E3560" s="3" t="n">
        <v>8</v>
      </c>
      <c r="F3560" s="4" t="n">
        <v>0.3</v>
      </c>
      <c r="G3560" s="5">
        <f>ROUND(E3560*(1+F3560),2)</f>
        <v>10.40</v>
      </c>
      <c r="H3560" s="5">
        <f>ROUND(G3560*NOTAS!$B$2,2)</f>
        <v>7501.99</v>
      </c>
      <c r="I3560" s="6">
        <f>ROUND(G3560*NOTAS!$B$3,0)</f>
        <v>33788</v>
      </c>
      <c r="J3560" s="2" t="n">
        <v>6</v>
      </c>
    </row>
    <row r="3561">
      <c r="A3561" s="2" t="inlineStr">
        <is>
          <t>L45449-L45410</t>
        </is>
      </c>
      <c r="B3561" s="2" t="inlineStr">
        <is>
          <t>SET-8</t>
        </is>
      </c>
      <c r="C3561" s="2" t="inlineStr">
        <is>
          <t>ROLINERA SET-8</t>
        </is>
      </c>
      <c r="D3561" s="2" t="inlineStr">
        <is>
          <t>TIMKEN</t>
        </is>
      </c>
      <c r="E3561" s="3" t="n">
        <v>8</v>
      </c>
      <c r="F3561" s="4" t="n">
        <v>0.3</v>
      </c>
      <c r="G3561" s="5">
        <f>ROUND(E3561*(1+F3561),2)</f>
        <v>10.40</v>
      </c>
      <c r="H3561" s="5">
        <f>ROUND(G3561*NOTAS!$B$2,2)</f>
        <v>7501.99</v>
      </c>
      <c r="I3561" s="6">
        <f>ROUND(G3561*NOTAS!$B$3,0)</f>
        <v>33788</v>
      </c>
      <c r="J3561" s="2" t="n">
        <v>1</v>
      </c>
    </row>
    <row r="3562">
      <c r="A3562" s="2" t="inlineStr">
        <is>
          <t>09265-29801</t>
        </is>
      </c>
      <c r="B3562" s="2" t="inlineStr">
        <is>
          <t>SET-8</t>
        </is>
      </c>
      <c r="C3562" s="2" t="inlineStr">
        <is>
          <t>ROLINERA SET-8</t>
        </is>
      </c>
      <c r="D3562" s="2" t="inlineStr">
        <is>
          <t>GM</t>
        </is>
      </c>
      <c r="E3562" s="3" t="n">
        <v>4</v>
      </c>
      <c r="F3562" s="4" t="n">
        <v>0.3</v>
      </c>
      <c r="G3562" s="5">
        <f>ROUND(E3562*(1+F3562),2)</f>
        <v>5.20</v>
      </c>
      <c r="H3562" s="5">
        <f>ROUND(G3562*NOTAS!$B$2,2)</f>
        <v>3751.00</v>
      </c>
      <c r="I3562" s="6">
        <f>ROUND(G3562*NOTAS!$B$3,0)</f>
        <v>16894</v>
      </c>
      <c r="J3562" s="2" t="n">
        <v>1</v>
      </c>
    </row>
    <row r="3563">
      <c r="A3563" s="2" t="inlineStr">
        <is>
          <t>L45449/L45410</t>
        </is>
      </c>
      <c r="B3563" s="2" t="inlineStr">
        <is>
          <t>SET-8</t>
        </is>
      </c>
      <c r="C3563" s="2" t="inlineStr">
        <is>
          <t>ROLINERA SET-8</t>
        </is>
      </c>
      <c r="D3563" s="2" t="inlineStr">
        <is>
          <t>CRAFT</t>
        </is>
      </c>
      <c r="E3563" s="3" t="n">
        <v>3</v>
      </c>
      <c r="F3563" s="4" t="n">
        <v>0.3</v>
      </c>
      <c r="G3563" s="5">
        <f>ROUND(E3563*(1+F3563),2)</f>
        <v>3.90</v>
      </c>
      <c r="H3563" s="5">
        <f>ROUND(G3563*NOTAS!$B$2,2)</f>
        <v>2813.25</v>
      </c>
      <c r="I3563" s="6">
        <f>ROUND(G3563*NOTAS!$B$3,0)</f>
        <v>12671</v>
      </c>
      <c r="J3563" s="2" t="n">
        <v>3</v>
      </c>
    </row>
    <row r="3564">
      <c r="A3564" s="2" t="inlineStr">
        <is>
          <t>L45449/410</t>
        </is>
      </c>
      <c r="B3564" s="2" t="inlineStr">
        <is>
          <t>SET-8</t>
        </is>
      </c>
      <c r="C3564" s="2" t="inlineStr">
        <is>
          <t>ROLINERA SET-8</t>
        </is>
      </c>
      <c r="D3564" s="2" t="inlineStr">
        <is>
          <t>HIGH TECH</t>
        </is>
      </c>
      <c r="E3564" s="3" t="n">
        <v>3</v>
      </c>
      <c r="F3564" s="4" t="n">
        <v>0.3</v>
      </c>
      <c r="G3564" s="5">
        <f>ROUND(E3564*(1+F3564),2)</f>
        <v>3.90</v>
      </c>
      <c r="H3564" s="5">
        <f>ROUND(G3564*NOTAS!$B$2,2)</f>
        <v>2813.25</v>
      </c>
      <c r="I3564" s="6">
        <f>ROUND(G3564*NOTAS!$B$3,0)</f>
        <v>12671</v>
      </c>
      <c r="J3564" s="2" t="n">
        <v>1</v>
      </c>
    </row>
    <row r="3565">
      <c r="A3565" s="2" t="inlineStr">
        <is>
          <t>E30308D</t>
        </is>
      </c>
      <c r="B3565" s="2" t="inlineStr"/>
      <c r="C3565" s="2" t="inlineStr">
        <is>
          <t xml:space="preserve">ROLINERA TRASERA PINON DE ATAQUE GRANDE TOYOTA 2F 3F MACHITO BURBUJA AUTANA </t>
        </is>
      </c>
      <c r="D3565" s="2" t="inlineStr">
        <is>
          <t>NACHI</t>
        </is>
      </c>
      <c r="E3565" s="3" t="n">
        <v>19.2308</v>
      </c>
      <c r="F3565" s="4" t="n">
        <v>0.3</v>
      </c>
      <c r="G3565" s="5">
        <f>ROUND(E3565*(1+F3565),2)</f>
        <v>25.00</v>
      </c>
      <c r="H3565" s="5">
        <f>ROUND(G3565*NOTAS!$B$2,2)</f>
        <v>18033.64</v>
      </c>
      <c r="I3565" s="6">
        <f>ROUND(G3565*NOTAS!$B$3,0)</f>
        <v>81222</v>
      </c>
      <c r="J3565" s="2" t="n">
        <v>2</v>
      </c>
    </row>
    <row r="3566">
      <c r="A3566" s="2" t="inlineStr">
        <is>
          <t>F-122901.7</t>
        </is>
      </c>
      <c r="B3566" s="2" t="inlineStr"/>
      <c r="C3566" s="2" t="inlineStr">
        <is>
          <t>ROLINERA TRIPOIDE FIESTA 45X74X19</t>
        </is>
      </c>
      <c r="D3566" s="2" t="inlineStr">
        <is>
          <t>INA</t>
        </is>
      </c>
      <c r="E3566" s="3" t="n">
        <v>15</v>
      </c>
      <c r="F3566" s="4" t="n">
        <v>0.3</v>
      </c>
      <c r="G3566" s="5">
        <f>ROUND(E3566*(1+F3566),2)</f>
        <v>19.50</v>
      </c>
      <c r="H3566" s="5">
        <f>ROUND(G3566*NOTAS!$B$2,2)</f>
        <v>14066.24</v>
      </c>
      <c r="I3566" s="6">
        <f>ROUND(G3566*NOTAS!$B$3,0)</f>
        <v>63353</v>
      </c>
      <c r="J3566" s="2" t="n">
        <v>10</v>
      </c>
    </row>
    <row r="3567">
      <c r="A3567" s="2" t="inlineStr">
        <is>
          <t>WD50122</t>
        </is>
      </c>
      <c r="B3567" s="2" t="inlineStr"/>
      <c r="C3567" s="2" t="inlineStr">
        <is>
          <t>ROTOR DISTRIBUCION CIELO</t>
        </is>
      </c>
      <c r="D3567" s="2" t="inlineStr">
        <is>
          <t>QCD</t>
        </is>
      </c>
      <c r="E3567" s="3" t="n">
        <v>6.1538</v>
      </c>
      <c r="F3567" s="4" t="n">
        <v>0.3</v>
      </c>
      <c r="G3567" s="5">
        <f>ROUND(E3567*(1+F3567),2)</f>
        <v>8.00</v>
      </c>
      <c r="H3567" s="5">
        <f>ROUND(G3567*NOTAS!$B$2,2)</f>
        <v>5770.76</v>
      </c>
      <c r="I3567" s="6">
        <f>ROUND(G3567*NOTAS!$B$3,0)</f>
        <v>25991</v>
      </c>
      <c r="J3567" s="2" t="n">
        <v>3</v>
      </c>
    </row>
    <row r="3568">
      <c r="A3568" s="2" t="inlineStr"/>
      <c r="B3568" s="2" t="inlineStr"/>
      <c r="C3568" s="2" t="inlineStr">
        <is>
          <t>ROTOR DISTRIBUCION CIELO</t>
        </is>
      </c>
      <c r="D3568" s="2" t="inlineStr">
        <is>
          <t>OLIMPIC</t>
        </is>
      </c>
      <c r="E3568" s="3" t="n">
        <v>6.1538</v>
      </c>
      <c r="F3568" s="4" t="n">
        <v>0.3</v>
      </c>
      <c r="G3568" s="5">
        <f>ROUND(E3568*(1+F3568),2)</f>
        <v>8.00</v>
      </c>
      <c r="H3568" s="5">
        <f>ROUND(G3568*NOTAS!$B$2,2)</f>
        <v>5770.76</v>
      </c>
      <c r="I3568" s="6">
        <f>ROUND(G3568*NOTAS!$B$3,0)</f>
        <v>25991</v>
      </c>
      <c r="J3568" s="2" t="n">
        <v>1</v>
      </c>
    </row>
    <row r="3569">
      <c r="A3569" s="2" t="inlineStr">
        <is>
          <t>21628</t>
        </is>
      </c>
      <c r="B3569" s="2" t="inlineStr"/>
      <c r="C3569" s="2" t="inlineStr">
        <is>
          <t>ROTOR DISTRIBUCION F-147/SPAZIO</t>
        </is>
      </c>
      <c r="D3569" s="2" t="inlineStr">
        <is>
          <t>OLIMPIC</t>
        </is>
      </c>
      <c r="E3569" s="3" t="n">
        <v>5.3846</v>
      </c>
      <c r="F3569" s="4" t="n">
        <v>0.3</v>
      </c>
      <c r="G3569" s="5">
        <f>ROUND(E3569*(1+F3569),2)</f>
        <v>7.00</v>
      </c>
      <c r="H3569" s="5">
        <f>ROUND(G3569*NOTAS!$B$2,2)</f>
        <v>5049.42</v>
      </c>
      <c r="I3569" s="6">
        <f>ROUND(G3569*NOTAS!$B$3,0)</f>
        <v>22742</v>
      </c>
      <c r="J3569" s="2" t="n">
        <v>6</v>
      </c>
    </row>
    <row r="3570">
      <c r="A3570" s="2" t="inlineStr">
        <is>
          <t>DR-710C</t>
        </is>
      </c>
      <c r="B3570" s="2" t="inlineStr">
        <is>
          <t>KK150-18-V05A</t>
        </is>
      </c>
      <c r="C3570" s="2" t="inlineStr">
        <is>
          <t>ROTOR DISTRIBUCION FESTIVA</t>
        </is>
      </c>
      <c r="D3570" s="2" t="inlineStr">
        <is>
          <t>CAP</t>
        </is>
      </c>
      <c r="E3570" s="3" t="n">
        <v>5.3846</v>
      </c>
      <c r="F3570" s="4" t="n">
        <v>0.3</v>
      </c>
      <c r="G3570" s="5">
        <f>ROUND(E3570*(1+F3570),2)</f>
        <v>7.00</v>
      </c>
      <c r="H3570" s="5">
        <f>ROUND(G3570*NOTAS!$B$2,2)</f>
        <v>5049.42</v>
      </c>
      <c r="I3570" s="6">
        <f>ROUND(G3570*NOTAS!$B$3,0)</f>
        <v>22742</v>
      </c>
      <c r="J3570" s="2" t="n">
        <v>11</v>
      </c>
    </row>
    <row r="3571">
      <c r="A3571" s="2" t="inlineStr">
        <is>
          <t>3221-A</t>
        </is>
      </c>
      <c r="B3571" s="2" t="inlineStr"/>
      <c r="C3571" s="2" t="inlineStr">
        <is>
          <t>ROTOR DISTRIBUCION F-REGATA AUTOMATICO</t>
        </is>
      </c>
      <c r="D3571" s="2" t="inlineStr">
        <is>
          <t>ANGLI</t>
        </is>
      </c>
      <c r="E3571" s="3" t="n">
        <v>6.1538</v>
      </c>
      <c r="F3571" s="4" t="n">
        <v>0.3</v>
      </c>
      <c r="G3571" s="5">
        <f>ROUND(E3571*(1+F3571),2)</f>
        <v>8.00</v>
      </c>
      <c r="H3571" s="5">
        <f>ROUND(G3571*NOTAS!$B$2,2)</f>
        <v>5770.76</v>
      </c>
      <c r="I3571" s="6">
        <f>ROUND(G3571*NOTAS!$B$3,0)</f>
        <v>25991</v>
      </c>
      <c r="J3571" s="2" t="n">
        <v>5</v>
      </c>
    </row>
    <row r="3572">
      <c r="A3572" s="2" t="inlineStr">
        <is>
          <t>3014</t>
        </is>
      </c>
      <c r="B3572" s="2" t="inlineStr"/>
      <c r="C3572" s="2" t="inlineStr">
        <is>
          <t>ROTOR DISTRIBUCION F-TEMPRA 1.6/SELECTA</t>
        </is>
      </c>
      <c r="D3572" s="2" t="inlineStr">
        <is>
          <t>ESP</t>
        </is>
      </c>
      <c r="E3572" s="3" t="n">
        <v>6.1538</v>
      </c>
      <c r="F3572" s="4" t="n">
        <v>0.3</v>
      </c>
      <c r="G3572" s="5">
        <f>ROUND(E3572*(1+F3572),2)</f>
        <v>8.00</v>
      </c>
      <c r="H3572" s="5">
        <f>ROUND(G3572*NOTAS!$B$2,2)</f>
        <v>5770.76</v>
      </c>
      <c r="I3572" s="6">
        <f>ROUND(G3572*NOTAS!$B$3,0)</f>
        <v>25991</v>
      </c>
      <c r="J3572" s="2" t="n">
        <v>2</v>
      </c>
    </row>
    <row r="3573">
      <c r="A3573" s="2" t="inlineStr">
        <is>
          <t>9944407</t>
        </is>
      </c>
      <c r="B3573" s="2" t="inlineStr"/>
      <c r="C3573" s="2" t="inlineStr">
        <is>
          <t>ROTOR DISTRIBUCION F-UNO 96/99</t>
        </is>
      </c>
      <c r="D3573" s="2" t="inlineStr">
        <is>
          <t>ESP</t>
        </is>
      </c>
      <c r="E3573" s="3" t="n">
        <v>5.3846</v>
      </c>
      <c r="F3573" s="4" t="n">
        <v>0.3</v>
      </c>
      <c r="G3573" s="5">
        <f>ROUND(E3573*(1+F3573),2)</f>
        <v>7.00</v>
      </c>
      <c r="H3573" s="5">
        <f>ROUND(G3573*NOTAS!$B$2,2)</f>
        <v>5049.42</v>
      </c>
      <c r="I3573" s="6">
        <f>ROUND(G3573*NOTAS!$B$3,0)</f>
        <v>22742</v>
      </c>
      <c r="J3573" s="2" t="n">
        <v>3</v>
      </c>
    </row>
    <row r="3574">
      <c r="A3574" s="2" t="inlineStr">
        <is>
          <t>21273</t>
        </is>
      </c>
      <c r="B3574" s="2" t="inlineStr"/>
      <c r="C3574" s="2" t="inlineStr">
        <is>
          <t>ROTOR DISTRIBUCION F-UNO/PREMIO 1.5</t>
        </is>
      </c>
      <c r="D3574" s="2" t="inlineStr">
        <is>
          <t>OLIMPIC</t>
        </is>
      </c>
      <c r="E3574" s="3" t="n">
        <v>5.3846</v>
      </c>
      <c r="F3574" s="4" t="n">
        <v>0.3</v>
      </c>
      <c r="G3574" s="5">
        <f>ROUND(E3574*(1+F3574),2)</f>
        <v>7.00</v>
      </c>
      <c r="H3574" s="5">
        <f>ROUND(G3574*NOTAS!$B$2,2)</f>
        <v>5049.42</v>
      </c>
      <c r="I3574" s="6">
        <f>ROUND(G3574*NOTAS!$B$3,0)</f>
        <v>22742</v>
      </c>
      <c r="J3574" s="2" t="n">
        <v>2</v>
      </c>
    </row>
    <row r="3575">
      <c r="A3575" s="2" t="inlineStr">
        <is>
          <t>329013</t>
        </is>
      </c>
      <c r="B3575" s="2" t="inlineStr"/>
      <c r="C3575" s="2" t="inlineStr">
        <is>
          <t>ROTOR DISTRIBUCION MATIZ TAPA ALTA</t>
        </is>
      </c>
      <c r="D3575" s="2" t="inlineStr">
        <is>
          <t>GM</t>
        </is>
      </c>
      <c r="E3575" s="3" t="n">
        <v>6.1538</v>
      </c>
      <c r="F3575" s="4" t="n">
        <v>0.3</v>
      </c>
      <c r="G3575" s="5">
        <f>ROUND(E3575*(1+F3575),2)</f>
        <v>8.00</v>
      </c>
      <c r="H3575" s="5">
        <f>ROUND(G3575*NOTAS!$B$2,2)</f>
        <v>5770.76</v>
      </c>
      <c r="I3575" s="6">
        <f>ROUND(G3575*NOTAS!$B$3,0)</f>
        <v>25991</v>
      </c>
      <c r="J3575" s="2" t="n">
        <v>2</v>
      </c>
    </row>
    <row r="3576">
      <c r="A3576" s="2" t="inlineStr">
        <is>
          <t>21216</t>
        </is>
      </c>
      <c r="B3576" s="2" t="inlineStr"/>
      <c r="C3576" s="2" t="inlineStr">
        <is>
          <t>ROTOR DISTRIBUCION MONZA</t>
        </is>
      </c>
      <c r="D3576" s="2" t="inlineStr">
        <is>
          <t>OLIMPIC</t>
        </is>
      </c>
      <c r="E3576" s="3" t="n">
        <v>5.3846</v>
      </c>
      <c r="F3576" s="4" t="n">
        <v>0.3</v>
      </c>
      <c r="G3576" s="5">
        <f>ROUND(E3576*(1+F3576),2)</f>
        <v>7.00</v>
      </c>
      <c r="H3576" s="5">
        <f>ROUND(G3576*NOTAS!$B$2,2)</f>
        <v>5049.42</v>
      </c>
      <c r="I3576" s="6">
        <f>ROUND(G3576*NOTAS!$B$3,0)</f>
        <v>22742</v>
      </c>
      <c r="J3576" s="2" t="n">
        <v>2</v>
      </c>
    </row>
    <row r="3577">
      <c r="A3577" s="2" t="inlineStr">
        <is>
          <t>3015</t>
        </is>
      </c>
      <c r="B3577" s="2" t="inlineStr"/>
      <c r="C3577" s="2" t="inlineStr">
        <is>
          <t>ROTOR DISTRIBUCION R-5 1.1</t>
        </is>
      </c>
      <c r="D3577" s="2" t="inlineStr">
        <is>
          <t>ANGLI</t>
        </is>
      </c>
      <c r="E3577" s="3" t="n">
        <v>5.3846</v>
      </c>
      <c r="F3577" s="4" t="n">
        <v>0.3</v>
      </c>
      <c r="G3577" s="5">
        <f>ROUND(E3577*(1+F3577),2)</f>
        <v>7.00</v>
      </c>
      <c r="H3577" s="5">
        <f>ROUND(G3577*NOTAS!$B$2,2)</f>
        <v>5049.42</v>
      </c>
      <c r="I3577" s="6">
        <f>ROUND(G3577*NOTAS!$B$3,0)</f>
        <v>22742</v>
      </c>
      <c r="J3577" s="2" t="n">
        <v>3</v>
      </c>
    </row>
    <row r="3578">
      <c r="A3578" s="2" t="inlineStr">
        <is>
          <t>3253</t>
        </is>
      </c>
      <c r="B3578" s="2" t="inlineStr"/>
      <c r="C3578" s="2" t="inlineStr">
        <is>
          <t>ROTOR DISTRIBUCION R-5 1.3</t>
        </is>
      </c>
      <c r="D3578" s="2" t="inlineStr">
        <is>
          <t>ANGLI</t>
        </is>
      </c>
      <c r="E3578" s="3" t="n">
        <v>5.3846</v>
      </c>
      <c r="F3578" s="4" t="n">
        <v>0.3</v>
      </c>
      <c r="G3578" s="5">
        <f>ROUND(E3578*(1+F3578),2)</f>
        <v>7.00</v>
      </c>
      <c r="H3578" s="5">
        <f>ROUND(G3578*NOTAS!$B$2,2)</f>
        <v>5049.42</v>
      </c>
      <c r="I3578" s="6">
        <f>ROUND(G3578*NOTAS!$B$3,0)</f>
        <v>22742</v>
      </c>
      <c r="J3578" s="2" t="n">
        <v>2</v>
      </c>
    </row>
    <row r="3579">
      <c r="A3579" s="2" t="inlineStr">
        <is>
          <t>YR-408</t>
        </is>
      </c>
      <c r="B3579" s="2" t="inlineStr">
        <is>
          <t>33310-70B50J</t>
        </is>
      </c>
      <c r="C3579" s="2" t="inlineStr">
        <is>
          <t>ROTOR DISTRIBUCION SWIFT</t>
        </is>
      </c>
      <c r="D3579" s="2" t="inlineStr">
        <is>
          <t>YEC</t>
        </is>
      </c>
      <c r="E3579" s="3" t="n">
        <v>6.1538</v>
      </c>
      <c r="F3579" s="4" t="n">
        <v>0.3</v>
      </c>
      <c r="G3579" s="5">
        <f>ROUND(E3579*(1+F3579),2)</f>
        <v>8.00</v>
      </c>
      <c r="H3579" s="5">
        <f>ROUND(G3579*NOTAS!$B$2,2)</f>
        <v>5770.76</v>
      </c>
      <c r="I3579" s="6">
        <f>ROUND(G3579*NOTAS!$B$3,0)</f>
        <v>25991</v>
      </c>
      <c r="J3579" s="2" t="n">
        <v>2</v>
      </c>
    </row>
    <row r="3580">
      <c r="A3580" s="2" t="inlineStr"/>
      <c r="B3580" s="2" t="inlineStr"/>
      <c r="C3580" s="2" t="inlineStr">
        <is>
          <t>ROTOR DISTRIBUCION TIPO FENSA</t>
        </is>
      </c>
      <c r="D3580" s="2" t="inlineStr">
        <is>
          <t>BRAZIL</t>
        </is>
      </c>
      <c r="E3580" s="3" t="n">
        <v>5.3846</v>
      </c>
      <c r="F3580" s="4" t="n">
        <v>0.3</v>
      </c>
      <c r="G3580" s="5">
        <f>ROUND(E3580*(1+F3580),2)</f>
        <v>7.00</v>
      </c>
      <c r="H3580" s="5">
        <f>ROUND(G3580*NOTAS!$B$2,2)</f>
        <v>5049.42</v>
      </c>
      <c r="I3580" s="6">
        <f>ROUND(G3580*NOTAS!$B$3,0)</f>
        <v>22742</v>
      </c>
      <c r="J3580" s="2" t="n">
        <v>4</v>
      </c>
    </row>
    <row r="3581">
      <c r="A3581" s="2" t="inlineStr">
        <is>
          <t>7701467466</t>
        </is>
      </c>
      <c r="B3581" s="2" t="inlineStr"/>
      <c r="C3581" s="2" t="inlineStr">
        <is>
          <t>SELECTOR VARILLAJE R-11/19/TWINGO/CLIO</t>
        </is>
      </c>
      <c r="D3581" s="2" t="inlineStr">
        <is>
          <t>RENAULT</t>
        </is>
      </c>
      <c r="E3581" s="3" t="n">
        <v>11.5385</v>
      </c>
      <c r="F3581" s="4" t="n">
        <v>0.3</v>
      </c>
      <c r="G3581" s="5">
        <f>ROUND(E3581*(1+F3581),2)</f>
        <v>15.00</v>
      </c>
      <c r="H3581" s="5">
        <f>ROUND(G3581*NOTAS!$B$2,2)</f>
        <v>10820.18</v>
      </c>
      <c r="I3581" s="6">
        <f>ROUND(G3581*NOTAS!$B$3,0)</f>
        <v>48733</v>
      </c>
      <c r="J3581" s="2" t="n">
        <v>4</v>
      </c>
    </row>
    <row r="3582">
      <c r="A3582" s="2" t="inlineStr">
        <is>
          <t>8200257682</t>
        </is>
      </c>
      <c r="B3582" s="2" t="inlineStr"/>
      <c r="C3582" s="2" t="inlineStr">
        <is>
          <t>SELECTOR VARILLAJE R-11/19/TWINGO/CLIO</t>
        </is>
      </c>
      <c r="D3582" s="2" t="inlineStr">
        <is>
          <t>RENAULT</t>
        </is>
      </c>
      <c r="E3582" s="3" t="n">
        <v>11.5385</v>
      </c>
      <c r="F3582" s="4" t="n">
        <v>0.3</v>
      </c>
      <c r="G3582" s="5">
        <f>ROUND(E3582*(1+F3582),2)</f>
        <v>15.00</v>
      </c>
      <c r="H3582" s="5">
        <f>ROUND(G3582*NOTAS!$B$2,2)</f>
        <v>10820.18</v>
      </c>
      <c r="I3582" s="6">
        <f>ROUND(G3582*NOTAS!$B$3,0)</f>
        <v>48733</v>
      </c>
      <c r="J3582" s="2" t="n">
        <v>1</v>
      </c>
    </row>
    <row r="3583">
      <c r="A3583" s="2" t="inlineStr">
        <is>
          <t>77007102475</t>
        </is>
      </c>
      <c r="B3583" s="2" t="inlineStr"/>
      <c r="C3583" s="2" t="inlineStr">
        <is>
          <t>SELECTOR VARILLAJE R-MEG/LAG</t>
        </is>
      </c>
      <c r="D3583" s="2" t="inlineStr">
        <is>
          <t>RENAULT</t>
        </is>
      </c>
      <c r="E3583" s="3" t="n">
        <v>11.5385</v>
      </c>
      <c r="F3583" s="4" t="n">
        <v>0.3</v>
      </c>
      <c r="G3583" s="5">
        <f>ROUND(E3583*(1+F3583),2)</f>
        <v>15.00</v>
      </c>
      <c r="H3583" s="5">
        <f>ROUND(G3583*NOTAS!$B$2,2)</f>
        <v>10820.18</v>
      </c>
      <c r="I3583" s="6">
        <f>ROUND(G3583*NOTAS!$B$3,0)</f>
        <v>48733</v>
      </c>
      <c r="J3583" s="2" t="n">
        <v>3</v>
      </c>
    </row>
    <row r="3584">
      <c r="A3584" s="2" t="inlineStr">
        <is>
          <t>7700100967</t>
        </is>
      </c>
      <c r="B3584" s="2" t="inlineStr"/>
      <c r="C3584" s="2" t="inlineStr">
        <is>
          <t>SELLO TAPON CAMARA R-MEGANE</t>
        </is>
      </c>
      <c r="D3584" s="2" t="inlineStr">
        <is>
          <t>RENAULT</t>
        </is>
      </c>
      <c r="E3584" s="3" t="n">
        <v>3</v>
      </c>
      <c r="F3584" s="4" t="n">
        <v>0.3</v>
      </c>
      <c r="G3584" s="5">
        <f>ROUND(E3584*(1+F3584),2)</f>
        <v>3.90</v>
      </c>
      <c r="H3584" s="5">
        <f>ROUND(G3584*NOTAS!$B$2,2)</f>
        <v>2813.25</v>
      </c>
      <c r="I3584" s="6">
        <f>ROUND(G3584*NOTAS!$B$3,0)</f>
        <v>12671</v>
      </c>
      <c r="J3584" s="2" t="n">
        <v>0</v>
      </c>
    </row>
    <row r="3585">
      <c r="A3585" s="2" t="inlineStr">
        <is>
          <t>40415302</t>
        </is>
      </c>
      <c r="B3585" s="2" t="inlineStr"/>
      <c r="C3585" s="2" t="inlineStr">
        <is>
          <t>SENSOR</t>
        </is>
      </c>
      <c r="D3585" s="2" t="inlineStr">
        <is>
          <t>MAGNETI MARELLI</t>
        </is>
      </c>
      <c r="E3585" s="3" t="n">
        <v>11.5385</v>
      </c>
      <c r="F3585" s="4" t="n">
        <v>0.3</v>
      </c>
      <c r="G3585" s="5">
        <f>ROUND(E3585*(1+F3585),2)</f>
        <v>15.00</v>
      </c>
      <c r="H3585" s="5">
        <f>ROUND(G3585*NOTAS!$B$2,2)</f>
        <v>10820.18</v>
      </c>
      <c r="I3585" s="6">
        <f>ROUND(G3585*NOTAS!$B$3,0)</f>
        <v>48733</v>
      </c>
      <c r="J3585" s="2" t="n">
        <v>2</v>
      </c>
    </row>
    <row r="3586">
      <c r="A3586" s="2" t="inlineStr">
        <is>
          <t>96659998-A</t>
        </is>
      </c>
      <c r="B3586" s="2" t="inlineStr"/>
      <c r="C3586" s="2" t="inlineStr">
        <is>
          <t>SENSOR ABS RUEDA DELANTERA DERECHA AVEO</t>
        </is>
      </c>
      <c r="D3586" s="2" t="inlineStr">
        <is>
          <t>4USA</t>
        </is>
      </c>
      <c r="E3586" s="3" t="n">
        <v>14.6154</v>
      </c>
      <c r="F3586" s="4" t="n">
        <v>0.3</v>
      </c>
      <c r="G3586" s="5">
        <f>ROUND(E3586*(1+F3586),2)</f>
        <v>19.00</v>
      </c>
      <c r="H3586" s="5">
        <f>ROUND(G3586*NOTAS!$B$2,2)</f>
        <v>13705.57</v>
      </c>
      <c r="I3586" s="6">
        <f>ROUND(G3586*NOTAS!$B$3,0)</f>
        <v>61729</v>
      </c>
      <c r="J3586" s="2" t="n">
        <v>3</v>
      </c>
    </row>
    <row r="3587">
      <c r="A3587" s="2" t="inlineStr">
        <is>
          <t>96959998</t>
        </is>
      </c>
      <c r="B3587" s="2" t="inlineStr"/>
      <c r="C3587" s="2" t="inlineStr">
        <is>
          <t>SENSOR ABS RUEDA DELANTERA DERECHA AVEO</t>
        </is>
      </c>
      <c r="D3587" s="2" t="inlineStr">
        <is>
          <t>APK</t>
        </is>
      </c>
      <c r="E3587" s="3" t="n">
        <v>14.6154</v>
      </c>
      <c r="F3587" s="4" t="n">
        <v>0.3</v>
      </c>
      <c r="G3587" s="5">
        <f>ROUND(E3587*(1+F3587),2)</f>
        <v>19.00</v>
      </c>
      <c r="H3587" s="5">
        <f>ROUND(G3587*NOTAS!$B$2,2)</f>
        <v>13705.57</v>
      </c>
      <c r="I3587" s="6">
        <f>ROUND(G3587*NOTAS!$B$3,0)</f>
        <v>61729</v>
      </c>
      <c r="J3587" s="2" t="n">
        <v>2</v>
      </c>
    </row>
    <row r="3588">
      <c r="A3588" s="2" t="inlineStr">
        <is>
          <t>96455870</t>
        </is>
      </c>
      <c r="B3588" s="2" t="inlineStr"/>
      <c r="C3588" s="2" t="inlineStr">
        <is>
          <t>SENSOR ABS RUEDA DELANTERA DERECHA OPTRA</t>
        </is>
      </c>
      <c r="D3588" s="2" t="inlineStr">
        <is>
          <t>GM</t>
        </is>
      </c>
      <c r="E3588" s="3" t="n">
        <v>14.6154</v>
      </c>
      <c r="F3588" s="4" t="n">
        <v>0.3</v>
      </c>
      <c r="G3588" s="5">
        <f>ROUND(E3588*(1+F3588),2)</f>
        <v>19.00</v>
      </c>
      <c r="H3588" s="5">
        <f>ROUND(G3588*NOTAS!$B$2,2)</f>
        <v>13705.57</v>
      </c>
      <c r="I3588" s="6">
        <f>ROUND(G3588*NOTAS!$B$3,0)</f>
        <v>61729</v>
      </c>
      <c r="J3588" s="2" t="n">
        <v>2</v>
      </c>
    </row>
    <row r="3589">
      <c r="A3589" s="2" t="inlineStr">
        <is>
          <t>96959997</t>
        </is>
      </c>
      <c r="B3589" s="2" t="inlineStr"/>
      <c r="C3589" s="2" t="inlineStr">
        <is>
          <t>SENSOR ABS RUEDA DELANTERA IZQUIERDA AVEO</t>
        </is>
      </c>
      <c r="D3589" s="2" t="inlineStr">
        <is>
          <t>APK</t>
        </is>
      </c>
      <c r="E3589" s="3" t="n">
        <v>14.6154</v>
      </c>
      <c r="F3589" s="4" t="n">
        <v>0.3</v>
      </c>
      <c r="G3589" s="5">
        <f>ROUND(E3589*(1+F3589),2)</f>
        <v>19.00</v>
      </c>
      <c r="H3589" s="5">
        <f>ROUND(G3589*NOTAS!$B$2,2)</f>
        <v>13705.57</v>
      </c>
      <c r="I3589" s="6">
        <f>ROUND(G3589*NOTAS!$B$3,0)</f>
        <v>61729</v>
      </c>
      <c r="J3589" s="2" t="n">
        <v>2</v>
      </c>
    </row>
    <row r="3590">
      <c r="A3590" s="2" t="inlineStr">
        <is>
          <t>96650997-A</t>
        </is>
      </c>
      <c r="B3590" s="2" t="inlineStr"/>
      <c r="C3590" s="2" t="inlineStr">
        <is>
          <t>SENSOR ABS RUEDA DELANTERA IZQUIERDA AVEO</t>
        </is>
      </c>
      <c r="D3590" s="2" t="inlineStr">
        <is>
          <t>4USA</t>
        </is>
      </c>
      <c r="E3590" s="3" t="n">
        <v>14.6154</v>
      </c>
      <c r="F3590" s="4" t="n">
        <v>0.3</v>
      </c>
      <c r="G3590" s="5">
        <f>ROUND(E3590*(1+F3590),2)</f>
        <v>19.00</v>
      </c>
      <c r="H3590" s="5">
        <f>ROUND(G3590*NOTAS!$B$2,2)</f>
        <v>13705.57</v>
      </c>
      <c r="I3590" s="6">
        <f>ROUND(G3590*NOTAS!$B$3,0)</f>
        <v>61729</v>
      </c>
      <c r="J3590" s="2" t="n">
        <v>2</v>
      </c>
    </row>
    <row r="3591">
      <c r="A3591" s="2" t="inlineStr">
        <is>
          <t>96473223-A</t>
        </is>
      </c>
      <c r="B3591" s="2" t="inlineStr"/>
      <c r="C3591" s="2" t="inlineStr">
        <is>
          <t>SENSOR ABS RUEDA TRASERA AVEO</t>
        </is>
      </c>
      <c r="D3591" s="2" t="inlineStr">
        <is>
          <t>4USA</t>
        </is>
      </c>
      <c r="E3591" s="3" t="n">
        <v>14.6154</v>
      </c>
      <c r="F3591" s="4" t="n">
        <v>0.3</v>
      </c>
      <c r="G3591" s="5">
        <f>ROUND(E3591*(1+F3591),2)</f>
        <v>19.00</v>
      </c>
      <c r="H3591" s="5">
        <f>ROUND(G3591*NOTAS!$B$2,2)</f>
        <v>13705.57</v>
      </c>
      <c r="I3591" s="6">
        <f>ROUND(G3591*NOTAS!$B$3,0)</f>
        <v>61729</v>
      </c>
      <c r="J3591" s="2" t="n">
        <v>2</v>
      </c>
    </row>
    <row r="3592">
      <c r="A3592" s="2" t="inlineStr">
        <is>
          <t>96253544</t>
        </is>
      </c>
      <c r="B3592" s="2" t="inlineStr"/>
      <c r="C3592" s="2" t="inlineStr">
        <is>
          <t>SENSOR ARBOL LEVA AVEO</t>
        </is>
      </c>
      <c r="D3592" s="2" t="inlineStr">
        <is>
          <t>APK</t>
        </is>
      </c>
      <c r="E3592" s="3" t="n">
        <v>15.3846</v>
      </c>
      <c r="F3592" s="4" t="n">
        <v>0.3</v>
      </c>
      <c r="G3592" s="5">
        <f>ROUND(E3592*(1+F3592),2)</f>
        <v>20.00</v>
      </c>
      <c r="H3592" s="5">
        <f>ROUND(G3592*NOTAS!$B$2,2)</f>
        <v>14426.91</v>
      </c>
      <c r="I3592" s="6">
        <f>ROUND(G3592*NOTAS!$B$3,0)</f>
        <v>64977</v>
      </c>
      <c r="J3592" s="2" t="n">
        <v>2</v>
      </c>
    </row>
    <row r="3593">
      <c r="A3593" s="2" t="inlineStr">
        <is>
          <t>96253544-A</t>
        </is>
      </c>
      <c r="B3593" s="2" t="inlineStr"/>
      <c r="C3593" s="2" t="inlineStr">
        <is>
          <t>SENSOR ARBOL LEVA AVEO</t>
        </is>
      </c>
      <c r="D3593" s="2" t="inlineStr">
        <is>
          <t>4USA</t>
        </is>
      </c>
      <c r="E3593" s="3" t="n">
        <v>15.3846</v>
      </c>
      <c r="F3593" s="4" t="n">
        <v>0.3</v>
      </c>
      <c r="G3593" s="5">
        <f>ROUND(E3593*(1+F3593),2)</f>
        <v>20.00</v>
      </c>
      <c r="H3593" s="5">
        <f>ROUND(G3593*NOTAS!$B$2,2)</f>
        <v>14426.91</v>
      </c>
      <c r="I3593" s="6">
        <f>ROUND(G3593*NOTAS!$B$3,0)</f>
        <v>64977</v>
      </c>
      <c r="J3593" s="2" t="n">
        <v>0</v>
      </c>
    </row>
    <row r="3594">
      <c r="A3594" s="2" t="inlineStr">
        <is>
          <t>96325867</t>
        </is>
      </c>
      <c r="B3594" s="2" t="inlineStr"/>
      <c r="C3594" s="2" t="inlineStr">
        <is>
          <t>SENSOR ARBOL LEVA SPARK</t>
        </is>
      </c>
      <c r="D3594" s="2" t="inlineStr">
        <is>
          <t>ACDELCO</t>
        </is>
      </c>
      <c r="E3594" s="3" t="n">
        <v>7.24</v>
      </c>
      <c r="F3594" s="4" t="n">
        <v>0.3</v>
      </c>
      <c r="G3594" s="5">
        <f>ROUND(E3594*(1+F3594),2)</f>
        <v>9.41</v>
      </c>
      <c r="H3594" s="5">
        <f>ROUND(G3594*NOTAS!$B$2,2)</f>
        <v>6787.86</v>
      </c>
      <c r="I3594" s="6">
        <f>ROUND(G3594*NOTAS!$B$3,0)</f>
        <v>30572</v>
      </c>
      <c r="J3594" s="2" t="n">
        <v>1</v>
      </c>
    </row>
    <row r="3595">
      <c r="A3595" s="2" t="inlineStr">
        <is>
          <t>10456604</t>
        </is>
      </c>
      <c r="B3595" s="2" t="inlineStr"/>
      <c r="C3595" s="2" t="inlineStr">
        <is>
          <t>SENSOR CIGUENAL CHEVY C2/MERIVA/MONTANA</t>
        </is>
      </c>
      <c r="D3595" s="2" t="inlineStr">
        <is>
          <t xml:space="preserve">GM </t>
        </is>
      </c>
      <c r="E3595" s="3" t="n">
        <v>15.3846</v>
      </c>
      <c r="F3595" s="4" t="n">
        <v>0.3</v>
      </c>
      <c r="G3595" s="5">
        <f>ROUND(E3595*(1+F3595),2)</f>
        <v>20.00</v>
      </c>
      <c r="H3595" s="5">
        <f>ROUND(G3595*NOTAS!$B$2,2)</f>
        <v>14426.91</v>
      </c>
      <c r="I3595" s="6">
        <f>ROUND(G3595*NOTAS!$B$3,0)</f>
        <v>64977</v>
      </c>
      <c r="J3595" s="2" t="n">
        <v>1</v>
      </c>
    </row>
    <row r="3596">
      <c r="A3596" s="2" t="inlineStr">
        <is>
          <t>96386710</t>
        </is>
      </c>
      <c r="B3596" s="2" t="inlineStr"/>
      <c r="C3596" s="2" t="inlineStr">
        <is>
          <t>SENSOR DETONACION AVEO</t>
        </is>
      </c>
      <c r="D3596" s="2" t="inlineStr">
        <is>
          <t>4USA</t>
        </is>
      </c>
      <c r="E3596" s="3" t="n">
        <v>13.8462</v>
      </c>
      <c r="F3596" s="4" t="n">
        <v>0.3</v>
      </c>
      <c r="G3596" s="5">
        <f>ROUND(E3596*(1+F3596),2)</f>
        <v>18.00</v>
      </c>
      <c r="H3596" s="5">
        <f>ROUND(G3596*NOTAS!$B$2,2)</f>
        <v>12984.22</v>
      </c>
      <c r="I3596" s="6">
        <f>ROUND(G3596*NOTAS!$B$3,0)</f>
        <v>58480</v>
      </c>
      <c r="J3596" s="2" t="n">
        <v>2</v>
      </c>
    </row>
    <row r="3597">
      <c r="A3597" s="2" t="inlineStr">
        <is>
          <t>96190708</t>
        </is>
      </c>
      <c r="B3597" s="2" t="inlineStr"/>
      <c r="C3597" s="2" t="inlineStr">
        <is>
          <t>SENSOR DISTANCIA VELOCIMETRO AVEO</t>
        </is>
      </c>
      <c r="D3597" s="2" t="inlineStr">
        <is>
          <t>GM</t>
        </is>
      </c>
      <c r="E3597" s="3" t="n">
        <v>3.7</v>
      </c>
      <c r="F3597" s="4" t="n">
        <v>0.3</v>
      </c>
      <c r="G3597" s="5">
        <f>ROUND(E3597*(1+F3597),2)</f>
        <v>4.81</v>
      </c>
      <c r="H3597" s="5">
        <f>ROUND(G3597*NOTAS!$B$2,2)</f>
        <v>3469.67</v>
      </c>
      <c r="I3597" s="6">
        <f>ROUND(G3597*NOTAS!$B$3,0)</f>
        <v>15627</v>
      </c>
      <c r="J3597" s="2" t="n">
        <v>2</v>
      </c>
    </row>
    <row r="3598">
      <c r="A3598" s="2" t="inlineStr">
        <is>
          <t>96190708</t>
        </is>
      </c>
      <c r="B3598" s="2" t="inlineStr"/>
      <c r="C3598" s="2" t="inlineStr">
        <is>
          <t>SENSOR DISTANCIA VELOCIMETRO AVEO</t>
        </is>
      </c>
      <c r="D3598" s="2" t="inlineStr">
        <is>
          <t>KOREA</t>
        </is>
      </c>
      <c r="E3598" s="3" t="n">
        <v>15.3846</v>
      </c>
      <c r="F3598" s="4" t="n">
        <v>0.3</v>
      </c>
      <c r="G3598" s="5">
        <f>ROUND(E3598*(1+F3598),2)</f>
        <v>20.00</v>
      </c>
      <c r="H3598" s="5">
        <f>ROUND(G3598*NOTAS!$B$2,2)</f>
        <v>14426.91</v>
      </c>
      <c r="I3598" s="6">
        <f>ROUND(G3598*NOTAS!$B$3,0)</f>
        <v>64977</v>
      </c>
      <c r="J3598" s="2" t="n">
        <v>2</v>
      </c>
    </row>
    <row r="3599">
      <c r="A3599" s="2" t="inlineStr">
        <is>
          <t>P96186531</t>
        </is>
      </c>
      <c r="B3599" s="2" t="inlineStr"/>
      <c r="C3599" s="2" t="inlineStr">
        <is>
          <t>SENSOR DISTANCIA VELOCIMETRO CIELO/RACER</t>
        </is>
      </c>
      <c r="D3599" s="2" t="inlineStr">
        <is>
          <t>KOREA</t>
        </is>
      </c>
      <c r="E3599" s="3" t="n">
        <v>13.8462</v>
      </c>
      <c r="F3599" s="4" t="n">
        <v>0.3</v>
      </c>
      <c r="G3599" s="5">
        <f>ROUND(E3599*(1+F3599),2)</f>
        <v>18.00</v>
      </c>
      <c r="H3599" s="5">
        <f>ROUND(G3599*NOTAS!$B$2,2)</f>
        <v>12984.22</v>
      </c>
      <c r="I3599" s="6">
        <f>ROUND(G3599*NOTAS!$B$3,0)</f>
        <v>58480</v>
      </c>
      <c r="J3599" s="2" t="n">
        <v>3</v>
      </c>
    </row>
    <row r="3600">
      <c r="A3600" s="2" t="inlineStr">
        <is>
          <t>9114603-A</t>
        </is>
      </c>
      <c r="B3600" s="2" t="inlineStr"/>
      <c r="C3600" s="2" t="inlineStr">
        <is>
          <t>SENSOR DISTANCIA VELOCIMETRO CORSA</t>
        </is>
      </c>
      <c r="D3600" s="2" t="inlineStr">
        <is>
          <t>4USA</t>
        </is>
      </c>
      <c r="E3600" s="3" t="n">
        <v>23.0769</v>
      </c>
      <c r="F3600" s="4" t="n">
        <v>0.3</v>
      </c>
      <c r="G3600" s="5">
        <f>ROUND(E3600*(1+F3600),2)</f>
        <v>30.00</v>
      </c>
      <c r="H3600" s="5">
        <f>ROUND(G3600*NOTAS!$B$2,2)</f>
        <v>21640.37</v>
      </c>
      <c r="I3600" s="6">
        <f>ROUND(G3600*NOTAS!$B$3,0)</f>
        <v>97466</v>
      </c>
      <c r="J3600" s="2" t="n">
        <v>2</v>
      </c>
    </row>
    <row r="3601">
      <c r="A3601" s="2" t="inlineStr">
        <is>
          <t>YS6T9E731A</t>
        </is>
      </c>
      <c r="B3601" s="2" t="inlineStr"/>
      <c r="C3601" s="2" t="inlineStr">
        <is>
          <t>SENSOR DISTANCIA VELOCIMETRO FIESTA 00-03/KA</t>
        </is>
      </c>
      <c r="D3601" s="2" t="inlineStr">
        <is>
          <t>4USA</t>
        </is>
      </c>
      <c r="E3601" s="3" t="n">
        <v>13.0769</v>
      </c>
      <c r="F3601" s="4" t="n">
        <v>0.3</v>
      </c>
      <c r="G3601" s="5">
        <f>ROUND(E3601*(1+F3601),2)</f>
        <v>17.00</v>
      </c>
      <c r="H3601" s="5">
        <f>ROUND(G3601*NOTAS!$B$2,2)</f>
        <v>12262.88</v>
      </c>
      <c r="I3601" s="6">
        <f>ROUND(G3601*NOTAS!$B$3,0)</f>
        <v>55231</v>
      </c>
      <c r="J3601" s="2" t="n">
        <v>1</v>
      </c>
    </row>
    <row r="3602">
      <c r="A3602" s="2" t="inlineStr">
        <is>
          <t>905416</t>
        </is>
      </c>
      <c r="B3602" s="2" t="inlineStr">
        <is>
          <t>YS6T9E731AD</t>
        </is>
      </c>
      <c r="C3602" s="2" t="inlineStr">
        <is>
          <t>SENSOR DISTANCIA VELOCIMETRO FIESTA 00-03/KA</t>
        </is>
      </c>
      <c r="D3602" s="2" t="inlineStr">
        <is>
          <t>FORD</t>
        </is>
      </c>
      <c r="E3602" s="3" t="n">
        <v>13.0769</v>
      </c>
      <c r="F3602" s="4" t="n">
        <v>0.3</v>
      </c>
      <c r="G3602" s="5">
        <f>ROUND(E3602*(1+F3602),2)</f>
        <v>17.00</v>
      </c>
      <c r="H3602" s="5">
        <f>ROUND(G3602*NOTAS!$B$2,2)</f>
        <v>12262.88</v>
      </c>
      <c r="I3602" s="6">
        <f>ROUND(G3602*NOTAS!$B$3,0)</f>
        <v>55231</v>
      </c>
      <c r="J3602" s="2" t="n">
        <v>2</v>
      </c>
    </row>
    <row r="3603">
      <c r="A3603" s="2" t="inlineStr">
        <is>
          <t>2S659E731A</t>
        </is>
      </c>
      <c r="B3603" s="2" t="inlineStr"/>
      <c r="C3603" s="2" t="inlineStr">
        <is>
          <t>SENSOR DISTANCIA VELOCIMETRO FIESTA 04/13 ECOSPORT</t>
        </is>
      </c>
      <c r="D3603" s="2" t="inlineStr">
        <is>
          <t>4USA</t>
        </is>
      </c>
      <c r="E3603" s="3" t="n">
        <v>13.0769</v>
      </c>
      <c r="F3603" s="4" t="n">
        <v>0.3</v>
      </c>
      <c r="G3603" s="5">
        <f>ROUND(E3603*(1+F3603),2)</f>
        <v>17.00</v>
      </c>
      <c r="H3603" s="5">
        <f>ROUND(G3603*NOTAS!$B$2,2)</f>
        <v>12262.88</v>
      </c>
      <c r="I3603" s="6">
        <f>ROUND(G3603*NOTAS!$B$3,0)</f>
        <v>55231</v>
      </c>
      <c r="J3603" s="2" t="n">
        <v>2</v>
      </c>
    </row>
    <row r="3604">
      <c r="A3604" s="2" t="inlineStr">
        <is>
          <t>96186531</t>
        </is>
      </c>
      <c r="B3604" s="2" t="inlineStr"/>
      <c r="C3604" s="2" t="inlineStr">
        <is>
          <t>SENSOR DISTANCIA VELOCIMETRO LANOS</t>
        </is>
      </c>
      <c r="D3604" s="2" t="inlineStr">
        <is>
          <t>GM</t>
        </is>
      </c>
      <c r="E3604" s="3" t="n">
        <v>13.8462</v>
      </c>
      <c r="F3604" s="4" t="n">
        <v>0.3</v>
      </c>
      <c r="G3604" s="5">
        <f>ROUND(E3604*(1+F3604),2)</f>
        <v>18.00</v>
      </c>
      <c r="H3604" s="5">
        <f>ROUND(G3604*NOTAS!$B$2,2)</f>
        <v>12984.22</v>
      </c>
      <c r="I3604" s="6">
        <f>ROUND(G3604*NOTAS!$B$3,0)</f>
        <v>58480</v>
      </c>
      <c r="J3604" s="2" t="n">
        <v>3</v>
      </c>
    </row>
    <row r="3605">
      <c r="A3605" s="2" t="inlineStr">
        <is>
          <t>8200547283</t>
        </is>
      </c>
      <c r="B3605" s="2" t="inlineStr"/>
      <c r="C3605" s="2" t="inlineStr">
        <is>
          <t>SENSOR DISTANCIA VELOCIMETRO R-LOGAN</t>
        </is>
      </c>
      <c r="D3605" s="2" t="inlineStr">
        <is>
          <t>RENAULT</t>
        </is>
      </c>
      <c r="E3605" s="3" t="n">
        <v>7.6923</v>
      </c>
      <c r="F3605" s="4" t="n">
        <v>0.3</v>
      </c>
      <c r="G3605" s="5">
        <f>ROUND(E3605*(1+F3605),2)</f>
        <v>10.00</v>
      </c>
      <c r="H3605" s="5">
        <f>ROUND(G3605*NOTAS!$B$2,2)</f>
        <v>7213.46</v>
      </c>
      <c r="I3605" s="6">
        <f>ROUND(G3605*NOTAS!$B$3,0)</f>
        <v>32489</v>
      </c>
      <c r="J3605" s="2" t="n">
        <v>1</v>
      </c>
    </row>
    <row r="3606">
      <c r="A3606" s="2" t="inlineStr">
        <is>
          <t>7700418919</t>
        </is>
      </c>
      <c r="B3606" s="2" t="inlineStr"/>
      <c r="C3606" s="2" t="inlineStr">
        <is>
          <t>SENSOR DISTANCIA VELOCIMETRO R-SYMBOL/TWINGO/MEGANE/CLIO</t>
        </is>
      </c>
      <c r="D3606" s="2" t="inlineStr">
        <is>
          <t>RENAULT</t>
        </is>
      </c>
      <c r="E3606" s="3" t="n">
        <v>7.6923</v>
      </c>
      <c r="F3606" s="4" t="n">
        <v>0.3</v>
      </c>
      <c r="G3606" s="5">
        <f>ROUND(E3606*(1+F3606),2)</f>
        <v>10.00</v>
      </c>
      <c r="H3606" s="5">
        <f>ROUND(G3606*NOTAS!$B$2,2)</f>
        <v>7213.46</v>
      </c>
      <c r="I3606" s="6">
        <f>ROUND(G3606*NOTAS!$B$3,0)</f>
        <v>32489</v>
      </c>
      <c r="J3606" s="2" t="n">
        <v>1</v>
      </c>
    </row>
    <row r="3607">
      <c r="A3607" s="2" t="inlineStr">
        <is>
          <t>96330547</t>
        </is>
      </c>
      <c r="B3607" s="2" t="inlineStr"/>
      <c r="C3607" s="2" t="inlineStr">
        <is>
          <t>SENSOR MAP AVEO/OPTRA LIMITED</t>
        </is>
      </c>
      <c r="D3607" s="2" t="inlineStr">
        <is>
          <t>GM</t>
        </is>
      </c>
      <c r="E3607" s="3" t="n">
        <v>6.37</v>
      </c>
      <c r="F3607" s="4" t="n">
        <v>0.3</v>
      </c>
      <c r="G3607" s="5">
        <f>ROUND(E3607*(1+F3607),2)</f>
        <v>8.28</v>
      </c>
      <c r="H3607" s="5">
        <f>ROUND(G3607*NOTAS!$B$2,2)</f>
        <v>5972.74</v>
      </c>
      <c r="I3607" s="6">
        <f>ROUND(G3607*NOTAS!$B$3,0)</f>
        <v>26901</v>
      </c>
      <c r="J3607" s="2" t="n">
        <v>2</v>
      </c>
    </row>
    <row r="3608">
      <c r="A3608" s="2" t="inlineStr">
        <is>
          <t>96330547-A</t>
        </is>
      </c>
      <c r="B3608" s="2" t="inlineStr"/>
      <c r="C3608" s="2" t="inlineStr">
        <is>
          <t>SENSOR MAP AVEO/OPTRA LIMITED</t>
        </is>
      </c>
      <c r="D3608" s="2" t="inlineStr">
        <is>
          <t>4USA</t>
        </is>
      </c>
      <c r="E3608" s="3" t="n">
        <v>13.0769</v>
      </c>
      <c r="F3608" s="4" t="n">
        <v>0.3</v>
      </c>
      <c r="G3608" s="5">
        <f>ROUND(E3608*(1+F3608),2)</f>
        <v>17.00</v>
      </c>
      <c r="H3608" s="5">
        <f>ROUND(G3608*NOTAS!$B$2,2)</f>
        <v>12262.88</v>
      </c>
      <c r="I3608" s="6">
        <f>ROUND(G3608*NOTAS!$B$3,0)</f>
        <v>55231</v>
      </c>
      <c r="J3608" s="2" t="n">
        <v>2</v>
      </c>
    </row>
    <row r="3609">
      <c r="A3609" s="2" t="inlineStr">
        <is>
          <t>12569240</t>
        </is>
      </c>
      <c r="B3609" s="2" t="inlineStr"/>
      <c r="C3609" s="2" t="inlineStr">
        <is>
          <t>SENSOR MAP CORSA</t>
        </is>
      </c>
      <c r="D3609" s="2" t="inlineStr">
        <is>
          <t>GM</t>
        </is>
      </c>
      <c r="E3609" s="3" t="n">
        <v>13.0769</v>
      </c>
      <c r="F3609" s="4" t="n">
        <v>0.3</v>
      </c>
      <c r="G3609" s="5">
        <f>ROUND(E3609*(1+F3609),2)</f>
        <v>17.00</v>
      </c>
      <c r="H3609" s="5">
        <f>ROUND(G3609*NOTAS!$B$2,2)</f>
        <v>12262.88</v>
      </c>
      <c r="I3609" s="6">
        <f>ROUND(G3609*NOTAS!$B$3,0)</f>
        <v>55231</v>
      </c>
      <c r="J3609" s="2" t="n">
        <v>1</v>
      </c>
    </row>
    <row r="3610">
      <c r="A3610" s="2" t="inlineStr">
        <is>
          <t>SPD00169</t>
        </is>
      </c>
      <c r="B3610" s="2" t="inlineStr"/>
      <c r="C3610" s="2" t="inlineStr">
        <is>
          <t>SENSOR MAP CORSA</t>
        </is>
      </c>
      <c r="D3610" s="2" t="inlineStr">
        <is>
          <t>DELPHI</t>
        </is>
      </c>
      <c r="E3610" s="3" t="n">
        <v>13.0769</v>
      </c>
      <c r="F3610" s="4" t="n">
        <v>0.3</v>
      </c>
      <c r="G3610" s="5">
        <f>ROUND(E3610*(1+F3610),2)</f>
        <v>17.00</v>
      </c>
      <c r="H3610" s="5">
        <f>ROUND(G3610*NOTAS!$B$2,2)</f>
        <v>12262.88</v>
      </c>
      <c r="I3610" s="6">
        <f>ROUND(G3610*NOTAS!$B$3,0)</f>
        <v>55231</v>
      </c>
      <c r="J3610" s="2" t="n">
        <v>3</v>
      </c>
    </row>
    <row r="3611">
      <c r="A3611" s="2" t="inlineStr">
        <is>
          <t>GI3079</t>
        </is>
      </c>
      <c r="B3611" s="2" t="inlineStr"/>
      <c r="C3611" s="2" t="inlineStr">
        <is>
          <t>SENSOR MAP FIESTA/ECOSPORT</t>
        </is>
      </c>
      <c r="D3611" s="2" t="inlineStr">
        <is>
          <t>GAUSS</t>
        </is>
      </c>
      <c r="E3611" s="3" t="n">
        <v>13.0769</v>
      </c>
      <c r="F3611" s="4" t="n">
        <v>0.3</v>
      </c>
      <c r="G3611" s="5">
        <f>ROUND(E3611*(1+F3611),2)</f>
        <v>17.00</v>
      </c>
      <c r="H3611" s="5">
        <f>ROUND(G3611*NOTAS!$B$2,2)</f>
        <v>12262.88</v>
      </c>
      <c r="I3611" s="6">
        <f>ROUND(G3611*NOTAS!$B$3,0)</f>
        <v>55231</v>
      </c>
      <c r="J3611" s="2" t="n">
        <v>2</v>
      </c>
    </row>
    <row r="3612">
      <c r="A3612" s="2" t="inlineStr">
        <is>
          <t>D38182</t>
        </is>
      </c>
      <c r="B3612" s="2" t="inlineStr"/>
      <c r="C3612" s="2" t="inlineStr">
        <is>
          <t>SENSOR MAP F-PALIO/SIENA 1.3 8V</t>
        </is>
      </c>
      <c r="D3612" s="2" t="inlineStr">
        <is>
          <t>VDO</t>
        </is>
      </c>
      <c r="E3612" s="3" t="n">
        <v>13.0769</v>
      </c>
      <c r="F3612" s="4" t="n">
        <v>0.3</v>
      </c>
      <c r="G3612" s="5">
        <f>ROUND(E3612*(1+F3612),2)</f>
        <v>17.00</v>
      </c>
      <c r="H3612" s="5">
        <f>ROUND(G3612*NOTAS!$B$2,2)</f>
        <v>12262.88</v>
      </c>
      <c r="I3612" s="6">
        <f>ROUND(G3612*NOTAS!$B$3,0)</f>
        <v>55231</v>
      </c>
      <c r="J3612" s="2" t="n">
        <v>1</v>
      </c>
    </row>
    <row r="3613">
      <c r="A3613" s="2" t="inlineStr">
        <is>
          <t>7182</t>
        </is>
      </c>
      <c r="B3613" s="2" t="inlineStr"/>
      <c r="C3613" s="2" t="inlineStr">
        <is>
          <t>SENSOR MAP F-PALIO/SIENA 1.3 8V</t>
        </is>
      </c>
      <c r="D3613" s="2" t="inlineStr">
        <is>
          <t>MTE-THOMSON</t>
        </is>
      </c>
      <c r="E3613" s="3" t="n">
        <v>13.0769</v>
      </c>
      <c r="F3613" s="4" t="n">
        <v>0.3</v>
      </c>
      <c r="G3613" s="5">
        <f>ROUND(E3613*(1+F3613),2)</f>
        <v>17.00</v>
      </c>
      <c r="H3613" s="5">
        <f>ROUND(G3613*NOTAS!$B$2,2)</f>
        <v>12262.88</v>
      </c>
      <c r="I3613" s="6">
        <f>ROUND(G3613*NOTAS!$B$3,0)</f>
        <v>55231</v>
      </c>
      <c r="J3613" s="2" t="n">
        <v>3</v>
      </c>
    </row>
    <row r="3614">
      <c r="A3614" s="2" t="inlineStr">
        <is>
          <t>12232201</t>
        </is>
      </c>
      <c r="B3614" s="2" t="inlineStr"/>
      <c r="C3614" s="2" t="inlineStr">
        <is>
          <t>SENSOR MAP F-PALIO/SIENA 1.8 MONTANA MERIVA CORSA 1.8</t>
        </is>
      </c>
      <c r="D3614" s="2" t="inlineStr">
        <is>
          <t>DELPHI</t>
        </is>
      </c>
      <c r="E3614" s="3" t="n">
        <v>8.07</v>
      </c>
      <c r="F3614" s="4" t="n">
        <v>0.3</v>
      </c>
      <c r="G3614" s="5">
        <f>ROUND(E3614*(1+F3614),2)</f>
        <v>10.49</v>
      </c>
      <c r="H3614" s="5">
        <f>ROUND(G3614*NOTAS!$B$2,2)</f>
        <v>7566.92</v>
      </c>
      <c r="I3614" s="6">
        <f>ROUND(G3614*NOTAS!$B$3,0)</f>
        <v>34081</v>
      </c>
      <c r="J3614" s="2" t="n">
        <v>1</v>
      </c>
    </row>
    <row r="3615">
      <c r="A3615" s="2" t="inlineStr">
        <is>
          <t>96417830-A</t>
        </is>
      </c>
      <c r="B3615" s="2" t="inlineStr"/>
      <c r="C3615" s="2" t="inlineStr">
        <is>
          <t>SENSOR MAP OPTRA DESIGN</t>
        </is>
      </c>
      <c r="D3615" s="2" t="inlineStr">
        <is>
          <t>4USA</t>
        </is>
      </c>
      <c r="E3615" s="3" t="n">
        <v>13.0769</v>
      </c>
      <c r="F3615" s="4" t="n">
        <v>0.3</v>
      </c>
      <c r="G3615" s="5">
        <f>ROUND(E3615*(1+F3615),2)</f>
        <v>17.00</v>
      </c>
      <c r="H3615" s="5">
        <f>ROUND(G3615*NOTAS!$B$2,2)</f>
        <v>12262.88</v>
      </c>
      <c r="I3615" s="6">
        <f>ROUND(G3615*NOTAS!$B$3,0)</f>
        <v>55231</v>
      </c>
      <c r="J3615" s="2" t="n">
        <v>1</v>
      </c>
    </row>
    <row r="3616">
      <c r="A3616" s="2" t="inlineStr">
        <is>
          <t>96325870</t>
        </is>
      </c>
      <c r="B3616" s="2" t="inlineStr"/>
      <c r="C3616" s="2" t="inlineStr">
        <is>
          <t>SENSOR MAP SPARK</t>
        </is>
      </c>
      <c r="D3616" s="2" t="inlineStr">
        <is>
          <t>DELPHI</t>
        </is>
      </c>
      <c r="E3616" s="3" t="n">
        <v>13.0769</v>
      </c>
      <c r="F3616" s="4" t="n">
        <v>0.3</v>
      </c>
      <c r="G3616" s="5">
        <f>ROUND(E3616*(1+F3616),2)</f>
        <v>17.00</v>
      </c>
      <c r="H3616" s="5">
        <f>ROUND(G3616*NOTAS!$B$2,2)</f>
        <v>12262.88</v>
      </c>
      <c r="I3616" s="6">
        <f>ROUND(G3616*NOTAS!$B$3,0)</f>
        <v>55231</v>
      </c>
      <c r="J3616" s="2" t="n">
        <v>1</v>
      </c>
    </row>
    <row r="3617">
      <c r="A3617" s="2" t="inlineStr">
        <is>
          <t>94580175</t>
        </is>
      </c>
      <c r="B3617" s="2" t="inlineStr"/>
      <c r="C3617" s="2" t="inlineStr">
        <is>
          <t>SENSOR MARIPOSA POSICION TPS CORSA/AVEO/OPTRA</t>
        </is>
      </c>
      <c r="D3617" s="2" t="inlineStr">
        <is>
          <t>GM</t>
        </is>
      </c>
      <c r="E3617" s="3" t="n">
        <v>2.49</v>
      </c>
      <c r="F3617" s="4" t="n">
        <v>0.3</v>
      </c>
      <c r="G3617" s="5">
        <f>ROUND(E3617*(1+F3617),2)</f>
        <v>3.24</v>
      </c>
      <c r="H3617" s="5">
        <f>ROUND(G3617*NOTAS!$B$2,2)</f>
        <v>2337.16</v>
      </c>
      <c r="I3617" s="6">
        <f>ROUND(G3617*NOTAS!$B$3,0)</f>
        <v>10526</v>
      </c>
      <c r="J3617" s="2" t="n">
        <v>4</v>
      </c>
    </row>
    <row r="3618">
      <c r="A3618" s="2" t="inlineStr">
        <is>
          <t>7145</t>
        </is>
      </c>
      <c r="B3618" s="2" t="inlineStr"/>
      <c r="C3618" s="2" t="inlineStr">
        <is>
          <t>SENSOR MARIPOSA POSICION TPS F-PAL/SIE 1.3 16V FIRE</t>
        </is>
      </c>
      <c r="D3618" s="2" t="inlineStr">
        <is>
          <t>MTE-THOMSON</t>
        </is>
      </c>
      <c r="E3618" s="3" t="n">
        <v>19.2308</v>
      </c>
      <c r="F3618" s="4" t="n">
        <v>0.3</v>
      </c>
      <c r="G3618" s="5">
        <f>ROUND(E3618*(1+F3618),2)</f>
        <v>25.00</v>
      </c>
      <c r="H3618" s="5">
        <f>ROUND(G3618*NOTAS!$B$2,2)</f>
        <v>18033.64</v>
      </c>
      <c r="I3618" s="6">
        <f>ROUND(G3618*NOTAS!$B$3,0)</f>
        <v>81222</v>
      </c>
      <c r="J3618" s="2" t="n">
        <v>1</v>
      </c>
    </row>
    <row r="3619">
      <c r="A3619" s="2" t="inlineStr">
        <is>
          <t>40421702</t>
        </is>
      </c>
      <c r="B3619" s="2" t="inlineStr"/>
      <c r="C3619" s="2" t="inlineStr">
        <is>
          <t>SENSOR MARIPOSA POSICION TPS F-PAL/SIE 1.3-UNO INY</t>
        </is>
      </c>
      <c r="D3619" s="2" t="inlineStr">
        <is>
          <t>MAGNETI MARELLI</t>
        </is>
      </c>
      <c r="E3619" s="3" t="n">
        <v>19.2308</v>
      </c>
      <c r="F3619" s="4" t="n">
        <v>0.3</v>
      </c>
      <c r="G3619" s="5">
        <f>ROUND(E3619*(1+F3619),2)</f>
        <v>25.00</v>
      </c>
      <c r="H3619" s="5">
        <f>ROUND(G3619*NOTAS!$B$2,2)</f>
        <v>18033.64</v>
      </c>
      <c r="I3619" s="6">
        <f>ROUND(G3619*NOTAS!$B$3,0)</f>
        <v>81222</v>
      </c>
      <c r="J3619" s="2" t="n">
        <v>1</v>
      </c>
    </row>
    <row r="3620">
      <c r="A3620" s="2" t="inlineStr">
        <is>
          <t>7232</t>
        </is>
      </c>
      <c r="B3620" s="2" t="inlineStr"/>
      <c r="C3620" s="2" t="inlineStr">
        <is>
          <t>SENSOR MARIPOSA POSICION TPS F-PAL/SIE 1.3-UNO INY</t>
        </is>
      </c>
      <c r="D3620" s="2" t="inlineStr">
        <is>
          <t>MTE-THOMSON</t>
        </is>
      </c>
      <c r="E3620" s="3" t="n">
        <v>19.2308</v>
      </c>
      <c r="F3620" s="4" t="n">
        <v>0.3</v>
      </c>
      <c r="G3620" s="5">
        <f>ROUND(E3620*(1+F3620),2)</f>
        <v>25.00</v>
      </c>
      <c r="H3620" s="5">
        <f>ROUND(G3620*NOTAS!$B$2,2)</f>
        <v>18033.64</v>
      </c>
      <c r="I3620" s="6">
        <f>ROUND(G3620*NOTAS!$B$3,0)</f>
        <v>81222</v>
      </c>
      <c r="J3620" s="2" t="n">
        <v>2</v>
      </c>
    </row>
    <row r="3621">
      <c r="A3621" s="2" t="inlineStr">
        <is>
          <t>7700273699-A</t>
        </is>
      </c>
      <c r="B3621" s="2" t="inlineStr"/>
      <c r="C3621" s="2" t="inlineStr">
        <is>
          <t>SENSOR MARIPOSA POSICION TPS R-SYMBOL/KANGOO</t>
        </is>
      </c>
      <c r="D3621" s="2" t="inlineStr">
        <is>
          <t>4USA</t>
        </is>
      </c>
      <c r="E3621" s="3" t="n">
        <v>16.9231</v>
      </c>
      <c r="F3621" s="4" t="n">
        <v>0.3</v>
      </c>
      <c r="G3621" s="5">
        <f>ROUND(E3621*(1+F3621),2)</f>
        <v>22.00</v>
      </c>
      <c r="H3621" s="5">
        <f>ROUND(G3621*NOTAS!$B$2,2)</f>
        <v>15869.60</v>
      </c>
      <c r="I3621" s="6">
        <f>ROUND(G3621*NOTAS!$B$3,0)</f>
        <v>71475</v>
      </c>
      <c r="J3621" s="2" t="n">
        <v>21</v>
      </c>
    </row>
    <row r="3622">
      <c r="A3622" s="2" t="inlineStr">
        <is>
          <t>95BF9B989JBA</t>
        </is>
      </c>
      <c r="B3622" s="2" t="inlineStr"/>
      <c r="C3622" s="2" t="inlineStr">
        <is>
          <t>SENSOR MARIPOSA POSICIONTPS FIESTA …/03-KA</t>
        </is>
      </c>
      <c r="D3622" s="2" t="inlineStr">
        <is>
          <t>4USA</t>
        </is>
      </c>
      <c r="E3622" s="3" t="n">
        <v>16.9231</v>
      </c>
      <c r="F3622" s="4" t="n">
        <v>0.3</v>
      </c>
      <c r="G3622" s="5">
        <f>ROUND(E3622*(1+F3622),2)</f>
        <v>22.00</v>
      </c>
      <c r="H3622" s="5">
        <f>ROUND(G3622*NOTAS!$B$2,2)</f>
        <v>15869.60</v>
      </c>
      <c r="I3622" s="6">
        <f>ROUND(G3622*NOTAS!$B$3,0)</f>
        <v>71475</v>
      </c>
      <c r="J3622" s="2" t="n">
        <v>2</v>
      </c>
    </row>
    <row r="3623">
      <c r="A3623" s="2" t="inlineStr">
        <is>
          <t>1071403</t>
        </is>
      </c>
      <c r="B3623" s="2" t="inlineStr">
        <is>
          <t>988F9B989BB</t>
        </is>
      </c>
      <c r="C3623" s="2" t="inlineStr">
        <is>
          <t>SENSOR MATIPOSA POSICION TPS POTENCIOMETRO FIESTA 04/13 ECOSPORT</t>
        </is>
      </c>
      <c r="D3623" s="2" t="inlineStr">
        <is>
          <t>FORD</t>
        </is>
      </c>
      <c r="E3623" s="3" t="n">
        <v>16.9231</v>
      </c>
      <c r="F3623" s="4" t="n">
        <v>0.3</v>
      </c>
      <c r="G3623" s="5">
        <f>ROUND(E3623*(1+F3623),2)</f>
        <v>22.00</v>
      </c>
      <c r="H3623" s="5">
        <f>ROUND(G3623*NOTAS!$B$2,2)</f>
        <v>15869.60</v>
      </c>
      <c r="I3623" s="6">
        <f>ROUND(G3623*NOTAS!$B$3,0)</f>
        <v>71475</v>
      </c>
      <c r="J3623" s="2" t="n">
        <v>3</v>
      </c>
    </row>
    <row r="3624">
      <c r="A3624" s="2" t="inlineStr">
        <is>
          <t>96489429-A</t>
        </is>
      </c>
      <c r="B3624" s="2" t="inlineStr"/>
      <c r="C3624" s="2" t="inlineStr">
        <is>
          <t>SENSOR OXIGENO AVEO/OPTRA DESING</t>
        </is>
      </c>
      <c r="D3624" s="2" t="inlineStr">
        <is>
          <t>4USA</t>
        </is>
      </c>
      <c r="E3624" s="3" t="n">
        <v>26.9231</v>
      </c>
      <c r="F3624" s="4" t="n">
        <v>0.3</v>
      </c>
      <c r="G3624" s="5">
        <f>ROUND(E3624*(1+F3624),2)</f>
        <v>35.00</v>
      </c>
      <c r="H3624" s="5">
        <f>ROUND(G3624*NOTAS!$B$2,2)</f>
        <v>25247.10</v>
      </c>
      <c r="I3624" s="6">
        <f>ROUND(G3624*NOTAS!$B$3,0)</f>
        <v>113710</v>
      </c>
      <c r="J3624" s="2" t="n">
        <v>2</v>
      </c>
    </row>
    <row r="3625">
      <c r="A3625" s="2" t="inlineStr">
        <is>
          <t>0MOS6010</t>
        </is>
      </c>
      <c r="B3625" s="2" t="inlineStr">
        <is>
          <t>19161310</t>
        </is>
      </c>
      <c r="C3625" s="2" t="inlineStr">
        <is>
          <t>SENSOR OXIGENO CORSA 1 CABLE</t>
        </is>
      </c>
      <c r="D3625" s="2" t="inlineStr">
        <is>
          <t>ACDELCO</t>
        </is>
      </c>
      <c r="E3625" s="3" t="n">
        <v>21.5385</v>
      </c>
      <c r="F3625" s="4" t="n">
        <v>0.3</v>
      </c>
      <c r="G3625" s="5">
        <f>ROUND(E3625*(1+F3625),2)</f>
        <v>28.00</v>
      </c>
      <c r="H3625" s="5">
        <f>ROUND(G3625*NOTAS!$B$2,2)</f>
        <v>20197.68</v>
      </c>
      <c r="I3625" s="6">
        <f>ROUND(G3625*NOTAS!$B$3,0)</f>
        <v>90968</v>
      </c>
      <c r="J3625" s="2" t="n">
        <v>3</v>
      </c>
    </row>
    <row r="3626">
      <c r="A3626" s="2" t="inlineStr">
        <is>
          <t>SOD00139</t>
        </is>
      </c>
      <c r="B3626" s="2" t="inlineStr"/>
      <c r="C3626" s="2" t="inlineStr">
        <is>
          <t>SENSOR OXIGENO CORSA 1 CABLE</t>
        </is>
      </c>
      <c r="D3626" s="2" t="inlineStr">
        <is>
          <t>DELPHI</t>
        </is>
      </c>
      <c r="E3626" s="3" t="n">
        <v>21.5385</v>
      </c>
      <c r="F3626" s="4" t="n">
        <v>0.3</v>
      </c>
      <c r="G3626" s="5">
        <f>ROUND(E3626*(1+F3626),2)</f>
        <v>28.00</v>
      </c>
      <c r="H3626" s="5">
        <f>ROUND(G3626*NOTAS!$B$2,2)</f>
        <v>20197.68</v>
      </c>
      <c r="I3626" s="6">
        <f>ROUND(G3626*NOTAS!$B$3,0)</f>
        <v>90968</v>
      </c>
      <c r="J3626" s="2" t="n">
        <v>2</v>
      </c>
    </row>
    <row r="3627">
      <c r="A3627" s="2" t="inlineStr">
        <is>
          <t>D33005</t>
        </is>
      </c>
      <c r="B3627" s="2" t="inlineStr"/>
      <c r="C3627" s="2" t="inlineStr">
        <is>
          <t>SENSOR OXIGENO CORSA 1 CABLE</t>
        </is>
      </c>
      <c r="D3627" s="2" t="inlineStr">
        <is>
          <t>VDO</t>
        </is>
      </c>
      <c r="E3627" s="3" t="n">
        <v>21.5385</v>
      </c>
      <c r="F3627" s="4" t="n">
        <v>0.3</v>
      </c>
      <c r="G3627" s="5">
        <f>ROUND(E3627*(1+F3627),2)</f>
        <v>28.00</v>
      </c>
      <c r="H3627" s="5">
        <f>ROUND(G3627*NOTAS!$B$2,2)</f>
        <v>20197.68</v>
      </c>
      <c r="I3627" s="6">
        <f>ROUND(G3627*NOTAS!$B$3,0)</f>
        <v>90968</v>
      </c>
      <c r="J3627" s="2" t="n">
        <v>5</v>
      </c>
    </row>
    <row r="3628">
      <c r="A3628" s="2" t="inlineStr">
        <is>
          <t>SO-1</t>
        </is>
      </c>
      <c r="B3628" s="2" t="inlineStr"/>
      <c r="C3628" s="2" t="inlineStr">
        <is>
          <t>SENSOR OXIGENO CORSA 1 CABLE</t>
        </is>
      </c>
      <c r="D3628" s="2" t="inlineStr">
        <is>
          <t>MTE-THOMSON</t>
        </is>
      </c>
      <c r="E3628" s="3" t="n">
        <v>21.5385</v>
      </c>
      <c r="F3628" s="4" t="n">
        <v>0.3</v>
      </c>
      <c r="G3628" s="5">
        <f>ROUND(E3628*(1+F3628),2)</f>
        <v>28.00</v>
      </c>
      <c r="H3628" s="5">
        <f>ROUND(G3628*NOTAS!$B$2,2)</f>
        <v>20197.68</v>
      </c>
      <c r="I3628" s="6">
        <f>ROUND(G3628*NOTAS!$B$3,0)</f>
        <v>90968</v>
      </c>
      <c r="J3628" s="2" t="n">
        <v>2</v>
      </c>
    </row>
    <row r="3629">
      <c r="A3629" s="2" t="inlineStr">
        <is>
          <t>SO-2</t>
        </is>
      </c>
      <c r="B3629" s="2" t="inlineStr"/>
      <c r="C3629" s="2" t="inlineStr">
        <is>
          <t>SENSOR OXIGENO CORSA 3 CABLES</t>
        </is>
      </c>
      <c r="D3629" s="2" t="inlineStr">
        <is>
          <t>MTE-THOMSON</t>
        </is>
      </c>
      <c r="E3629" s="3" t="n">
        <v>23.0769</v>
      </c>
      <c r="F3629" s="4" t="n">
        <v>0.3</v>
      </c>
      <c r="G3629" s="5">
        <f>ROUND(E3629*(1+F3629),2)</f>
        <v>30.00</v>
      </c>
      <c r="H3629" s="5">
        <f>ROUND(G3629*NOTAS!$B$2,2)</f>
        <v>21640.37</v>
      </c>
      <c r="I3629" s="6">
        <f>ROUND(G3629*NOTAS!$B$3,0)</f>
        <v>97466</v>
      </c>
      <c r="J3629" s="2" t="n">
        <v>2</v>
      </c>
    </row>
    <row r="3630">
      <c r="A3630" s="2" t="inlineStr">
        <is>
          <t>93231759A</t>
        </is>
      </c>
      <c r="B3630" s="2" t="inlineStr"/>
      <c r="C3630" s="2" t="inlineStr">
        <is>
          <t>SENSOR OXIGENO CORSA 3 CABLES</t>
        </is>
      </c>
      <c r="D3630" s="2" t="inlineStr">
        <is>
          <t>4USA</t>
        </is>
      </c>
      <c r="E3630" s="3" t="n">
        <v>23.0769</v>
      </c>
      <c r="F3630" s="4" t="n">
        <v>0.3</v>
      </c>
      <c r="G3630" s="5">
        <f>ROUND(E3630*(1+F3630),2)</f>
        <v>30.00</v>
      </c>
      <c r="H3630" s="5">
        <f>ROUND(G3630*NOTAS!$B$2,2)</f>
        <v>21640.37</v>
      </c>
      <c r="I3630" s="6">
        <f>ROUND(G3630*NOTAS!$B$3,0)</f>
        <v>97466</v>
      </c>
      <c r="J3630" s="2" t="n">
        <v>2</v>
      </c>
    </row>
    <row r="3631">
      <c r="A3631" s="2" t="inlineStr">
        <is>
          <t>81001</t>
        </is>
      </c>
      <c r="B3631" s="2" t="inlineStr"/>
      <c r="C3631" s="2" t="inlineStr">
        <is>
          <t>SENSOR OXIGENO F-PALIO 1.3/1.6 MPI</t>
        </is>
      </c>
      <c r="D3631" s="2" t="inlineStr">
        <is>
          <t>MEATDORIA</t>
        </is>
      </c>
      <c r="E3631" s="3" t="n">
        <v>24.6154</v>
      </c>
      <c r="F3631" s="4" t="n">
        <v>0.3</v>
      </c>
      <c r="G3631" s="5">
        <f>ROUND(E3631*(1+F3631),2)</f>
        <v>32.00</v>
      </c>
      <c r="H3631" s="5">
        <f>ROUND(G3631*NOTAS!$B$2,2)</f>
        <v>23083.06</v>
      </c>
      <c r="I3631" s="6">
        <f>ROUND(G3631*NOTAS!$B$3,0)</f>
        <v>103964</v>
      </c>
      <c r="J3631" s="2" t="n">
        <v>1</v>
      </c>
    </row>
    <row r="3632">
      <c r="A3632" s="2" t="inlineStr">
        <is>
          <t>50202502</t>
        </is>
      </c>
      <c r="B3632" s="2" t="inlineStr"/>
      <c r="C3632" s="2" t="inlineStr">
        <is>
          <t>SENSOR OXIGENO F-PALIO SIENA 1.3/1.6 MPI</t>
        </is>
      </c>
      <c r="D3632" s="2" t="inlineStr">
        <is>
          <t>MAGNETI MARELLI</t>
        </is>
      </c>
      <c r="E3632" s="3" t="n">
        <v>70</v>
      </c>
      <c r="F3632" s="4" t="n">
        <v>0.3</v>
      </c>
      <c r="G3632" s="5">
        <f>ROUND(E3632*(1+F3632),2)</f>
        <v>91.00</v>
      </c>
      <c r="H3632" s="5">
        <f>ROUND(G3632*NOTAS!$B$2,2)</f>
        <v>65642.45</v>
      </c>
      <c r="I3632" s="6">
        <f>ROUND(G3632*NOTAS!$B$3,0)</f>
        <v>295647</v>
      </c>
      <c r="J3632" s="2" t="n">
        <v>2</v>
      </c>
    </row>
    <row r="3633">
      <c r="A3633" s="2" t="inlineStr">
        <is>
          <t>81051</t>
        </is>
      </c>
      <c r="B3633" s="2" t="inlineStr"/>
      <c r="C3633" s="2" t="inlineStr">
        <is>
          <t>SENSOR OXIGENO F-SIENA 1.3/1.6 MPI</t>
        </is>
      </c>
      <c r="D3633" s="2" t="inlineStr">
        <is>
          <t>MEATDORIA</t>
        </is>
      </c>
      <c r="E3633" s="3" t="n">
        <v>24.6154</v>
      </c>
      <c r="F3633" s="4" t="n">
        <v>0.3</v>
      </c>
      <c r="G3633" s="5">
        <f>ROUND(E3633*(1+F3633),2)</f>
        <v>32.00</v>
      </c>
      <c r="H3633" s="5">
        <f>ROUND(G3633*NOTAS!$B$2,2)</f>
        <v>23083.06</v>
      </c>
      <c r="I3633" s="6">
        <f>ROUND(G3633*NOTAS!$B$3,0)</f>
        <v>103964</v>
      </c>
      <c r="J3633" s="2" t="n">
        <v>1</v>
      </c>
    </row>
    <row r="3634">
      <c r="A3634" s="2" t="inlineStr">
        <is>
          <t>96864850</t>
        </is>
      </c>
      <c r="B3634" s="2" t="inlineStr"/>
      <c r="C3634" s="2" t="inlineStr">
        <is>
          <t>SENSOR OXIGENO OPTRA LIMITED</t>
        </is>
      </c>
      <c r="D3634" s="2" t="inlineStr">
        <is>
          <t>GM</t>
        </is>
      </c>
      <c r="E3634" s="3" t="n">
        <v>26.9231</v>
      </c>
      <c r="F3634" s="4" t="n">
        <v>0.3</v>
      </c>
      <c r="G3634" s="5">
        <f>ROUND(E3634*(1+F3634),2)</f>
        <v>35.00</v>
      </c>
      <c r="H3634" s="5">
        <f>ROUND(G3634*NOTAS!$B$2,2)</f>
        <v>25247.10</v>
      </c>
      <c r="I3634" s="6">
        <f>ROUND(G3634*NOTAS!$B$3,0)</f>
        <v>113710</v>
      </c>
      <c r="J3634" s="2" t="n">
        <v>1</v>
      </c>
    </row>
    <row r="3635">
      <c r="A3635" s="2" t="inlineStr">
        <is>
          <t>93742966</t>
        </is>
      </c>
      <c r="B3635" s="2" t="inlineStr"/>
      <c r="C3635" s="2" t="inlineStr">
        <is>
          <t>SENSOR PARK NEUTRO OPTRA</t>
        </is>
      </c>
      <c r="D3635" s="2" t="inlineStr">
        <is>
          <t>GM</t>
        </is>
      </c>
      <c r="E3635" s="3" t="n">
        <v>19.2308</v>
      </c>
      <c r="F3635" s="4" t="n">
        <v>0.3</v>
      </c>
      <c r="G3635" s="5">
        <f>ROUND(E3635*(1+F3635),2)</f>
        <v>25.00</v>
      </c>
      <c r="H3635" s="5">
        <f>ROUND(G3635*NOTAS!$B$2,2)</f>
        <v>18033.64</v>
      </c>
      <c r="I3635" s="6">
        <f>ROUND(G3635*NOTAS!$B$3,0)</f>
        <v>81222</v>
      </c>
      <c r="J3635" s="2" t="n">
        <v>1</v>
      </c>
    </row>
    <row r="3636">
      <c r="A3636" s="2" t="inlineStr">
        <is>
          <t>GPN-001</t>
        </is>
      </c>
      <c r="B3636" s="2" t="inlineStr"/>
      <c r="C3636" s="2" t="inlineStr">
        <is>
          <t>SENSOR PARK NEUTRO OPTRA</t>
        </is>
      </c>
      <c r="D3636" s="2" t="inlineStr">
        <is>
          <t>GCR</t>
        </is>
      </c>
      <c r="E3636" s="3" t="n">
        <v>19.2308</v>
      </c>
      <c r="F3636" s="4" t="n">
        <v>0.3</v>
      </c>
      <c r="G3636" s="5">
        <f>ROUND(E3636*(1+F3636),2)</f>
        <v>25.00</v>
      </c>
      <c r="H3636" s="5">
        <f>ROUND(G3636*NOTAS!$B$2,2)</f>
        <v>18033.64</v>
      </c>
      <c r="I3636" s="6">
        <f>ROUND(G3636*NOTAS!$B$3,0)</f>
        <v>81222</v>
      </c>
      <c r="J3636" s="2" t="n">
        <v>1</v>
      </c>
    </row>
    <row r="3637">
      <c r="A3637" s="2" t="inlineStr"/>
      <c r="B3637" s="2" t="inlineStr"/>
      <c r="C3637" s="2" t="inlineStr">
        <is>
          <t>SENSOR POSICION CIGUENAL AVEO</t>
        </is>
      </c>
      <c r="D3637" s="2" t="inlineStr">
        <is>
          <t>KOREA</t>
        </is>
      </c>
      <c r="E3637" s="3" t="n">
        <v>15.3846</v>
      </c>
      <c r="F3637" s="4" t="n">
        <v>0.3</v>
      </c>
      <c r="G3637" s="5">
        <f>ROUND(E3637*(1+F3637),2)</f>
        <v>20.00</v>
      </c>
      <c r="H3637" s="5">
        <f>ROUND(G3637*NOTAS!$B$2,2)</f>
        <v>14426.91</v>
      </c>
      <c r="I3637" s="6">
        <f>ROUND(G3637*NOTAS!$B$3,0)</f>
        <v>64977</v>
      </c>
      <c r="J3637" s="2" t="n">
        <v>1</v>
      </c>
    </row>
    <row r="3638">
      <c r="A3638" s="2" t="inlineStr">
        <is>
          <t>324003001R</t>
        </is>
      </c>
      <c r="B3638" s="2" t="inlineStr"/>
      <c r="C3638" s="2" t="inlineStr">
        <is>
          <t>SENSOR POSICION CIGUENAL CORSA</t>
        </is>
      </c>
      <c r="D3638" s="2" t="inlineStr">
        <is>
          <t>VDO</t>
        </is>
      </c>
      <c r="E3638" s="3" t="n">
        <v>13.8462</v>
      </c>
      <c r="F3638" s="4" t="n">
        <v>0.3</v>
      </c>
      <c r="G3638" s="5">
        <f>ROUND(E3638*(1+F3638),2)</f>
        <v>18.00</v>
      </c>
      <c r="H3638" s="5">
        <f>ROUND(G3638*NOTAS!$B$2,2)</f>
        <v>12984.22</v>
      </c>
      <c r="I3638" s="6">
        <f>ROUND(G3638*NOTAS!$B$3,0)</f>
        <v>58480</v>
      </c>
      <c r="J3638" s="2" t="n">
        <v>1</v>
      </c>
    </row>
    <row r="3639">
      <c r="A3639" s="2" t="inlineStr">
        <is>
          <t>PCC010</t>
        </is>
      </c>
      <c r="B3639" s="2" t="inlineStr"/>
      <c r="C3639" s="2" t="inlineStr">
        <is>
          <t>SENSOR POSICION CIGUENAL CORSA</t>
        </is>
      </c>
      <c r="D3639" s="2" t="inlineStr">
        <is>
          <t>4USA</t>
        </is>
      </c>
      <c r="E3639" s="3" t="n">
        <v>13.8462</v>
      </c>
      <c r="F3639" s="4" t="n">
        <v>0.3</v>
      </c>
      <c r="G3639" s="5">
        <f>ROUND(E3639*(1+F3639),2)</f>
        <v>18.00</v>
      </c>
      <c r="H3639" s="5">
        <f>ROUND(G3639*NOTAS!$B$2,2)</f>
        <v>12984.22</v>
      </c>
      <c r="I3639" s="6">
        <f>ROUND(G3639*NOTAS!$B$3,0)</f>
        <v>58480</v>
      </c>
      <c r="J3639" s="2" t="n">
        <v>1</v>
      </c>
    </row>
    <row r="3640">
      <c r="A3640" s="2" t="inlineStr">
        <is>
          <t>324003002R</t>
        </is>
      </c>
      <c r="B3640" s="2" t="inlineStr"/>
      <c r="C3640" s="2" t="inlineStr">
        <is>
          <t>SENSOR POSICION CIGUENAL F-PAL/SIE 1.8/MONTANA</t>
        </is>
      </c>
      <c r="D3640" s="2" t="inlineStr">
        <is>
          <t>VDO</t>
        </is>
      </c>
      <c r="E3640" s="3" t="n">
        <v>15.3846</v>
      </c>
      <c r="F3640" s="4" t="n">
        <v>0.3</v>
      </c>
      <c r="G3640" s="5">
        <f>ROUND(E3640*(1+F3640),2)</f>
        <v>20.00</v>
      </c>
      <c r="H3640" s="5">
        <f>ROUND(G3640*NOTAS!$B$2,2)</f>
        <v>14426.91</v>
      </c>
      <c r="I3640" s="6">
        <f>ROUND(G3640*NOTAS!$B$3,0)</f>
        <v>64977</v>
      </c>
      <c r="J3640" s="2" t="n">
        <v>4</v>
      </c>
    </row>
    <row r="3641">
      <c r="A3641" s="2" t="inlineStr">
        <is>
          <t>7700720341</t>
        </is>
      </c>
      <c r="B3641" s="2" t="inlineStr"/>
      <c r="C3641" s="2" t="inlineStr">
        <is>
          <t>SENSOR POSICION CIGUENAL R-11</t>
        </is>
      </c>
      <c r="D3641" s="2" t="inlineStr">
        <is>
          <t>4USA</t>
        </is>
      </c>
      <c r="E3641" s="3" t="n">
        <v>11.5385</v>
      </c>
      <c r="F3641" s="4" t="n">
        <v>0.3</v>
      </c>
      <c r="G3641" s="5">
        <f>ROUND(E3641*(1+F3641),2)</f>
        <v>15.00</v>
      </c>
      <c r="H3641" s="5">
        <f>ROUND(G3641*NOTAS!$B$2,2)</f>
        <v>10820.18</v>
      </c>
      <c r="I3641" s="6">
        <f>ROUND(G3641*NOTAS!$B$3,0)</f>
        <v>48733</v>
      </c>
      <c r="J3641" s="2" t="n">
        <v>2</v>
      </c>
    </row>
    <row r="3642">
      <c r="A3642" s="2" t="inlineStr">
        <is>
          <t>10383</t>
        </is>
      </c>
      <c r="B3642" s="2" t="inlineStr"/>
      <c r="C3642" s="2" t="inlineStr">
        <is>
          <t>SENSOR POSICION CIGUENAL R-18/FUEGO</t>
        </is>
      </c>
      <c r="D3642" s="2" t="inlineStr">
        <is>
          <t>AUTOGAMMA</t>
        </is>
      </c>
      <c r="E3642" s="3" t="n">
        <v>11.5385</v>
      </c>
      <c r="F3642" s="4" t="n">
        <v>0.3</v>
      </c>
      <c r="G3642" s="5">
        <f>ROUND(E3642*(1+F3642),2)</f>
        <v>15.00</v>
      </c>
      <c r="H3642" s="5">
        <f>ROUND(G3642*NOTAS!$B$2,2)</f>
        <v>10820.18</v>
      </c>
      <c r="I3642" s="6">
        <f>ROUND(G3642*NOTAS!$B$3,0)</f>
        <v>48733</v>
      </c>
      <c r="J3642" s="2" t="n">
        <v>1</v>
      </c>
    </row>
    <row r="3643">
      <c r="A3643" s="2" t="inlineStr">
        <is>
          <t>17016</t>
        </is>
      </c>
      <c r="B3643" s="2" t="inlineStr"/>
      <c r="C3643" s="2" t="inlineStr">
        <is>
          <t>SENSOR POSICION CIGUENAL R-19 1.4</t>
        </is>
      </c>
      <c r="D3643" s="2" t="inlineStr">
        <is>
          <t>ANGLI</t>
        </is>
      </c>
      <c r="E3643" s="3" t="n">
        <v>11.5385</v>
      </c>
      <c r="F3643" s="4" t="n">
        <v>0.3</v>
      </c>
      <c r="G3643" s="5">
        <f>ROUND(E3643*(1+F3643),2)</f>
        <v>15.00</v>
      </c>
      <c r="H3643" s="5">
        <f>ROUND(G3643*NOTAS!$B$2,2)</f>
        <v>10820.18</v>
      </c>
      <c r="I3643" s="6">
        <f>ROUND(G3643*NOTAS!$B$3,0)</f>
        <v>48733</v>
      </c>
      <c r="J3643" s="2" t="n">
        <v>2</v>
      </c>
    </row>
    <row r="3644">
      <c r="A3644" s="2" t="inlineStr">
        <is>
          <t>7700728637-A</t>
        </is>
      </c>
      <c r="B3644" s="2" t="inlineStr"/>
      <c r="C3644" s="2" t="inlineStr">
        <is>
          <t>SENSOR POSICION CIGUENAL R-19/21</t>
        </is>
      </c>
      <c r="D3644" s="2" t="inlineStr">
        <is>
          <t>4USA</t>
        </is>
      </c>
      <c r="E3644" s="3" t="n">
        <v>11.5385</v>
      </c>
      <c r="F3644" s="4" t="n">
        <v>0.3</v>
      </c>
      <c r="G3644" s="5">
        <f>ROUND(E3644*(1+F3644),2)</f>
        <v>15.00</v>
      </c>
      <c r="H3644" s="5">
        <f>ROUND(G3644*NOTAS!$B$2,2)</f>
        <v>10820.18</v>
      </c>
      <c r="I3644" s="6">
        <f>ROUND(G3644*NOTAS!$B$3,0)</f>
        <v>48733</v>
      </c>
      <c r="J3644" s="2" t="n">
        <v>2</v>
      </c>
    </row>
    <row r="3645">
      <c r="A3645" s="2" t="inlineStr">
        <is>
          <t>17011</t>
        </is>
      </c>
      <c r="B3645" s="2" t="inlineStr"/>
      <c r="C3645" s="2" t="inlineStr">
        <is>
          <t>SENSOR POSICION CIGUENAL R-19/21</t>
        </is>
      </c>
      <c r="D3645" s="2" t="inlineStr">
        <is>
          <t>ANGLI</t>
        </is>
      </c>
      <c r="E3645" s="3" t="n">
        <v>11.5385</v>
      </c>
      <c r="F3645" s="4" t="n">
        <v>0.3</v>
      </c>
      <c r="G3645" s="5">
        <f>ROUND(E3645*(1+F3645),2)</f>
        <v>15.00</v>
      </c>
      <c r="H3645" s="5">
        <f>ROUND(G3645*NOTAS!$B$2,2)</f>
        <v>10820.18</v>
      </c>
      <c r="I3645" s="6">
        <f>ROUND(G3645*NOTAS!$B$3,0)</f>
        <v>48733</v>
      </c>
      <c r="J3645" s="2" t="n">
        <v>2</v>
      </c>
    </row>
    <row r="3646">
      <c r="A3646" s="2" t="inlineStr">
        <is>
          <t>7051</t>
        </is>
      </c>
      <c r="B3646" s="2" t="inlineStr"/>
      <c r="C3646" s="2" t="inlineStr">
        <is>
          <t xml:space="preserve">SENSOR POSICION CIGUENAL R-MEGANE/CLIO </t>
        </is>
      </c>
      <c r="D3646" s="2" t="inlineStr">
        <is>
          <t>MTE-THOMSON</t>
        </is>
      </c>
      <c r="E3646" s="3" t="n">
        <v>13.8462</v>
      </c>
      <c r="F3646" s="4" t="n">
        <v>0.3</v>
      </c>
      <c r="G3646" s="5">
        <f>ROUND(E3646*(1+F3646),2)</f>
        <v>18.00</v>
      </c>
      <c r="H3646" s="5">
        <f>ROUND(G3646*NOTAS!$B$2,2)</f>
        <v>12984.22</v>
      </c>
      <c r="I3646" s="6">
        <f>ROUND(G3646*NOTAS!$B$3,0)</f>
        <v>58480</v>
      </c>
      <c r="J3646" s="2" t="n">
        <v>1</v>
      </c>
    </row>
    <row r="3647">
      <c r="A3647" s="2" t="inlineStr">
        <is>
          <t>70509</t>
        </is>
      </c>
      <c r="B3647" s="2" t="inlineStr"/>
      <c r="C3647" s="2" t="inlineStr">
        <is>
          <t>SENSOR POSICION CIGUENAL R-MEGANE/CLIO CONECTOR DER</t>
        </is>
      </c>
      <c r="D3647" s="2" t="inlineStr">
        <is>
          <t>MTE-THOMSON</t>
        </is>
      </c>
      <c r="E3647" s="3" t="n">
        <v>13.8462</v>
      </c>
      <c r="F3647" s="4" t="n">
        <v>0.3</v>
      </c>
      <c r="G3647" s="5">
        <f>ROUND(E3647*(1+F3647),2)</f>
        <v>18.00</v>
      </c>
      <c r="H3647" s="5">
        <f>ROUND(G3647*NOTAS!$B$2,2)</f>
        <v>12984.22</v>
      </c>
      <c r="I3647" s="6">
        <f>ROUND(G3647*NOTAS!$B$3,0)</f>
        <v>58480</v>
      </c>
      <c r="J3647" s="2" t="n">
        <v>1</v>
      </c>
    </row>
    <row r="3648">
      <c r="A3648" s="2" t="inlineStr">
        <is>
          <t>87176/1</t>
        </is>
      </c>
      <c r="B3648" s="2" t="inlineStr"/>
      <c r="C3648" s="2" t="inlineStr">
        <is>
          <t>SENSOR POSICION CIGUENAL R-MEGANE/CLIO CONECTOR IZQ</t>
        </is>
      </c>
      <c r="D3648" s="2" t="inlineStr">
        <is>
          <t>MEATDORIA</t>
        </is>
      </c>
      <c r="E3648" s="3" t="n">
        <v>13.8462</v>
      </c>
      <c r="F3648" s="4" t="n">
        <v>0.3</v>
      </c>
      <c r="G3648" s="5">
        <f>ROUND(E3648*(1+F3648),2)</f>
        <v>18.00</v>
      </c>
      <c r="H3648" s="5">
        <f>ROUND(G3648*NOTAS!$B$2,2)</f>
        <v>12984.22</v>
      </c>
      <c r="I3648" s="6">
        <f>ROUND(G3648*NOTAS!$B$3,0)</f>
        <v>58480</v>
      </c>
      <c r="J3648" s="2" t="n">
        <v>1</v>
      </c>
    </row>
    <row r="3649">
      <c r="A3649" s="2" t="inlineStr">
        <is>
          <t>I96325868</t>
        </is>
      </c>
      <c r="B3649" s="2" t="inlineStr"/>
      <c r="C3649" s="2" t="inlineStr">
        <is>
          <t>SENSOR POSICION CIGUENAL SPARK</t>
        </is>
      </c>
      <c r="D3649" s="2" t="inlineStr">
        <is>
          <t>PARTS-MALL</t>
        </is>
      </c>
      <c r="E3649" s="3" t="n">
        <v>13.0769</v>
      </c>
      <c r="F3649" s="4" t="n">
        <v>0.3</v>
      </c>
      <c r="G3649" s="5">
        <f>ROUND(E3649*(1+F3649),2)</f>
        <v>17.00</v>
      </c>
      <c r="H3649" s="5">
        <f>ROUND(G3649*NOTAS!$B$2,2)</f>
        <v>12262.88</v>
      </c>
      <c r="I3649" s="6">
        <f>ROUND(G3649*NOTAS!$B$3,0)</f>
        <v>55231</v>
      </c>
      <c r="J3649" s="2" t="n">
        <v>2</v>
      </c>
    </row>
    <row r="3650">
      <c r="A3650" s="2" t="inlineStr">
        <is>
          <t>96325868-A</t>
        </is>
      </c>
      <c r="B3650" s="2" t="inlineStr"/>
      <c r="C3650" s="2" t="inlineStr">
        <is>
          <t>SENSOR POSICION CIGUENAL SPARK</t>
        </is>
      </c>
      <c r="D3650" s="2" t="inlineStr">
        <is>
          <t>4USA</t>
        </is>
      </c>
      <c r="E3650" s="3" t="n">
        <v>13.0769</v>
      </c>
      <c r="F3650" s="4" t="n">
        <v>0.3</v>
      </c>
      <c r="G3650" s="5">
        <f>ROUND(E3650*(1+F3650),2)</f>
        <v>17.00</v>
      </c>
      <c r="H3650" s="5">
        <f>ROUND(G3650*NOTAS!$B$2,2)</f>
        <v>12262.88</v>
      </c>
      <c r="I3650" s="6">
        <f>ROUND(G3650*NOTAS!$B$3,0)</f>
        <v>55231</v>
      </c>
      <c r="J3650" s="2" t="n">
        <v>1</v>
      </c>
    </row>
    <row r="3651">
      <c r="A3651" s="2" t="inlineStr">
        <is>
          <t>6740816</t>
        </is>
      </c>
      <c r="B3651" s="2" t="inlineStr">
        <is>
          <t>948F6C315AA</t>
        </is>
      </c>
      <c r="C3651" s="2" t="inlineStr">
        <is>
          <t>SENSOR POSICION LEVA FIESTA 1.25 BALITA …/03 2PINES</t>
        </is>
      </c>
      <c r="D3651" s="2" t="inlineStr">
        <is>
          <t>FORD</t>
        </is>
      </c>
      <c r="E3651" s="3" t="n">
        <v>15.3846</v>
      </c>
      <c r="F3651" s="4" t="n">
        <v>0.3</v>
      </c>
      <c r="G3651" s="5">
        <f>ROUND(E3651*(1+F3651),2)</f>
        <v>20.00</v>
      </c>
      <c r="H3651" s="5">
        <f>ROUND(G3651*NOTAS!$B$2,2)</f>
        <v>14426.91</v>
      </c>
      <c r="I3651" s="6">
        <f>ROUND(G3651*NOTAS!$B$3,0)</f>
        <v>64977</v>
      </c>
      <c r="J3651" s="2" t="n">
        <v>2</v>
      </c>
    </row>
    <row r="3652">
      <c r="A3652" s="2" t="inlineStr">
        <is>
          <t>1111037</t>
        </is>
      </c>
      <c r="B3652" s="2" t="inlineStr">
        <is>
          <t>YS6A12K073AB</t>
        </is>
      </c>
      <c r="C3652" s="2" t="inlineStr">
        <is>
          <t>SENSOR POSICION LEVA FIESTA 1.6 2PINES</t>
        </is>
      </c>
      <c r="D3652" s="2" t="inlineStr">
        <is>
          <t>FORD</t>
        </is>
      </c>
      <c r="E3652" s="3" t="n">
        <v>15.3846</v>
      </c>
      <c r="F3652" s="4" t="n">
        <v>0.3</v>
      </c>
      <c r="G3652" s="5">
        <f>ROUND(E3652*(1+F3652),2)</f>
        <v>20.00</v>
      </c>
      <c r="H3652" s="5">
        <f>ROUND(G3652*NOTAS!$B$2,2)</f>
        <v>14426.91</v>
      </c>
      <c r="I3652" s="6">
        <f>ROUND(G3652*NOTAS!$B$3,0)</f>
        <v>64977</v>
      </c>
      <c r="J3652" s="2" t="n">
        <v>1</v>
      </c>
    </row>
    <row r="3653">
      <c r="A3653" s="2" t="inlineStr">
        <is>
          <t>903020</t>
        </is>
      </c>
      <c r="B3653" s="2" t="inlineStr">
        <is>
          <t>9S6G12K073AA</t>
        </is>
      </c>
      <c r="C3653" s="2" t="inlineStr">
        <is>
          <t>SENSOR POSICION LEVA FIESTA 1.6 3PINES</t>
        </is>
      </c>
      <c r="D3653" s="2" t="inlineStr">
        <is>
          <t>FORD</t>
        </is>
      </c>
      <c r="E3653" s="3" t="n">
        <v>15.3846</v>
      </c>
      <c r="F3653" s="4" t="n">
        <v>0.3</v>
      </c>
      <c r="G3653" s="5">
        <f>ROUND(E3653*(1+F3653),2)</f>
        <v>20.00</v>
      </c>
      <c r="H3653" s="5">
        <f>ROUND(G3653*NOTAS!$B$2,2)</f>
        <v>14426.91</v>
      </c>
      <c r="I3653" s="6">
        <f>ROUND(G3653*NOTAS!$B$3,0)</f>
        <v>64977</v>
      </c>
      <c r="J3653" s="2" t="n">
        <v>1</v>
      </c>
    </row>
    <row r="3654">
      <c r="A3654" s="2" t="inlineStr">
        <is>
          <t>STD00004</t>
        </is>
      </c>
      <c r="B3654" s="2" t="inlineStr"/>
      <c r="C3654" s="2" t="inlineStr">
        <is>
          <t>SENSOR TEMPERATURA CORSA</t>
        </is>
      </c>
      <c r="D3654" s="2" t="inlineStr">
        <is>
          <t>DELPHI</t>
        </is>
      </c>
      <c r="E3654" s="3" t="n">
        <v>9.2308</v>
      </c>
      <c r="F3654" s="4" t="n">
        <v>0.3</v>
      </c>
      <c r="G3654" s="5">
        <f>ROUND(E3654*(1+F3654),2)</f>
        <v>12.00</v>
      </c>
      <c r="H3654" s="5">
        <f>ROUND(G3654*NOTAS!$B$2,2)</f>
        <v>8656.15</v>
      </c>
      <c r="I3654" s="6">
        <f>ROUND(G3654*NOTAS!$B$3,0)</f>
        <v>38986</v>
      </c>
      <c r="J3654" s="2" t="n">
        <v>5</v>
      </c>
    </row>
    <row r="3655">
      <c r="A3655" s="2" t="inlineStr">
        <is>
          <t>96181508</t>
        </is>
      </c>
      <c r="B3655" s="2" t="inlineStr"/>
      <c r="C3655" s="2" t="inlineStr">
        <is>
          <t>SENSOR TEMPERATURA CORSA</t>
        </is>
      </c>
      <c r="D3655" s="2" t="inlineStr">
        <is>
          <t>GM</t>
        </is>
      </c>
      <c r="E3655" s="3" t="n">
        <v>1.94</v>
      </c>
      <c r="F3655" s="4" t="n">
        <v>0.3</v>
      </c>
      <c r="G3655" s="5">
        <f>ROUND(E3655*(1+F3655),2)</f>
        <v>2.52</v>
      </c>
      <c r="H3655" s="5">
        <f>ROUND(G3655*NOTAS!$B$2,2)</f>
        <v>1817.79</v>
      </c>
      <c r="I3655" s="6">
        <f>ROUND(G3655*NOTAS!$B$3,0)</f>
        <v>8187</v>
      </c>
      <c r="J3655" s="2" t="n">
        <v>1</v>
      </c>
    </row>
    <row r="3656">
      <c r="A3656" s="2" t="inlineStr">
        <is>
          <t>25037223-A</t>
        </is>
      </c>
      <c r="B3656" s="2" t="inlineStr"/>
      <c r="C3656" s="2" t="inlineStr">
        <is>
          <t>SENSOR TEMPERATURA DUCTO AIRE CIELO</t>
        </is>
      </c>
      <c r="D3656" s="2" t="inlineStr">
        <is>
          <t>KOREA</t>
        </is>
      </c>
      <c r="E3656" s="3" t="n">
        <v>9.2308</v>
      </c>
      <c r="F3656" s="4" t="n">
        <v>0.3</v>
      </c>
      <c r="G3656" s="5">
        <f>ROUND(E3656*(1+F3656),2)</f>
        <v>12.00</v>
      </c>
      <c r="H3656" s="5">
        <f>ROUND(G3656*NOTAS!$B$2,2)</f>
        <v>8656.15</v>
      </c>
      <c r="I3656" s="6">
        <f>ROUND(G3656*NOTAS!$B$3,0)</f>
        <v>38986</v>
      </c>
      <c r="J3656" s="2" t="n">
        <v>3</v>
      </c>
    </row>
    <row r="3657">
      <c r="A3657" s="2" t="inlineStr">
        <is>
          <t>STD00002</t>
        </is>
      </c>
      <c r="B3657" s="2" t="inlineStr"/>
      <c r="C3657" s="2" t="inlineStr">
        <is>
          <t>SENSOR TEMPERATURA DUCTO AIRE CORSA/ASTRA/CRUZE/CHEVY</t>
        </is>
      </c>
      <c r="D3657" s="2" t="inlineStr">
        <is>
          <t>DELPHI</t>
        </is>
      </c>
      <c r="E3657" s="3" t="n">
        <v>9.2308</v>
      </c>
      <c r="F3657" s="4" t="n">
        <v>0.3</v>
      </c>
      <c r="G3657" s="5">
        <f>ROUND(E3657*(1+F3657),2)</f>
        <v>12.00</v>
      </c>
      <c r="H3657" s="5">
        <f>ROUND(G3657*NOTAS!$B$2,2)</f>
        <v>8656.15</v>
      </c>
      <c r="I3657" s="6">
        <f>ROUND(G3657*NOTAS!$B$3,0)</f>
        <v>38986</v>
      </c>
      <c r="J3657" s="2" t="n">
        <v>8</v>
      </c>
    </row>
    <row r="3658">
      <c r="A3658" s="2" t="inlineStr">
        <is>
          <t>1540574</t>
        </is>
      </c>
      <c r="B3658" s="2" t="inlineStr">
        <is>
          <t>7C1112A648AA</t>
        </is>
      </c>
      <c r="C3658" s="2" t="inlineStr">
        <is>
          <t>SENSOR TEMPERATURA ECOSPORT/FOCUS 2.0</t>
        </is>
      </c>
      <c r="D3658" s="2" t="inlineStr">
        <is>
          <t>FORD</t>
        </is>
      </c>
      <c r="E3658" s="3" t="n">
        <v>9.2308</v>
      </c>
      <c r="F3658" s="4" t="n">
        <v>0.3</v>
      </c>
      <c r="G3658" s="5">
        <f>ROUND(E3658*(1+F3658),2)</f>
        <v>12.00</v>
      </c>
      <c r="H3658" s="5">
        <f>ROUND(G3658*NOTAS!$B$2,2)</f>
        <v>8656.15</v>
      </c>
      <c r="I3658" s="6">
        <f>ROUND(G3658*NOTAS!$B$3,0)</f>
        <v>38986</v>
      </c>
      <c r="J3658" s="2" t="n">
        <v>2</v>
      </c>
    </row>
    <row r="3659">
      <c r="A3659" s="2" t="inlineStr">
        <is>
          <t>900158</t>
        </is>
      </c>
      <c r="B3659" s="2" t="inlineStr">
        <is>
          <t>XS6F12A648BA</t>
        </is>
      </c>
      <c r="C3659" s="2" t="inlineStr">
        <is>
          <t>SENSOR TEMPERATURA FIESTA/KA</t>
        </is>
      </c>
      <c r="D3659" s="2" t="inlineStr">
        <is>
          <t>FORD</t>
        </is>
      </c>
      <c r="E3659" s="3" t="n">
        <v>9.2308</v>
      </c>
      <c r="F3659" s="4" t="n">
        <v>0.3</v>
      </c>
      <c r="G3659" s="5">
        <f>ROUND(E3659*(1+F3659),2)</f>
        <v>12.00</v>
      </c>
      <c r="H3659" s="5">
        <f>ROUND(G3659*NOTAS!$B$2,2)</f>
        <v>8656.15</v>
      </c>
      <c r="I3659" s="6">
        <f>ROUND(G3659*NOTAS!$B$3,0)</f>
        <v>38986</v>
      </c>
      <c r="J3659" s="2" t="n">
        <v>14</v>
      </c>
    </row>
    <row r="3660">
      <c r="A3660" s="2" t="inlineStr">
        <is>
          <t>WS2680</t>
        </is>
      </c>
      <c r="B3660" s="2" t="inlineStr">
        <is>
          <t>XS6F12A648BA</t>
        </is>
      </c>
      <c r="C3660" s="2" t="inlineStr">
        <is>
          <t>SENSOR TEMPERATURA FIESTA/KA</t>
        </is>
      </c>
      <c r="D3660" s="2" t="inlineStr">
        <is>
          <t>VERNET</t>
        </is>
      </c>
      <c r="E3660" s="3" t="n">
        <v>9.2308</v>
      </c>
      <c r="F3660" s="4" t="n">
        <v>0.3</v>
      </c>
      <c r="G3660" s="5">
        <f>ROUND(E3660*(1+F3660),2)</f>
        <v>12.00</v>
      </c>
      <c r="H3660" s="5">
        <f>ROUND(G3660*NOTAS!$B$2,2)</f>
        <v>8656.15</v>
      </c>
      <c r="I3660" s="6">
        <f>ROUND(G3660*NOTAS!$B$3,0)</f>
        <v>38986</v>
      </c>
      <c r="J3660" s="2" t="n">
        <v>1</v>
      </c>
    </row>
    <row r="3661">
      <c r="A3661" s="2" t="inlineStr">
        <is>
          <t>WS2589</t>
        </is>
      </c>
      <c r="B3661" s="2" t="inlineStr"/>
      <c r="C3661" s="2" t="inlineStr">
        <is>
          <t>SENSOR TEMPERATURA F-PAL/SIE …/00</t>
        </is>
      </c>
      <c r="D3661" s="2" t="inlineStr">
        <is>
          <t>VERNET</t>
        </is>
      </c>
      <c r="E3661" s="3" t="n">
        <v>9.2308</v>
      </c>
      <c r="F3661" s="4" t="n">
        <v>0.3</v>
      </c>
      <c r="G3661" s="5">
        <f>ROUND(E3661*(1+F3661),2)</f>
        <v>12.00</v>
      </c>
      <c r="H3661" s="5">
        <f>ROUND(G3661*NOTAS!$B$2,2)</f>
        <v>8656.15</v>
      </c>
      <c r="I3661" s="6">
        <f>ROUND(G3661*NOTAS!$B$3,0)</f>
        <v>38986</v>
      </c>
      <c r="J3661" s="2" t="n">
        <v>8</v>
      </c>
    </row>
    <row r="3662">
      <c r="A3662" s="2" t="inlineStr">
        <is>
          <t>D22182</t>
        </is>
      </c>
      <c r="B3662" s="2" t="inlineStr"/>
      <c r="C3662" s="2" t="inlineStr">
        <is>
          <t>SENSOR TEMPERATURA F-PAL/SIE …/00</t>
        </is>
      </c>
      <c r="D3662" s="2" t="inlineStr">
        <is>
          <t>VDO</t>
        </is>
      </c>
      <c r="E3662" s="3" t="n">
        <v>9.2308</v>
      </c>
      <c r="F3662" s="4" t="n">
        <v>0.3</v>
      </c>
      <c r="G3662" s="5">
        <f>ROUND(E3662*(1+F3662),2)</f>
        <v>12.00</v>
      </c>
      <c r="H3662" s="5">
        <f>ROUND(G3662*NOTAS!$B$2,2)</f>
        <v>8656.15</v>
      </c>
      <c r="I3662" s="6">
        <f>ROUND(G3662*NOTAS!$B$3,0)</f>
        <v>38986</v>
      </c>
      <c r="J3662" s="2" t="n">
        <v>2</v>
      </c>
    </row>
    <row r="3663">
      <c r="A3663" s="2" t="inlineStr">
        <is>
          <t>WS2633</t>
        </is>
      </c>
      <c r="B3663" s="2" t="inlineStr"/>
      <c r="C3663" s="2" t="inlineStr">
        <is>
          <t>SENSOR TEMPERATURA F-PAL/SIE 1.3 16V FIRE</t>
        </is>
      </c>
      <c r="D3663" s="2" t="inlineStr">
        <is>
          <t>VERNET</t>
        </is>
      </c>
      <c r="E3663" s="3" t="n">
        <v>9.2308</v>
      </c>
      <c r="F3663" s="4" t="n">
        <v>0.3</v>
      </c>
      <c r="G3663" s="5">
        <f>ROUND(E3663*(1+F3663),2)</f>
        <v>12.00</v>
      </c>
      <c r="H3663" s="5">
        <f>ROUND(G3663*NOTAS!$B$2,2)</f>
        <v>8656.15</v>
      </c>
      <c r="I3663" s="6">
        <f>ROUND(G3663*NOTAS!$B$3,0)</f>
        <v>38986</v>
      </c>
      <c r="J3663" s="2" t="n">
        <v>6</v>
      </c>
    </row>
    <row r="3664">
      <c r="A3664" s="2" t="inlineStr">
        <is>
          <t>25360-37100</t>
        </is>
      </c>
      <c r="B3664" s="2" t="inlineStr"/>
      <c r="C3664" s="2" t="inlineStr">
        <is>
          <t>SENSOR TEMPERATURA HYUNDAI ACCENT/EXCEL/ELANTRA CARBURADO</t>
        </is>
      </c>
      <c r="D3664" s="2" t="inlineStr">
        <is>
          <t>PARTS-MALL</t>
        </is>
      </c>
      <c r="E3664" s="3" t="n">
        <v>9.2308</v>
      </c>
      <c r="F3664" s="4" t="n">
        <v>0.3</v>
      </c>
      <c r="G3664" s="5">
        <f>ROUND(E3664*(1+F3664),2)</f>
        <v>12.00</v>
      </c>
      <c r="H3664" s="5">
        <f>ROUND(G3664*NOTAS!$B$2,2)</f>
        <v>8656.15</v>
      </c>
      <c r="I3664" s="6">
        <f>ROUND(G3664*NOTAS!$B$3,0)</f>
        <v>38986</v>
      </c>
      <c r="J3664" s="2" t="n">
        <v>2</v>
      </c>
    </row>
    <row r="3665">
      <c r="A3665" s="2" t="inlineStr">
        <is>
          <t>0K50F18840</t>
        </is>
      </c>
      <c r="B3665" s="2" t="inlineStr"/>
      <c r="C3665" s="2" t="inlineStr">
        <is>
          <t>SENSOR TEMPERATURA KIA RIO 06/11 STYLUS FESTIVA</t>
        </is>
      </c>
      <c r="D3665" s="2" t="inlineStr">
        <is>
          <t>HYUNDAI</t>
        </is>
      </c>
      <c r="E3665" s="3" t="n">
        <v>9.2308</v>
      </c>
      <c r="F3665" s="4" t="n">
        <v>0.3</v>
      </c>
      <c r="G3665" s="5">
        <f>ROUND(E3665*(1+F3665),2)</f>
        <v>12.00</v>
      </c>
      <c r="H3665" s="5">
        <f>ROUND(G3665*NOTAS!$B$2,2)</f>
        <v>8656.15</v>
      </c>
      <c r="I3665" s="6">
        <f>ROUND(G3665*NOTAS!$B$3,0)</f>
        <v>38986</v>
      </c>
      <c r="J3665" s="2" t="n">
        <v>4</v>
      </c>
    </row>
    <row r="3666">
      <c r="A3666" s="2" t="inlineStr"/>
      <c r="B3666" s="2" t="inlineStr"/>
      <c r="C3666" s="2" t="inlineStr">
        <is>
          <t>SENSOR TEMPERATURA R-SYMBOL/LOGAN</t>
        </is>
      </c>
      <c r="D3666" s="2" t="inlineStr"/>
      <c r="E3666" s="3" t="n">
        <v>9.2308</v>
      </c>
      <c r="F3666" s="4" t="n">
        <v>0.3</v>
      </c>
      <c r="G3666" s="5">
        <f>ROUND(E3666*(1+F3666),2)</f>
        <v>12.00</v>
      </c>
      <c r="H3666" s="5">
        <f>ROUND(G3666*NOTAS!$B$2,2)</f>
        <v>8656.15</v>
      </c>
      <c r="I3666" s="6">
        <f>ROUND(G3666*NOTAS!$B$3,0)</f>
        <v>38986</v>
      </c>
      <c r="J3666" s="2" t="n">
        <v>1</v>
      </c>
    </row>
    <row r="3667">
      <c r="A3667" s="2" t="inlineStr">
        <is>
          <t>SL59060 010</t>
        </is>
      </c>
      <c r="B3667" s="2" t="inlineStr"/>
      <c r="C3667" s="2" t="inlineStr">
        <is>
          <t>SEPARADOR CIGUENAL MEDIA LUNA CORCEL</t>
        </is>
      </c>
      <c r="D3667" s="2" t="inlineStr">
        <is>
          <t>MAHLE</t>
        </is>
      </c>
      <c r="E3667" s="3" t="n">
        <v>4.6154</v>
      </c>
      <c r="F3667" s="4" t="n">
        <v>0.3</v>
      </c>
      <c r="G3667" s="5">
        <f>ROUND(E3667*(1+F3667),2)</f>
        <v>6.00</v>
      </c>
      <c r="H3667" s="5">
        <f>ROUND(G3667*NOTAS!$B$2,2)</f>
        <v>4328.07</v>
      </c>
      <c r="I3667" s="6">
        <f>ROUND(G3667*NOTAS!$B$3,0)</f>
        <v>19493</v>
      </c>
      <c r="J3667" s="2" t="n">
        <v>4</v>
      </c>
    </row>
    <row r="3668">
      <c r="A3668" s="2" t="inlineStr">
        <is>
          <t>30-131/1A 000</t>
        </is>
      </c>
      <c r="B3668" s="2" t="inlineStr"/>
      <c r="C3668" s="2" t="inlineStr">
        <is>
          <t>SEPARADOR CIGUENAL MEDIA LUNA F-REGATA AUT/TEMPRA SIENA 1.6</t>
        </is>
      </c>
      <c r="D3668" s="2" t="inlineStr">
        <is>
          <t>SINTERMETAL</t>
        </is>
      </c>
      <c r="E3668" s="3" t="n">
        <v>5.3846</v>
      </c>
      <c r="F3668" s="4" t="n">
        <v>0.3</v>
      </c>
      <c r="G3668" s="5">
        <f>ROUND(E3668*(1+F3668),2)</f>
        <v>7.00</v>
      </c>
      <c r="H3668" s="5">
        <f>ROUND(G3668*NOTAS!$B$2,2)</f>
        <v>5049.42</v>
      </c>
      <c r="I3668" s="6">
        <f>ROUND(G3668*NOTAS!$B$3,0)</f>
        <v>22742</v>
      </c>
      <c r="J3668" s="2" t="n">
        <v>4</v>
      </c>
    </row>
    <row r="3669">
      <c r="A3669" s="2" t="inlineStr">
        <is>
          <t>L25034 STD</t>
        </is>
      </c>
      <c r="B3669" s="2" t="inlineStr"/>
      <c r="C3669" s="2" t="inlineStr">
        <is>
          <t>SEPARADOR CIGUENAL MEDIA LUNA F-UNO/PREMIO 1.5/1.6</t>
        </is>
      </c>
      <c r="D3669" s="2" t="inlineStr">
        <is>
          <t>MAHLE</t>
        </is>
      </c>
      <c r="E3669" s="3" t="n">
        <v>5.3846</v>
      </c>
      <c r="F3669" s="4" t="n">
        <v>0.3</v>
      </c>
      <c r="G3669" s="5">
        <f>ROUND(E3669*(1+F3669),2)</f>
        <v>7.00</v>
      </c>
      <c r="H3669" s="5">
        <f>ROUND(G3669*NOTAS!$B$2,2)</f>
        <v>5049.42</v>
      </c>
      <c r="I3669" s="6">
        <f>ROUND(G3669*NOTAS!$B$3,0)</f>
        <v>22742</v>
      </c>
      <c r="J3669" s="2" t="n">
        <v>1</v>
      </c>
    </row>
    <row r="3670">
      <c r="A3670" s="2" t="inlineStr">
        <is>
          <t>AE-034J STD</t>
        </is>
      </c>
      <c r="B3670" s="2" t="inlineStr"/>
      <c r="C3670" s="2" t="inlineStr">
        <is>
          <t>SEPARADOR CIGUENAL MEDIA LUNA F-UNO/PREMIO 1.5/1.6</t>
        </is>
      </c>
      <c r="D3670" s="2" t="inlineStr">
        <is>
          <t>METAL LEVE</t>
        </is>
      </c>
      <c r="E3670" s="3" t="n">
        <v>5.3846</v>
      </c>
      <c r="F3670" s="4" t="n">
        <v>0.3</v>
      </c>
      <c r="G3670" s="5">
        <f>ROUND(E3670*(1+F3670),2)</f>
        <v>7.00</v>
      </c>
      <c r="H3670" s="5">
        <f>ROUND(G3670*NOTAS!$B$2,2)</f>
        <v>5049.42</v>
      </c>
      <c r="I3670" s="6">
        <f>ROUND(G3670*NOTAS!$B$3,0)</f>
        <v>22742</v>
      </c>
      <c r="J3670" s="2" t="n">
        <v>5</v>
      </c>
    </row>
    <row r="3671">
      <c r="A3671" s="2" t="inlineStr">
        <is>
          <t>VP8289-38 STD</t>
        </is>
      </c>
      <c r="B3671" s="2" t="inlineStr"/>
      <c r="C3671" s="2" t="inlineStr">
        <is>
          <t>SEPARADOR CIGUENAL MEDIA LUNA R-11/19</t>
        </is>
      </c>
      <c r="D3671" s="2" t="inlineStr">
        <is>
          <t>NB</t>
        </is>
      </c>
      <c r="E3671" s="3" t="n">
        <v>4.6154</v>
      </c>
      <c r="F3671" s="4" t="n">
        <v>0.3</v>
      </c>
      <c r="G3671" s="5">
        <f>ROUND(E3671*(1+F3671),2)</f>
        <v>6.00</v>
      </c>
      <c r="H3671" s="5">
        <f>ROUND(G3671*NOTAS!$B$2,2)</f>
        <v>4328.07</v>
      </c>
      <c r="I3671" s="6">
        <f>ROUND(G3671*NOTAS!$B$3,0)</f>
        <v>19493</v>
      </c>
      <c r="J3671" s="2" t="n">
        <v>1</v>
      </c>
    </row>
    <row r="3672">
      <c r="A3672" s="2" t="inlineStr">
        <is>
          <t>L18117 STD</t>
        </is>
      </c>
      <c r="B3672" s="2" t="inlineStr"/>
      <c r="C3672" s="2" t="inlineStr">
        <is>
          <t>SEPARADOR CIGUENAL MEDIA LUNA R-18/FUEGO</t>
        </is>
      </c>
      <c r="D3672" s="2" t="inlineStr">
        <is>
          <t>MAHLE</t>
        </is>
      </c>
      <c r="E3672" s="3" t="n">
        <v>5.3846</v>
      </c>
      <c r="F3672" s="4" t="n">
        <v>0.3</v>
      </c>
      <c r="G3672" s="5">
        <f>ROUND(E3672*(1+F3672),2)</f>
        <v>7.00</v>
      </c>
      <c r="H3672" s="5">
        <f>ROUND(G3672*NOTAS!$B$2,2)</f>
        <v>5049.42</v>
      </c>
      <c r="I3672" s="6">
        <f>ROUND(G3672*NOTAS!$B$3,0)</f>
        <v>22742</v>
      </c>
      <c r="J3672" s="2" t="n">
        <v>1</v>
      </c>
    </row>
    <row r="3673">
      <c r="A3673" s="2" t="inlineStr">
        <is>
          <t>AE117J STD</t>
        </is>
      </c>
      <c r="B3673" s="2" t="inlineStr"/>
      <c r="C3673" s="2" t="inlineStr">
        <is>
          <t>SEPARADOR CIGUENAL MEDIA LUNA R-18/FUEGO</t>
        </is>
      </c>
      <c r="D3673" s="2" t="inlineStr">
        <is>
          <t>METAL LEVE</t>
        </is>
      </c>
      <c r="E3673" s="3" t="n">
        <v>5.3846</v>
      </c>
      <c r="F3673" s="4" t="n">
        <v>0.3</v>
      </c>
      <c r="G3673" s="5">
        <f>ROUND(E3673*(1+F3673),2)</f>
        <v>7.00</v>
      </c>
      <c r="H3673" s="5">
        <f>ROUND(G3673*NOTAS!$B$2,2)</f>
        <v>5049.42</v>
      </c>
      <c r="I3673" s="6">
        <f>ROUND(G3673*NOTAS!$B$3,0)</f>
        <v>22742</v>
      </c>
      <c r="J3673" s="2" t="n">
        <v>2</v>
      </c>
    </row>
    <row r="3674">
      <c r="A3674" s="2" t="inlineStr">
        <is>
          <t>30-237/1A STD</t>
        </is>
      </c>
      <c r="B3674" s="2" t="inlineStr"/>
      <c r="C3674" s="2" t="inlineStr">
        <is>
          <t>SEPARADOR CIGUENAL MEDIA LUNA R-5/12 1.3</t>
        </is>
      </c>
      <c r="D3674" s="2" t="inlineStr">
        <is>
          <t>SINTERMETAL</t>
        </is>
      </c>
      <c r="E3674" s="3" t="n">
        <v>4.6154</v>
      </c>
      <c r="F3674" s="4" t="n">
        <v>0.3</v>
      </c>
      <c r="G3674" s="5">
        <f>ROUND(E3674*(1+F3674),2)</f>
        <v>6.00</v>
      </c>
      <c r="H3674" s="5">
        <f>ROUND(G3674*NOTAS!$B$2,2)</f>
        <v>4328.07</v>
      </c>
      <c r="I3674" s="6">
        <f>ROUND(G3674*NOTAS!$B$3,0)</f>
        <v>19493</v>
      </c>
      <c r="J3674" s="2" t="n">
        <v>2</v>
      </c>
    </row>
    <row r="3675">
      <c r="A3675" s="2" t="inlineStr">
        <is>
          <t>TW-142-S STD</t>
        </is>
      </c>
      <c r="B3675" s="2" t="inlineStr"/>
      <c r="C3675" s="2" t="inlineStr">
        <is>
          <t>SEPARADOR CIGUENAL MEDIA LUNA R-5/12 1.3</t>
        </is>
      </c>
      <c r="D3675" s="2" t="inlineStr">
        <is>
          <t>CLEMEX</t>
        </is>
      </c>
      <c r="E3675" s="3" t="n">
        <v>4.6154</v>
      </c>
      <c r="F3675" s="4" t="n">
        <v>0.3</v>
      </c>
      <c r="G3675" s="5">
        <f>ROUND(E3675*(1+F3675),2)</f>
        <v>6.00</v>
      </c>
      <c r="H3675" s="5">
        <f>ROUND(G3675*NOTAS!$B$2,2)</f>
        <v>4328.07</v>
      </c>
      <c r="I3675" s="6">
        <f>ROUND(G3675*NOTAS!$B$3,0)</f>
        <v>19493</v>
      </c>
      <c r="J3675" s="2" t="n">
        <v>1</v>
      </c>
    </row>
    <row r="3676">
      <c r="A3676" s="2" t="inlineStr">
        <is>
          <t>99938</t>
        </is>
      </c>
      <c r="B3676" s="2" t="inlineStr"/>
      <c r="C3676" s="2" t="inlineStr">
        <is>
          <t>SILICON GRIS</t>
        </is>
      </c>
      <c r="D3676" s="2" t="inlineStr">
        <is>
          <t>VERSA GREY</t>
        </is>
      </c>
      <c r="E3676" s="3" t="n">
        <v>6.1538</v>
      </c>
      <c r="F3676" s="4" t="n">
        <v>0.3</v>
      </c>
      <c r="G3676" s="5">
        <f>ROUND(E3676*(1+F3676),2)</f>
        <v>8.00</v>
      </c>
      <c r="H3676" s="5">
        <f>ROUND(G3676*NOTAS!$B$2,2)</f>
        <v>5770.76</v>
      </c>
      <c r="I3676" s="6">
        <f>ROUND(G3676*NOTAS!$B$3,0)</f>
        <v>25991</v>
      </c>
      <c r="J3676" s="2" t="n">
        <v>12</v>
      </c>
    </row>
    <row r="3677">
      <c r="A3677" s="2" t="inlineStr">
        <is>
          <t>4451144</t>
        </is>
      </c>
      <c r="B3677" s="2" t="inlineStr"/>
      <c r="C3677" s="2" t="inlineStr">
        <is>
          <t>SINCRONICO CAJA FRENO FIAT</t>
        </is>
      </c>
      <c r="D3677" s="2" t="inlineStr">
        <is>
          <t>WOLF</t>
        </is>
      </c>
      <c r="E3677" s="3" t="n">
        <v>19.2308</v>
      </c>
      <c r="F3677" s="4" t="n">
        <v>0.3</v>
      </c>
      <c r="G3677" s="5">
        <f>ROUND(E3677*(1+F3677),2)</f>
        <v>25.00</v>
      </c>
      <c r="H3677" s="5">
        <f>ROUND(G3677*NOTAS!$B$2,2)</f>
        <v>18033.64</v>
      </c>
      <c r="I3677" s="6">
        <f>ROUND(G3677*NOTAS!$B$3,0)</f>
        <v>81222</v>
      </c>
      <c r="J3677" s="2" t="n">
        <v>2</v>
      </c>
    </row>
    <row r="3678">
      <c r="A3678" s="2" t="inlineStr">
        <is>
          <t>4375691</t>
        </is>
      </c>
      <c r="B3678" s="2" t="inlineStr"/>
      <c r="C3678" s="2" t="inlineStr">
        <is>
          <t>SINCRONICO CAJA HIERRO FIAT</t>
        </is>
      </c>
      <c r="D3678" s="2" t="inlineStr">
        <is>
          <t>WOLF</t>
        </is>
      </c>
      <c r="E3678" s="3" t="n">
        <v>21.5385</v>
      </c>
      <c r="F3678" s="4" t="n">
        <v>0.3</v>
      </c>
      <c r="G3678" s="5">
        <f>ROUND(E3678*(1+F3678),2)</f>
        <v>28.00</v>
      </c>
      <c r="H3678" s="5">
        <f>ROUND(G3678*NOTAS!$B$2,2)</f>
        <v>20197.68</v>
      </c>
      <c r="I3678" s="6">
        <f>ROUND(G3678*NOTAS!$B$3,0)</f>
        <v>90968</v>
      </c>
      <c r="J3678" s="2" t="n">
        <v>2</v>
      </c>
    </row>
    <row r="3679">
      <c r="A3679" s="2" t="inlineStr">
        <is>
          <t>3250</t>
        </is>
      </c>
      <c r="B3679" s="2" t="inlineStr"/>
      <c r="C3679" s="2" t="inlineStr">
        <is>
          <t>SOPORTE BARRA TENSORA DER CORSA …/99</t>
        </is>
      </c>
      <c r="D3679" s="2" t="inlineStr">
        <is>
          <t>SAMPEL</t>
        </is>
      </c>
      <c r="E3679" s="3" t="n">
        <v>17</v>
      </c>
      <c r="F3679" s="4" t="n">
        <v>0.3</v>
      </c>
      <c r="G3679" s="5">
        <f>ROUND(E3679*(1+F3679),2)</f>
        <v>22.10</v>
      </c>
      <c r="H3679" s="5">
        <f>ROUND(G3679*NOTAS!$B$2,2)</f>
        <v>15941.74</v>
      </c>
      <c r="I3679" s="6">
        <f>ROUND(G3679*NOTAS!$B$3,0)</f>
        <v>71800</v>
      </c>
      <c r="J3679" s="2" t="n">
        <v>1</v>
      </c>
    </row>
    <row r="3680">
      <c r="A3680" s="2" t="inlineStr">
        <is>
          <t>3260</t>
        </is>
      </c>
      <c r="B3680" s="2" t="inlineStr"/>
      <c r="C3680" s="2" t="inlineStr">
        <is>
          <t>SOPORTE BARRA TENSORA DER CORSA 00/06</t>
        </is>
      </c>
      <c r="D3680" s="2" t="inlineStr">
        <is>
          <t>SAMPEL</t>
        </is>
      </c>
      <c r="E3680" s="3" t="n">
        <v>19</v>
      </c>
      <c r="F3680" s="4" t="n">
        <v>0.3</v>
      </c>
      <c r="G3680" s="5">
        <f>ROUND(E3680*(1+F3680),2)</f>
        <v>24.70</v>
      </c>
      <c r="H3680" s="5">
        <f>ROUND(G3680*NOTAS!$B$2,2)</f>
        <v>17817.24</v>
      </c>
      <c r="I3680" s="6">
        <f>ROUND(G3680*NOTAS!$B$3,0)</f>
        <v>80247</v>
      </c>
      <c r="J3680" s="2" t="n">
        <v>5</v>
      </c>
    </row>
    <row r="3681">
      <c r="A3681" s="2" t="inlineStr">
        <is>
          <t>92099350</t>
        </is>
      </c>
      <c r="B3681" s="2" t="inlineStr"/>
      <c r="C3681" s="2" t="inlineStr">
        <is>
          <t>SOPORTE BARRA TENSORA IZQ CORSA 00/06</t>
        </is>
      </c>
      <c r="D3681" s="2" t="inlineStr">
        <is>
          <t>GM KOREA</t>
        </is>
      </c>
      <c r="E3681" s="3" t="n">
        <v>12</v>
      </c>
      <c r="F3681" s="4" t="n">
        <v>0.3</v>
      </c>
      <c r="G3681" s="5">
        <f>ROUND(E3681*(1+F3681),2)</f>
        <v>15.60</v>
      </c>
      <c r="H3681" s="5">
        <f>ROUND(G3681*NOTAS!$B$2,2)</f>
        <v>11252.99</v>
      </c>
      <c r="I3681" s="6">
        <f>ROUND(G3681*NOTAS!$B$3,0)</f>
        <v>50682</v>
      </c>
      <c r="J3681" s="2" t="n">
        <v>2</v>
      </c>
    </row>
    <row r="3682">
      <c r="A3682" s="2" t="inlineStr">
        <is>
          <t>3261</t>
        </is>
      </c>
      <c r="B3682" s="2" t="inlineStr"/>
      <c r="C3682" s="2" t="inlineStr">
        <is>
          <t>SOPORTE BARRA TENSORA IZQ CORSA 00/06</t>
        </is>
      </c>
      <c r="D3682" s="2" t="inlineStr">
        <is>
          <t>SAMPEL</t>
        </is>
      </c>
      <c r="E3682" s="3" t="n">
        <v>19</v>
      </c>
      <c r="F3682" s="4" t="n">
        <v>0.3</v>
      </c>
      <c r="G3682" s="5">
        <f>ROUND(E3682*(1+F3682),2)</f>
        <v>24.70</v>
      </c>
      <c r="H3682" s="5">
        <f>ROUND(G3682*NOTAS!$B$2,2)</f>
        <v>17817.24</v>
      </c>
      <c r="I3682" s="6">
        <f>ROUND(G3682*NOTAS!$B$3,0)</f>
        <v>80247</v>
      </c>
      <c r="J3682" s="2" t="n">
        <v>8</v>
      </c>
    </row>
    <row r="3683">
      <c r="A3683" s="2" t="inlineStr">
        <is>
          <t>21101</t>
        </is>
      </c>
      <c r="B3683" s="2" t="inlineStr"/>
      <c r="C3683" s="2" t="inlineStr">
        <is>
          <t>SOPORTE CARDAN CHEVETTE</t>
        </is>
      </c>
      <c r="D3683" s="2" t="inlineStr">
        <is>
          <t>SANFOR</t>
        </is>
      </c>
      <c r="E3683" s="3" t="n">
        <v>13.8462</v>
      </c>
      <c r="F3683" s="4" t="n">
        <v>0.3</v>
      </c>
      <c r="G3683" s="5">
        <f>ROUND(E3683*(1+F3683),2)</f>
        <v>18.00</v>
      </c>
      <c r="H3683" s="5">
        <f>ROUND(G3683*NOTAS!$B$2,2)</f>
        <v>12984.22</v>
      </c>
      <c r="I3683" s="6">
        <f>ROUND(G3683*NOTAS!$B$3,0)</f>
        <v>58480</v>
      </c>
      <c r="J3683" s="2" t="n">
        <v>1</v>
      </c>
    </row>
    <row r="3684">
      <c r="A3684" s="2" t="inlineStr">
        <is>
          <t>FO-3029</t>
        </is>
      </c>
      <c r="B3684" s="2" t="inlineStr"/>
      <c r="C3684" s="2" t="inlineStr">
        <is>
          <t>SOPORTE MOTOR FRONTAL CORCEL</t>
        </is>
      </c>
      <c r="D3684" s="2" t="inlineStr">
        <is>
          <t>GRAZZIMETAL</t>
        </is>
      </c>
      <c r="E3684" s="3" t="n">
        <v>23.0769</v>
      </c>
      <c r="F3684" s="4" t="n">
        <v>0.3</v>
      </c>
      <c r="G3684" s="5">
        <f>ROUND(E3684*(1+F3684),2)</f>
        <v>30.00</v>
      </c>
      <c r="H3684" s="5">
        <f>ROUND(G3684*NOTAS!$B$2,2)</f>
        <v>21640.37</v>
      </c>
      <c r="I3684" s="6">
        <f>ROUND(G3684*NOTAS!$B$3,0)</f>
        <v>97466</v>
      </c>
      <c r="J3684" s="2" t="n">
        <v>2</v>
      </c>
    </row>
    <row r="3685">
      <c r="A3685" s="2" t="inlineStr">
        <is>
          <t>96540319</t>
        </is>
      </c>
      <c r="B3685" s="2" t="inlineStr"/>
      <c r="C3685" s="2" t="inlineStr">
        <is>
          <t>STOP TRASERO DERECHO AVEO 4 PUERTAS 06/10</t>
        </is>
      </c>
      <c r="D3685" s="2" t="inlineStr">
        <is>
          <t>GM</t>
        </is>
      </c>
      <c r="E3685" s="3" t="n">
        <v>26.9231</v>
      </c>
      <c r="F3685" s="4" t="n">
        <v>0.3</v>
      </c>
      <c r="G3685" s="5">
        <f>ROUND(E3685*(1+F3685),2)</f>
        <v>35.00</v>
      </c>
      <c r="H3685" s="5">
        <f>ROUND(G3685*NOTAS!$B$2,2)</f>
        <v>25247.10</v>
      </c>
      <c r="I3685" s="6">
        <f>ROUND(G3685*NOTAS!$B$3,0)</f>
        <v>113710</v>
      </c>
      <c r="J3685" s="2" t="n">
        <v>2</v>
      </c>
    </row>
    <row r="3686">
      <c r="A3686" s="2" t="inlineStr">
        <is>
          <t>P96540319</t>
        </is>
      </c>
      <c r="B3686" s="2" t="inlineStr"/>
      <c r="C3686" s="2" t="inlineStr">
        <is>
          <t>STOP TRASERO DERECHO AVEO 4 PUERTAS 06/10</t>
        </is>
      </c>
      <c r="D3686" s="2" t="inlineStr">
        <is>
          <t>KOREA</t>
        </is>
      </c>
      <c r="E3686" s="3" t="n">
        <v>26.9231</v>
      </c>
      <c r="F3686" s="4" t="n">
        <v>0.3</v>
      </c>
      <c r="G3686" s="5">
        <f>ROUND(E3686*(1+F3686),2)</f>
        <v>35.00</v>
      </c>
      <c r="H3686" s="5">
        <f>ROUND(G3686*NOTAS!$B$2,2)</f>
        <v>25247.10</v>
      </c>
      <c r="I3686" s="6">
        <f>ROUND(G3686*NOTAS!$B$3,0)</f>
        <v>113710</v>
      </c>
      <c r="J3686" s="2" t="n">
        <v>1</v>
      </c>
    </row>
    <row r="3687">
      <c r="A3687" s="2" t="inlineStr">
        <is>
          <t>470086</t>
        </is>
      </c>
      <c r="B3687" s="2" t="inlineStr"/>
      <c r="C3687" s="2" t="inlineStr">
        <is>
          <t>STOP TRASERO DERECHO CHEVETTE COMPLETO</t>
        </is>
      </c>
      <c r="D3687" s="2" t="inlineStr">
        <is>
          <t>ARTEB</t>
        </is>
      </c>
      <c r="E3687" s="3" t="n">
        <v>25</v>
      </c>
      <c r="F3687" s="4" t="n">
        <v>0.3</v>
      </c>
      <c r="G3687" s="5">
        <f>ROUND(E3687*(1+F3687),2)</f>
        <v>32.50</v>
      </c>
      <c r="H3687" s="5">
        <f>ROUND(G3687*NOTAS!$B$2,2)</f>
        <v>23443.73</v>
      </c>
      <c r="I3687" s="6">
        <f>ROUND(G3687*NOTAS!$B$3,0)</f>
        <v>105588</v>
      </c>
      <c r="J3687" s="2" t="n">
        <v>1</v>
      </c>
    </row>
    <row r="3688">
      <c r="A3688" s="2" t="inlineStr"/>
      <c r="B3688" s="2" t="inlineStr"/>
      <c r="C3688" s="2" t="inlineStr">
        <is>
          <t>STOP TRASERO DERECHO CORCEL</t>
        </is>
      </c>
      <c r="D3688" s="2" t="inlineStr">
        <is>
          <t>JVC</t>
        </is>
      </c>
      <c r="E3688" s="3" t="n">
        <v>25</v>
      </c>
      <c r="F3688" s="4" t="n">
        <v>0.3</v>
      </c>
      <c r="G3688" s="5">
        <f>ROUND(E3688*(1+F3688),2)</f>
        <v>32.50</v>
      </c>
      <c r="H3688" s="5">
        <f>ROUND(G3688*NOTAS!$B$2,2)</f>
        <v>23443.73</v>
      </c>
      <c r="I3688" s="6">
        <f>ROUND(G3688*NOTAS!$B$3,0)</f>
        <v>105588</v>
      </c>
      <c r="J3688" s="2" t="n">
        <v>4</v>
      </c>
    </row>
    <row r="3689">
      <c r="A3689" s="2" t="inlineStr">
        <is>
          <t>93298436</t>
        </is>
      </c>
      <c r="B3689" s="2" t="inlineStr"/>
      <c r="C3689" s="2" t="inlineStr">
        <is>
          <t>STOP TRASERO DERECHO CORSA 00/06 2 PUERTAS</t>
        </is>
      </c>
      <c r="D3689" s="2" t="inlineStr">
        <is>
          <t>GM</t>
        </is>
      </c>
      <c r="E3689" s="3" t="n">
        <v>40</v>
      </c>
      <c r="F3689" s="4" t="n">
        <v>0.3</v>
      </c>
      <c r="G3689" s="5">
        <f>ROUND(E3689*(1+F3689),2)</f>
        <v>52.00</v>
      </c>
      <c r="H3689" s="5">
        <f>ROUND(G3689*NOTAS!$B$2,2)</f>
        <v>37509.97</v>
      </c>
      <c r="I3689" s="6">
        <f>ROUND(G3689*NOTAS!$B$3,0)</f>
        <v>168941</v>
      </c>
      <c r="J3689" s="2" t="n">
        <v>1</v>
      </c>
    </row>
    <row r="3690">
      <c r="A3690" s="2" t="inlineStr">
        <is>
          <t>93298438</t>
        </is>
      </c>
      <c r="B3690" s="2" t="inlineStr"/>
      <c r="C3690" s="2" t="inlineStr">
        <is>
          <t>STOP TRASERO DERECHO CORSA 00/06 4PUERTAS</t>
        </is>
      </c>
      <c r="D3690" s="2" t="inlineStr">
        <is>
          <t>GM</t>
        </is>
      </c>
      <c r="E3690" s="3" t="n">
        <v>40</v>
      </c>
      <c r="F3690" s="4" t="n">
        <v>0.3</v>
      </c>
      <c r="G3690" s="5">
        <f>ROUND(E3690*(1+F3690),2)</f>
        <v>52.00</v>
      </c>
      <c r="H3690" s="5">
        <f>ROUND(G3690*NOTAS!$B$2,2)</f>
        <v>37509.97</v>
      </c>
      <c r="I3690" s="6">
        <f>ROUND(G3690*NOTAS!$B$3,0)</f>
        <v>168941</v>
      </c>
      <c r="J3690" s="2" t="n">
        <v>1</v>
      </c>
    </row>
    <row r="3691">
      <c r="A3691" s="2" t="inlineStr">
        <is>
          <t>460262</t>
        </is>
      </c>
      <c r="B3691" s="2" t="inlineStr"/>
      <c r="C3691" s="2" t="inlineStr">
        <is>
          <t>STOP TRASERO DERECHO F-PALIO/SIENA FIRE FASE1</t>
        </is>
      </c>
      <c r="D3691" s="2" t="inlineStr">
        <is>
          <t>ARTEB</t>
        </is>
      </c>
      <c r="E3691" s="3" t="n">
        <v>23.0769</v>
      </c>
      <c r="F3691" s="4" t="n">
        <v>0.3</v>
      </c>
      <c r="G3691" s="5">
        <f>ROUND(E3691*(1+F3691),2)</f>
        <v>30.00</v>
      </c>
      <c r="H3691" s="5">
        <f>ROUND(G3691*NOTAS!$B$2,2)</f>
        <v>21640.37</v>
      </c>
      <c r="I3691" s="6">
        <f>ROUND(G3691*NOTAS!$B$3,0)</f>
        <v>97466</v>
      </c>
      <c r="J3691" s="2" t="n">
        <v>2</v>
      </c>
    </row>
    <row r="3692">
      <c r="A3692" s="2" t="inlineStr">
        <is>
          <t>661-1901R</t>
        </is>
      </c>
      <c r="B3692" s="2" t="inlineStr"/>
      <c r="C3692" s="2" t="inlineStr">
        <is>
          <t>STOP TRASERO DERECHO F-REGATA</t>
        </is>
      </c>
      <c r="D3692" s="2" t="inlineStr">
        <is>
          <t>DEPO</t>
        </is>
      </c>
      <c r="E3692" s="3" t="n">
        <v>19.2308</v>
      </c>
      <c r="F3692" s="4" t="n">
        <v>0.3</v>
      </c>
      <c r="G3692" s="5">
        <f>ROUND(E3692*(1+F3692),2)</f>
        <v>25.00</v>
      </c>
      <c r="H3692" s="5">
        <f>ROUND(G3692*NOTAS!$B$2,2)</f>
        <v>18033.64</v>
      </c>
      <c r="I3692" s="6">
        <f>ROUND(G3692*NOTAS!$B$3,0)</f>
        <v>81222</v>
      </c>
      <c r="J3692" s="2" t="n">
        <v>1</v>
      </c>
    </row>
    <row r="3693">
      <c r="A3693" s="2" t="inlineStr"/>
      <c r="B3693" s="2" t="inlineStr"/>
      <c r="C3693" s="2" t="inlineStr">
        <is>
          <t>STOP TRASERO DERECHO LANOS</t>
        </is>
      </c>
      <c r="D3693" s="2" t="inlineStr">
        <is>
          <t>KOREA</t>
        </is>
      </c>
      <c r="E3693" s="3" t="n">
        <v>23.0769</v>
      </c>
      <c r="F3693" s="4" t="n">
        <v>0.3</v>
      </c>
      <c r="G3693" s="5">
        <f>ROUND(E3693*(1+F3693),2)</f>
        <v>30.00</v>
      </c>
      <c r="H3693" s="5">
        <f>ROUND(G3693*NOTAS!$B$2,2)</f>
        <v>21640.37</v>
      </c>
      <c r="I3693" s="6">
        <f>ROUND(G3693*NOTAS!$B$3,0)</f>
        <v>97466</v>
      </c>
      <c r="J3693" s="2" t="n">
        <v>1</v>
      </c>
    </row>
    <row r="3694">
      <c r="A3694" s="2" t="inlineStr">
        <is>
          <t>96500230</t>
        </is>
      </c>
      <c r="B3694" s="2" t="inlineStr"/>
      <c r="C3694" s="2" t="inlineStr">
        <is>
          <t>STOP TRASERO DERECHO LANOS 98/99</t>
        </is>
      </c>
      <c r="D3694" s="2" t="inlineStr">
        <is>
          <t>GM</t>
        </is>
      </c>
      <c r="E3694" s="3" t="n">
        <v>23.0769</v>
      </c>
      <c r="F3694" s="4" t="n">
        <v>0.3</v>
      </c>
      <c r="G3694" s="5">
        <f>ROUND(E3694*(1+F3694),2)</f>
        <v>30.00</v>
      </c>
      <c r="H3694" s="5">
        <f>ROUND(G3694*NOTAS!$B$2,2)</f>
        <v>21640.37</v>
      </c>
      <c r="I3694" s="6">
        <f>ROUND(G3694*NOTAS!$B$3,0)</f>
        <v>97466</v>
      </c>
      <c r="J3694" s="2" t="n">
        <v>1</v>
      </c>
    </row>
    <row r="3695">
      <c r="A3695" s="2" t="inlineStr">
        <is>
          <t>551-1918L</t>
        </is>
      </c>
      <c r="B3695" s="2" t="inlineStr"/>
      <c r="C3695" s="2" t="inlineStr">
        <is>
          <t>STOP TRASERO DERECHO R-19 ENERGY</t>
        </is>
      </c>
      <c r="D3695" s="2" t="inlineStr">
        <is>
          <t>DEPO</t>
        </is>
      </c>
      <c r="E3695" s="3" t="n">
        <v>30</v>
      </c>
      <c r="F3695" s="4" t="n">
        <v>0.3</v>
      </c>
      <c r="G3695" s="5">
        <f>ROUND(E3695*(1+F3695),2)</f>
        <v>39.00</v>
      </c>
      <c r="H3695" s="5">
        <f>ROUND(G3695*NOTAS!$B$2,2)</f>
        <v>28132.48</v>
      </c>
      <c r="I3695" s="6">
        <f>ROUND(G3695*NOTAS!$B$3,0)</f>
        <v>126706</v>
      </c>
      <c r="J3695" s="2" t="n">
        <v>3</v>
      </c>
    </row>
    <row r="3696">
      <c r="A3696" s="2" t="inlineStr"/>
      <c r="B3696" s="2" t="inlineStr"/>
      <c r="C3696" s="2" t="inlineStr">
        <is>
          <t>STOP TRASERO DERECHO R-21 INY</t>
        </is>
      </c>
      <c r="D3696" s="2" t="inlineStr">
        <is>
          <t>DEPO</t>
        </is>
      </c>
      <c r="E3696" s="3" t="n">
        <v>20</v>
      </c>
      <c r="F3696" s="4" t="n">
        <v>0.3</v>
      </c>
      <c r="G3696" s="5">
        <f>ROUND(E3696*(1+F3696),2)</f>
        <v>26.00</v>
      </c>
      <c r="H3696" s="5">
        <f>ROUND(G3696*NOTAS!$B$2,2)</f>
        <v>18754.99</v>
      </c>
      <c r="I3696" s="6">
        <f>ROUND(G3696*NOTAS!$B$3,0)</f>
        <v>84471</v>
      </c>
      <c r="J3696" s="2" t="n">
        <v>2</v>
      </c>
    </row>
    <row r="3697">
      <c r="A3697" s="2" t="inlineStr">
        <is>
          <t>R.CLI-2131</t>
        </is>
      </c>
      <c r="B3697" s="2" t="inlineStr"/>
      <c r="C3697" s="2" t="inlineStr">
        <is>
          <t>STOP TRASERO DERECHO R-SYMBOL</t>
        </is>
      </c>
      <c r="D3697" s="2" t="inlineStr">
        <is>
          <t>TAKSIM GROUP</t>
        </is>
      </c>
      <c r="E3697" s="3" t="n">
        <v>21.5385</v>
      </c>
      <c r="F3697" s="4" t="n">
        <v>0.3</v>
      </c>
      <c r="G3697" s="5">
        <f>ROUND(E3697*(1+F3697),2)</f>
        <v>28.00</v>
      </c>
      <c r="H3697" s="5">
        <f>ROUND(G3697*NOTAS!$B$2,2)</f>
        <v>20197.68</v>
      </c>
      <c r="I3697" s="6">
        <f>ROUND(G3697*NOTAS!$B$3,0)</f>
        <v>90968</v>
      </c>
      <c r="J3697" s="2" t="n">
        <v>1</v>
      </c>
    </row>
    <row r="3698">
      <c r="A3698" s="2" t="inlineStr">
        <is>
          <t>96540318</t>
        </is>
      </c>
      <c r="B3698" s="2" t="inlineStr"/>
      <c r="C3698" s="2" t="inlineStr">
        <is>
          <t>STOP TRASERO IZQUIERDO AVEO 4 PUERTAS 06/10</t>
        </is>
      </c>
      <c r="D3698" s="2" t="inlineStr">
        <is>
          <t>GM</t>
        </is>
      </c>
      <c r="E3698" s="3" t="n">
        <v>26.9231</v>
      </c>
      <c r="F3698" s="4" t="n">
        <v>0.3</v>
      </c>
      <c r="G3698" s="5">
        <f>ROUND(E3698*(1+F3698),2)</f>
        <v>35.00</v>
      </c>
      <c r="H3698" s="5">
        <f>ROUND(G3698*NOTAS!$B$2,2)</f>
        <v>25247.10</v>
      </c>
      <c r="I3698" s="6">
        <f>ROUND(G3698*NOTAS!$B$3,0)</f>
        <v>113710</v>
      </c>
      <c r="J3698" s="2" t="n">
        <v>3</v>
      </c>
    </row>
    <row r="3699">
      <c r="A3699" s="2" t="inlineStr">
        <is>
          <t>93298437</t>
        </is>
      </c>
      <c r="B3699" s="2" t="inlineStr"/>
      <c r="C3699" s="2" t="inlineStr">
        <is>
          <t>STOP TRASERO IZQUIERDO CORSA 00/06 4PUERTAS</t>
        </is>
      </c>
      <c r="D3699" s="2" t="inlineStr">
        <is>
          <t>GM</t>
        </is>
      </c>
      <c r="E3699" s="3" t="n">
        <v>40</v>
      </c>
      <c r="F3699" s="4" t="n">
        <v>0.3</v>
      </c>
      <c r="G3699" s="5">
        <f>ROUND(E3699*(1+F3699),2)</f>
        <v>52.00</v>
      </c>
      <c r="H3699" s="5">
        <f>ROUND(G3699*NOTAS!$B$2,2)</f>
        <v>37509.97</v>
      </c>
      <c r="I3699" s="6">
        <f>ROUND(G3699*NOTAS!$B$3,0)</f>
        <v>168941</v>
      </c>
      <c r="J3699" s="2" t="n">
        <v>2</v>
      </c>
    </row>
    <row r="3700">
      <c r="A3700" s="2" t="inlineStr">
        <is>
          <t>460261</t>
        </is>
      </c>
      <c r="B3700" s="2" t="inlineStr"/>
      <c r="C3700" s="2" t="inlineStr">
        <is>
          <t>STOP TRASERO IZQUIERDO F-PALIO/SIENA FIRE FASE1</t>
        </is>
      </c>
      <c r="D3700" s="2" t="inlineStr">
        <is>
          <t>ARTEB</t>
        </is>
      </c>
      <c r="E3700" s="3" t="n">
        <v>23.0769</v>
      </c>
      <c r="F3700" s="4" t="n">
        <v>0.3</v>
      </c>
      <c r="G3700" s="5">
        <f>ROUND(E3700*(1+F3700),2)</f>
        <v>30.00</v>
      </c>
      <c r="H3700" s="5">
        <f>ROUND(G3700*NOTAS!$B$2,2)</f>
        <v>21640.37</v>
      </c>
      <c r="I3700" s="6">
        <f>ROUND(G3700*NOTAS!$B$3,0)</f>
        <v>97466</v>
      </c>
      <c r="J3700" s="2" t="n">
        <v>2</v>
      </c>
    </row>
    <row r="3701">
      <c r="A3701" s="2" t="inlineStr"/>
      <c r="B3701" s="2" t="inlineStr"/>
      <c r="C3701" s="2" t="inlineStr">
        <is>
          <t>STOP TRASERO IZQUIERDO LANOS</t>
        </is>
      </c>
      <c r="D3701" s="2" t="inlineStr">
        <is>
          <t>KOREA</t>
        </is>
      </c>
      <c r="E3701" s="3" t="n">
        <v>23.0769</v>
      </c>
      <c r="F3701" s="4" t="n">
        <v>0.3</v>
      </c>
      <c r="G3701" s="5">
        <f>ROUND(E3701*(1+F3701),2)</f>
        <v>30.00</v>
      </c>
      <c r="H3701" s="5">
        <f>ROUND(G3701*NOTAS!$B$2,2)</f>
        <v>21640.37</v>
      </c>
      <c r="I3701" s="6">
        <f>ROUND(G3701*NOTAS!$B$3,0)</f>
        <v>97466</v>
      </c>
      <c r="J3701" s="2" t="n">
        <v>1</v>
      </c>
    </row>
    <row r="3702">
      <c r="A3702" s="2" t="inlineStr">
        <is>
          <t>551-1917L</t>
        </is>
      </c>
      <c r="B3702" s="2" t="inlineStr"/>
      <c r="C3702" s="2" t="inlineStr">
        <is>
          <t>STOP TRASERO IZQUIERDO R-18</t>
        </is>
      </c>
      <c r="D3702" s="2" t="inlineStr">
        <is>
          <t>LUCID</t>
        </is>
      </c>
      <c r="E3702" s="3" t="n">
        <v>19.2308</v>
      </c>
      <c r="F3702" s="4" t="n">
        <v>0.3</v>
      </c>
      <c r="G3702" s="5">
        <f>ROUND(E3702*(1+F3702),2)</f>
        <v>25.00</v>
      </c>
      <c r="H3702" s="5">
        <f>ROUND(G3702*NOTAS!$B$2,2)</f>
        <v>18033.64</v>
      </c>
      <c r="I3702" s="6">
        <f>ROUND(G3702*NOTAS!$B$3,0)</f>
        <v>81222</v>
      </c>
      <c r="J3702" s="2" t="n">
        <v>1</v>
      </c>
    </row>
    <row r="3703">
      <c r="A3703" s="2" t="inlineStr">
        <is>
          <t>551-1918R</t>
        </is>
      </c>
      <c r="B3703" s="2" t="inlineStr"/>
      <c r="C3703" s="2" t="inlineStr">
        <is>
          <t>STOP TRASERO IZQUIERDO R-19 ENERGY</t>
        </is>
      </c>
      <c r="D3703" s="2" t="inlineStr">
        <is>
          <t>DEPO</t>
        </is>
      </c>
      <c r="E3703" s="3" t="n">
        <v>30</v>
      </c>
      <c r="F3703" s="4" t="n">
        <v>0.3</v>
      </c>
      <c r="G3703" s="5">
        <f>ROUND(E3703*(1+F3703),2)</f>
        <v>39.00</v>
      </c>
      <c r="H3703" s="5">
        <f>ROUND(G3703*NOTAS!$B$2,2)</f>
        <v>28132.48</v>
      </c>
      <c r="I3703" s="6">
        <f>ROUND(G3703*NOTAS!$B$3,0)</f>
        <v>126706</v>
      </c>
      <c r="J3703" s="2" t="n">
        <v>2</v>
      </c>
    </row>
    <row r="3704">
      <c r="A3704" s="2" t="inlineStr">
        <is>
          <t>551-1932L</t>
        </is>
      </c>
      <c r="B3704" s="2" t="inlineStr"/>
      <c r="C3704" s="2" t="inlineStr">
        <is>
          <t>STOP TRASERO IZQUIERDO R-SYMBOL</t>
        </is>
      </c>
      <c r="D3704" s="2" t="inlineStr">
        <is>
          <t>DEPO</t>
        </is>
      </c>
      <c r="E3704" s="3" t="n">
        <v>30</v>
      </c>
      <c r="F3704" s="4" t="n">
        <v>0.3</v>
      </c>
      <c r="G3704" s="5">
        <f>ROUND(E3704*(1+F3704),2)</f>
        <v>39.00</v>
      </c>
      <c r="H3704" s="5">
        <f>ROUND(G3704*NOTAS!$B$2,2)</f>
        <v>28132.48</v>
      </c>
      <c r="I3704" s="6">
        <f>ROUND(G3704*NOTAS!$B$3,0)</f>
        <v>126706</v>
      </c>
      <c r="J3704" s="2" t="n">
        <v>1</v>
      </c>
    </row>
    <row r="3705">
      <c r="A3705" s="2" t="inlineStr">
        <is>
          <t>40113</t>
        </is>
      </c>
      <c r="B3705" s="2" t="inlineStr"/>
      <c r="C3705" s="2" t="inlineStr">
        <is>
          <t>SUICHERA CILINDRO IGNICION CHEVETTE</t>
        </is>
      </c>
      <c r="D3705" s="2" t="inlineStr">
        <is>
          <t>ATEMIS</t>
        </is>
      </c>
      <c r="E3705" s="3" t="n">
        <v>13.8462</v>
      </c>
      <c r="F3705" s="4" t="n">
        <v>0.3</v>
      </c>
      <c r="G3705" s="5">
        <f>ROUND(E3705*(1+F3705),2)</f>
        <v>18.00</v>
      </c>
      <c r="H3705" s="5">
        <f>ROUND(G3705*NOTAS!$B$2,2)</f>
        <v>12984.22</v>
      </c>
      <c r="I3705" s="6">
        <f>ROUND(G3705*NOTAS!$B$3,0)</f>
        <v>58480</v>
      </c>
      <c r="J3705" s="2" t="n">
        <v>1</v>
      </c>
    </row>
    <row r="3706">
      <c r="A3706" s="2" t="inlineStr">
        <is>
          <t>90519056</t>
        </is>
      </c>
      <c r="B3706" s="2" t="inlineStr"/>
      <c r="C3706" s="2" t="inlineStr">
        <is>
          <t>SUICHERA CILINDRO IGNICION CORSA</t>
        </is>
      </c>
      <c r="D3706" s="2" t="inlineStr">
        <is>
          <t>PPA</t>
        </is>
      </c>
      <c r="E3706" s="3" t="n">
        <v>15.3846</v>
      </c>
      <c r="F3706" s="4" t="n">
        <v>0.3</v>
      </c>
      <c r="G3706" s="5">
        <f>ROUND(E3706*(1+F3706),2)</f>
        <v>20.00</v>
      </c>
      <c r="H3706" s="5">
        <f>ROUND(G3706*NOTAS!$B$2,2)</f>
        <v>14426.91</v>
      </c>
      <c r="I3706" s="6">
        <f>ROUND(G3706*NOTAS!$B$3,0)</f>
        <v>64977</v>
      </c>
      <c r="J3706" s="2" t="n">
        <v>1</v>
      </c>
    </row>
    <row r="3707">
      <c r="A3707" s="2" t="inlineStr">
        <is>
          <t>FS-IS709</t>
        </is>
      </c>
      <c r="B3707" s="2" t="inlineStr"/>
      <c r="C3707" s="2" t="inlineStr">
        <is>
          <t>SUICHERA CILINDRO IGNICION F-131</t>
        </is>
      </c>
      <c r="D3707" s="2" t="inlineStr">
        <is>
          <t>SUNTEX</t>
        </is>
      </c>
      <c r="E3707" s="3" t="n">
        <v>13.8462</v>
      </c>
      <c r="F3707" s="4" t="n">
        <v>0.3</v>
      </c>
      <c r="G3707" s="5">
        <f>ROUND(E3707*(1+F3707),2)</f>
        <v>18.00</v>
      </c>
      <c r="H3707" s="5">
        <f>ROUND(G3707*NOTAS!$B$2,2)</f>
        <v>12984.22</v>
      </c>
      <c r="I3707" s="6">
        <f>ROUND(G3707*NOTAS!$B$3,0)</f>
        <v>58480</v>
      </c>
      <c r="J3707" s="2" t="n">
        <v>1</v>
      </c>
    </row>
    <row r="3708">
      <c r="A3708" s="2" t="inlineStr">
        <is>
          <t>96179135</t>
        </is>
      </c>
      <c r="B3708" s="2" t="inlineStr"/>
      <c r="C3708" s="2" t="inlineStr">
        <is>
          <t>SWITCH ELEVAVIDRIO CIELO MODELO VIEJO</t>
        </is>
      </c>
      <c r="D3708" s="2" t="inlineStr">
        <is>
          <t>GM</t>
        </is>
      </c>
      <c r="E3708" s="3" t="n">
        <v>9.2308</v>
      </c>
      <c r="F3708" s="4" t="n">
        <v>0.3</v>
      </c>
      <c r="G3708" s="5">
        <f>ROUND(E3708*(1+F3708),2)</f>
        <v>12.00</v>
      </c>
      <c r="H3708" s="5">
        <f>ROUND(G3708*NOTAS!$B$2,2)</f>
        <v>8656.15</v>
      </c>
      <c r="I3708" s="6">
        <f>ROUND(G3708*NOTAS!$B$3,0)</f>
        <v>38986</v>
      </c>
      <c r="J3708" s="2" t="n">
        <v>2</v>
      </c>
    </row>
    <row r="3709">
      <c r="A3709" s="2" t="inlineStr">
        <is>
          <t>930175</t>
        </is>
      </c>
      <c r="B3709" s="2" t="inlineStr">
        <is>
          <t>2S6514529AA</t>
        </is>
      </c>
      <c r="C3709" s="2" t="inlineStr">
        <is>
          <t>SWITCH INTERRUPTOR LEVANTAVIDRIO BOTON SUBIRVIDRIO FIESTA MAX/MOVE</t>
        </is>
      </c>
      <c r="D3709" s="2" t="inlineStr">
        <is>
          <t>FORD</t>
        </is>
      </c>
      <c r="E3709" s="3" t="n">
        <v>11.5385</v>
      </c>
      <c r="F3709" s="4" t="n">
        <v>0.3</v>
      </c>
      <c r="G3709" s="5">
        <f>ROUND(E3709*(1+F3709),2)</f>
        <v>15.00</v>
      </c>
      <c r="H3709" s="5">
        <f>ROUND(G3709*NOTAS!$B$2,2)</f>
        <v>10820.18</v>
      </c>
      <c r="I3709" s="6">
        <f>ROUND(G3709*NOTAS!$B$3,0)</f>
        <v>48733</v>
      </c>
      <c r="J3709" s="2" t="n">
        <v>2</v>
      </c>
    </row>
    <row r="3710">
      <c r="A3710" s="2" t="inlineStr">
        <is>
          <t>302370000R</t>
        </is>
      </c>
      <c r="B3710" s="2" t="inlineStr"/>
      <c r="C3710" s="2" t="inlineStr">
        <is>
          <t>SWITCH LUCES CORSA</t>
        </is>
      </c>
      <c r="D3710" s="2" t="inlineStr">
        <is>
          <t>TRW</t>
        </is>
      </c>
      <c r="E3710" s="3" t="n">
        <v>11.5385</v>
      </c>
      <c r="F3710" s="4" t="n">
        <v>0.3</v>
      </c>
      <c r="G3710" s="5">
        <f>ROUND(E3710*(1+F3710),2)</f>
        <v>15.00</v>
      </c>
      <c r="H3710" s="5">
        <f>ROUND(G3710*NOTAS!$B$2,2)</f>
        <v>10820.18</v>
      </c>
      <c r="I3710" s="6">
        <f>ROUND(G3710*NOTAS!$B$3,0)</f>
        <v>48733</v>
      </c>
      <c r="J3710" s="2" t="n">
        <v>2</v>
      </c>
    </row>
    <row r="3711">
      <c r="A3711" s="2" t="inlineStr">
        <is>
          <t>V-818A</t>
        </is>
      </c>
      <c r="B3711" s="2" t="inlineStr"/>
      <c r="C3711" s="2" t="inlineStr">
        <is>
          <t>SWITCH LUCES CORSA</t>
        </is>
      </c>
      <c r="D3711" s="2" t="inlineStr">
        <is>
          <t>VUARAM</t>
        </is>
      </c>
      <c r="E3711" s="3" t="n">
        <v>11.5385</v>
      </c>
      <c r="F3711" s="4" t="n">
        <v>0.3</v>
      </c>
      <c r="G3711" s="5">
        <f>ROUND(E3711*(1+F3711),2)</f>
        <v>15.00</v>
      </c>
      <c r="H3711" s="5">
        <f>ROUND(G3711*NOTAS!$B$2,2)</f>
        <v>10820.18</v>
      </c>
      <c r="I3711" s="6">
        <f>ROUND(G3711*NOTAS!$B$3,0)</f>
        <v>48733</v>
      </c>
      <c r="J3711" s="2" t="n">
        <v>5</v>
      </c>
    </row>
    <row r="3712">
      <c r="A3712" s="2" t="inlineStr">
        <is>
          <t>90213288</t>
        </is>
      </c>
      <c r="B3712" s="2" t="inlineStr"/>
      <c r="C3712" s="2" t="inlineStr">
        <is>
          <t>SWITCH LUCES CORSA</t>
        </is>
      </c>
      <c r="D3712" s="2" t="inlineStr">
        <is>
          <t>GM</t>
        </is>
      </c>
      <c r="E3712" s="3" t="n">
        <v>11.5385</v>
      </c>
      <c r="F3712" s="4" t="n">
        <v>0.3</v>
      </c>
      <c r="G3712" s="5">
        <f>ROUND(E3712*(1+F3712),2)</f>
        <v>15.00</v>
      </c>
      <c r="H3712" s="5">
        <f>ROUND(G3712*NOTAS!$B$2,2)</f>
        <v>10820.18</v>
      </c>
      <c r="I3712" s="6">
        <f>ROUND(G3712*NOTAS!$B$3,0)</f>
        <v>48733</v>
      </c>
      <c r="J3712" s="2" t="n">
        <v>1</v>
      </c>
    </row>
    <row r="3713">
      <c r="A3713" s="2" t="inlineStr">
        <is>
          <t>11022</t>
        </is>
      </c>
      <c r="B3713" s="2" t="inlineStr"/>
      <c r="C3713" s="2" t="inlineStr">
        <is>
          <t>SWITCH LUCES F-UNO/PREMIO …/89</t>
        </is>
      </c>
      <c r="D3713" s="2" t="inlineStr">
        <is>
          <t>OSPINA</t>
        </is>
      </c>
      <c r="E3713" s="3" t="n">
        <v>9.2308</v>
      </c>
      <c r="F3713" s="4" t="n">
        <v>0.3</v>
      </c>
      <c r="G3713" s="5">
        <f>ROUND(E3713*(1+F3713),2)</f>
        <v>12.00</v>
      </c>
      <c r="H3713" s="5">
        <f>ROUND(G3713*NOTAS!$B$2,2)</f>
        <v>8656.15</v>
      </c>
      <c r="I3713" s="6">
        <f>ROUND(G3713*NOTAS!$B$3,0)</f>
        <v>38986</v>
      </c>
      <c r="J3713" s="2" t="n">
        <v>1</v>
      </c>
    </row>
    <row r="3714">
      <c r="A3714" s="2" t="inlineStr">
        <is>
          <t>433</t>
        </is>
      </c>
      <c r="B3714" s="2" t="inlineStr"/>
      <c r="C3714" s="2" t="inlineStr">
        <is>
          <t>TAMBOR FRENO TRASERO CHEVETTE</t>
        </is>
      </c>
      <c r="D3714" s="2" t="inlineStr">
        <is>
          <t>INDUVENPA</t>
        </is>
      </c>
      <c r="E3714" s="3" t="n">
        <v>23.0769</v>
      </c>
      <c r="F3714" s="4" t="n">
        <v>0.3</v>
      </c>
      <c r="G3714" s="5">
        <f>ROUND(E3714*(1+F3714),2)</f>
        <v>30.00</v>
      </c>
      <c r="H3714" s="5">
        <f>ROUND(G3714*NOTAS!$B$2,2)</f>
        <v>21640.37</v>
      </c>
      <c r="I3714" s="6">
        <f>ROUND(G3714*NOTAS!$B$3,0)</f>
        <v>97466</v>
      </c>
      <c r="J3714" s="2" t="n">
        <v>5</v>
      </c>
    </row>
    <row r="3715">
      <c r="A3715" s="2" t="inlineStr">
        <is>
          <t>HF-24</t>
        </is>
      </c>
      <c r="B3715" s="2" t="inlineStr"/>
      <c r="C3715" s="2" t="inlineStr">
        <is>
          <t>TAMBOR FRENO TRASERO CON BOCIN CORSA</t>
        </is>
      </c>
      <c r="D3715" s="2" t="inlineStr">
        <is>
          <t>HIPPERFREIOS</t>
        </is>
      </c>
      <c r="E3715" s="3" t="n">
        <v>24.6154</v>
      </c>
      <c r="F3715" s="4" t="n">
        <v>0.3</v>
      </c>
      <c r="G3715" s="5">
        <f>ROUND(E3715*(1+F3715),2)</f>
        <v>32.00</v>
      </c>
      <c r="H3715" s="5">
        <f>ROUND(G3715*NOTAS!$B$2,2)</f>
        <v>23083.06</v>
      </c>
      <c r="I3715" s="6">
        <f>ROUND(G3715*NOTAS!$B$3,0)</f>
        <v>103964</v>
      </c>
      <c r="J3715" s="2" t="n">
        <v>6</v>
      </c>
    </row>
    <row r="3716">
      <c r="A3716" s="2" t="inlineStr">
        <is>
          <t>RPTA00540</t>
        </is>
      </c>
      <c r="B3716" s="2" t="inlineStr"/>
      <c r="C3716" s="2" t="inlineStr">
        <is>
          <t>TAMBOR FRENO TRASERO CON BOCIN CORSA</t>
        </is>
      </c>
      <c r="D3716" s="2" t="inlineStr">
        <is>
          <t>VARGA</t>
        </is>
      </c>
      <c r="E3716" s="3" t="n">
        <v>24.6154</v>
      </c>
      <c r="F3716" s="4" t="n">
        <v>0.3</v>
      </c>
      <c r="G3716" s="5">
        <f>ROUND(E3716*(1+F3716),2)</f>
        <v>32.00</v>
      </c>
      <c r="H3716" s="5">
        <f>ROUND(G3716*NOTAS!$B$2,2)</f>
        <v>23083.06</v>
      </c>
      <c r="I3716" s="6">
        <f>ROUND(G3716*NOTAS!$B$3,0)</f>
        <v>103964</v>
      </c>
      <c r="J3716" s="2" t="n">
        <v>2</v>
      </c>
    </row>
    <row r="3717">
      <c r="A3717" s="2" t="inlineStr">
        <is>
          <t>1048</t>
        </is>
      </c>
      <c r="B3717" s="2" t="inlineStr"/>
      <c r="C3717" s="2" t="inlineStr">
        <is>
          <t>TAMBOR FRENO TRASERO CON BOCIN FIESTA 00/03 KA</t>
        </is>
      </c>
      <c r="D3717" s="2" t="inlineStr">
        <is>
          <t>BP</t>
        </is>
      </c>
      <c r="E3717" s="3" t="n">
        <v>24.6154</v>
      </c>
      <c r="F3717" s="4" t="n">
        <v>0.3</v>
      </c>
      <c r="G3717" s="5">
        <f>ROUND(E3717*(1+F3717),2)</f>
        <v>32.00</v>
      </c>
      <c r="H3717" s="5">
        <f>ROUND(G3717*NOTAS!$B$2,2)</f>
        <v>23083.06</v>
      </c>
      <c r="I3717" s="6">
        <f>ROUND(G3717*NOTAS!$B$3,0)</f>
        <v>103964</v>
      </c>
      <c r="J3717" s="2" t="n">
        <v>3</v>
      </c>
    </row>
    <row r="3718">
      <c r="A3718" s="2" t="inlineStr">
        <is>
          <t>2782</t>
        </is>
      </c>
      <c r="B3718" s="2" t="inlineStr"/>
      <c r="C3718" s="2" t="inlineStr">
        <is>
          <t>TAMBOR FRENO TRASERO CON BOCIN FIESTA 04/13 ECOSPORT</t>
        </is>
      </c>
      <c r="D3718" s="2" t="inlineStr">
        <is>
          <t>BP</t>
        </is>
      </c>
      <c r="E3718" s="3" t="n">
        <v>26.9231</v>
      </c>
      <c r="F3718" s="4" t="n">
        <v>0.3</v>
      </c>
      <c r="G3718" s="5">
        <f>ROUND(E3718*(1+F3718),2)</f>
        <v>35.00</v>
      </c>
      <c r="H3718" s="5">
        <f>ROUND(G3718*NOTAS!$B$2,2)</f>
        <v>25247.10</v>
      </c>
      <c r="I3718" s="6">
        <f>ROUND(G3718*NOTAS!$B$3,0)</f>
        <v>113710</v>
      </c>
      <c r="J3718" s="2" t="n">
        <v>2</v>
      </c>
    </row>
    <row r="3719">
      <c r="A3719" s="2" t="inlineStr">
        <is>
          <t>HF-113</t>
        </is>
      </c>
      <c r="B3719" s="2" t="inlineStr"/>
      <c r="C3719" s="2" t="inlineStr">
        <is>
          <t>TAMBOR FRENO TRASERO CON BOCIN FIESTA 04/13 ECOSPORT</t>
        </is>
      </c>
      <c r="D3719" s="2" t="inlineStr">
        <is>
          <t>HIPPERFREIOS</t>
        </is>
      </c>
      <c r="E3719" s="3" t="n">
        <v>26.9231</v>
      </c>
      <c r="F3719" s="4" t="n">
        <v>0.3</v>
      </c>
      <c r="G3719" s="5">
        <f>ROUND(E3719*(1+F3719),2)</f>
        <v>35.00</v>
      </c>
      <c r="H3719" s="5">
        <f>ROUND(G3719*NOTAS!$B$2,2)</f>
        <v>25247.10</v>
      </c>
      <c r="I3719" s="6">
        <f>ROUND(G3719*NOTAS!$B$3,0)</f>
        <v>113710</v>
      </c>
      <c r="J3719" s="2" t="n">
        <v>2</v>
      </c>
    </row>
    <row r="3720">
      <c r="A3720" s="2" t="inlineStr">
        <is>
          <t>HF-322</t>
        </is>
      </c>
      <c r="B3720" s="2" t="inlineStr"/>
      <c r="C3720" s="2" t="inlineStr">
        <is>
          <t>TAMBOR FRENO TRASERO CON BOCIN R-19 1.4</t>
        </is>
      </c>
      <c r="D3720" s="2" t="inlineStr">
        <is>
          <t>HIPPERFREIOS</t>
        </is>
      </c>
      <c r="E3720" s="3" t="n">
        <v>60</v>
      </c>
      <c r="F3720" s="4" t="n">
        <v>0.3</v>
      </c>
      <c r="G3720" s="5">
        <f>ROUND(E3720*(1+F3720),2)</f>
        <v>78.00</v>
      </c>
      <c r="H3720" s="5">
        <f>ROUND(G3720*NOTAS!$B$2,2)</f>
        <v>56264.96</v>
      </c>
      <c r="I3720" s="6">
        <f>ROUND(G3720*NOTAS!$B$3,0)</f>
        <v>253412</v>
      </c>
      <c r="J3720" s="2" t="n">
        <v>1</v>
      </c>
    </row>
    <row r="3721">
      <c r="A3721" s="2" t="inlineStr">
        <is>
          <t>HF-36</t>
        </is>
      </c>
      <c r="B3721" s="2" t="inlineStr"/>
      <c r="C3721" s="2" t="inlineStr">
        <is>
          <t>TAMBOR FRENO TRASERO F-UNO/PREMIO</t>
        </is>
      </c>
      <c r="D3721" s="2" t="inlineStr">
        <is>
          <t>HIPPERFREIOS</t>
        </is>
      </c>
      <c r="E3721" s="3" t="n">
        <v>23.0769</v>
      </c>
      <c r="F3721" s="4" t="n">
        <v>0.3</v>
      </c>
      <c r="G3721" s="5">
        <f>ROUND(E3721*(1+F3721),2)</f>
        <v>30.00</v>
      </c>
      <c r="H3721" s="5">
        <f>ROUND(G3721*NOTAS!$B$2,2)</f>
        <v>21640.37</v>
      </c>
      <c r="I3721" s="6">
        <f>ROUND(G3721*NOTAS!$B$3,0)</f>
        <v>97466</v>
      </c>
      <c r="J3721" s="2" t="n">
        <v>6</v>
      </c>
    </row>
    <row r="3722">
      <c r="A3722" s="2" t="inlineStr">
        <is>
          <t>S70044</t>
        </is>
      </c>
      <c r="B3722" s="2" t="inlineStr"/>
      <c r="C3722" s="2" t="inlineStr">
        <is>
          <t>TAMBOR FRENO TRASERO F-UNO/PREMIO</t>
        </is>
      </c>
      <c r="D3722" s="2" t="inlineStr">
        <is>
          <t>BP</t>
        </is>
      </c>
      <c r="E3722" s="3" t="n">
        <v>23.0769</v>
      </c>
      <c r="F3722" s="4" t="n">
        <v>0.3</v>
      </c>
      <c r="G3722" s="5">
        <f>ROUND(E3722*(1+F3722),2)</f>
        <v>30.00</v>
      </c>
      <c r="H3722" s="5">
        <f>ROUND(G3722*NOTAS!$B$2,2)</f>
        <v>21640.37</v>
      </c>
      <c r="I3722" s="6">
        <f>ROUND(G3722*NOTAS!$B$3,0)</f>
        <v>97466</v>
      </c>
      <c r="J3722" s="2" t="n">
        <v>4</v>
      </c>
    </row>
    <row r="3723">
      <c r="A3723" s="2" t="inlineStr"/>
      <c r="B3723" s="2" t="inlineStr"/>
      <c r="C3723" s="2" t="inlineStr">
        <is>
          <t>TANQUE RADIADOR DERECHO CIELO</t>
        </is>
      </c>
      <c r="D3723" s="2" t="inlineStr">
        <is>
          <t>KOREA</t>
        </is>
      </c>
      <c r="E3723" s="3" t="n">
        <v>19.2308</v>
      </c>
      <c r="F3723" s="4" t="n">
        <v>0.3</v>
      </c>
      <c r="G3723" s="5">
        <f>ROUND(E3723*(1+F3723),2)</f>
        <v>25.00</v>
      </c>
      <c r="H3723" s="5">
        <f>ROUND(G3723*NOTAS!$B$2,2)</f>
        <v>18033.64</v>
      </c>
      <c r="I3723" s="6">
        <f>ROUND(G3723*NOTAS!$B$3,0)</f>
        <v>81222</v>
      </c>
      <c r="J3723" s="2" t="n">
        <v>4</v>
      </c>
    </row>
    <row r="3724">
      <c r="A3724" s="2" t="inlineStr"/>
      <c r="B3724" s="2" t="inlineStr"/>
      <c r="C3724" s="2" t="inlineStr">
        <is>
          <t>TANQUE RADIADOR IZQUIERDO SALIDA CORSA</t>
        </is>
      </c>
      <c r="D3724" s="2" t="inlineStr">
        <is>
          <t>BRAZIL</t>
        </is>
      </c>
      <c r="E3724" s="3" t="n">
        <v>19.2308</v>
      </c>
      <c r="F3724" s="4" t="n">
        <v>0.3</v>
      </c>
      <c r="G3724" s="5">
        <f>ROUND(E3724*(1+F3724),2)</f>
        <v>25.00</v>
      </c>
      <c r="H3724" s="5">
        <f>ROUND(G3724*NOTAS!$B$2,2)</f>
        <v>18033.64</v>
      </c>
      <c r="I3724" s="6">
        <f>ROUND(G3724*NOTAS!$B$3,0)</f>
        <v>81222</v>
      </c>
      <c r="J3724" s="2" t="n">
        <v>1</v>
      </c>
    </row>
    <row r="3725">
      <c r="A3725" s="2" t="inlineStr">
        <is>
          <t>96413100</t>
        </is>
      </c>
      <c r="B3725" s="2" t="inlineStr"/>
      <c r="C3725" s="2" t="inlineStr">
        <is>
          <t>TAPA ACEITE AVEO</t>
        </is>
      </c>
      <c r="D3725" s="2" t="inlineStr">
        <is>
          <t>GM</t>
        </is>
      </c>
      <c r="E3725" s="3" t="n">
        <v>6.7385</v>
      </c>
      <c r="F3725" s="4" t="n">
        <v>0.3</v>
      </c>
      <c r="G3725" s="5">
        <f>ROUND(E3725*(1+F3725),2)</f>
        <v>8.76</v>
      </c>
      <c r="H3725" s="5">
        <f>ROUND(G3725*NOTAS!$B$2,2)</f>
        <v>6318.99</v>
      </c>
      <c r="I3725" s="6">
        <f>ROUND(G3725*NOTAS!$B$3,0)</f>
        <v>28460</v>
      </c>
      <c r="J3725" s="2" t="n">
        <v>4</v>
      </c>
    </row>
    <row r="3726">
      <c r="A3726" s="2" t="inlineStr">
        <is>
          <t>40501</t>
        </is>
      </c>
      <c r="B3726" s="2" t="inlineStr"/>
      <c r="C3726" s="2" t="inlineStr">
        <is>
          <t>TAPA ACEITE CHEVETTE CON PALANCA</t>
        </is>
      </c>
      <c r="D3726" s="2" t="inlineStr">
        <is>
          <t>UNICK</t>
        </is>
      </c>
      <c r="E3726" s="3" t="n">
        <v>6.5154</v>
      </c>
      <c r="F3726" s="4" t="n">
        <v>0.3</v>
      </c>
      <c r="G3726" s="5">
        <f>ROUND(E3726*(1+F3726),2)</f>
        <v>8.47</v>
      </c>
      <c r="H3726" s="5">
        <f>ROUND(G3726*NOTAS!$B$2,2)</f>
        <v>6109.80</v>
      </c>
      <c r="I3726" s="6">
        <f>ROUND(G3726*NOTAS!$B$3,0)</f>
        <v>27518</v>
      </c>
      <c r="J3726" s="2" t="n">
        <v>10</v>
      </c>
    </row>
    <row r="3727">
      <c r="A3727" s="2" t="inlineStr">
        <is>
          <t>93334742</t>
        </is>
      </c>
      <c r="B3727" s="2" t="inlineStr"/>
      <c r="C3727" s="2" t="inlineStr">
        <is>
          <t xml:space="preserve">TAPA ACEITE CORSA </t>
        </is>
      </c>
      <c r="D3727" s="2" t="inlineStr">
        <is>
          <t>GM</t>
        </is>
      </c>
      <c r="E3727" s="3" t="n">
        <v>6.7385</v>
      </c>
      <c r="F3727" s="4" t="n">
        <v>0.3</v>
      </c>
      <c r="G3727" s="5">
        <f>ROUND(E3727*(1+F3727),2)</f>
        <v>8.76</v>
      </c>
      <c r="H3727" s="5">
        <f>ROUND(G3727*NOTAS!$B$2,2)</f>
        <v>6318.99</v>
      </c>
      <c r="I3727" s="6">
        <f>ROUND(G3727*NOTAS!$B$3,0)</f>
        <v>28460</v>
      </c>
      <c r="J3727" s="2" t="n">
        <v>4</v>
      </c>
    </row>
    <row r="3728">
      <c r="A3728" s="2" t="inlineStr">
        <is>
          <t>36</t>
        </is>
      </c>
      <c r="B3728" s="2" t="inlineStr"/>
      <c r="C3728" s="2" t="inlineStr">
        <is>
          <t>TAPA ACEITE F-147/UNO</t>
        </is>
      </c>
      <c r="D3728" s="2" t="inlineStr">
        <is>
          <t>FLORIO</t>
        </is>
      </c>
      <c r="E3728" s="3" t="n">
        <v>6.1538</v>
      </c>
      <c r="F3728" s="4" t="n">
        <v>0.3</v>
      </c>
      <c r="G3728" s="5">
        <f>ROUND(E3728*(1+F3728),2)</f>
        <v>8.00</v>
      </c>
      <c r="H3728" s="5">
        <f>ROUND(G3728*NOTAS!$B$2,2)</f>
        <v>5770.76</v>
      </c>
      <c r="I3728" s="6">
        <f>ROUND(G3728*NOTAS!$B$3,0)</f>
        <v>25991</v>
      </c>
      <c r="J3728" s="2" t="n">
        <v>2</v>
      </c>
    </row>
    <row r="3729">
      <c r="A3729" s="2" t="inlineStr">
        <is>
          <t>WA30142</t>
        </is>
      </c>
      <c r="B3729" s="2" t="inlineStr"/>
      <c r="C3729" s="2" t="inlineStr">
        <is>
          <t>TAPA ACEITE F-147/UNO</t>
        </is>
      </c>
      <c r="D3729" s="2" t="inlineStr">
        <is>
          <t>YH</t>
        </is>
      </c>
      <c r="E3729" s="3" t="n">
        <v>6.1538</v>
      </c>
      <c r="F3729" s="4" t="n">
        <v>0.3</v>
      </c>
      <c r="G3729" s="5">
        <f>ROUND(E3729*(1+F3729),2)</f>
        <v>8.00</v>
      </c>
      <c r="H3729" s="5">
        <f>ROUND(G3729*NOTAS!$B$2,2)</f>
        <v>5770.76</v>
      </c>
      <c r="I3729" s="6">
        <f>ROUND(G3729*NOTAS!$B$3,0)</f>
        <v>25991</v>
      </c>
      <c r="J3729" s="2" t="n">
        <v>8</v>
      </c>
    </row>
    <row r="3730">
      <c r="A3730" s="2" t="inlineStr">
        <is>
          <t>10303</t>
        </is>
      </c>
      <c r="B3730" s="2" t="inlineStr"/>
      <c r="C3730" s="2" t="inlineStr">
        <is>
          <t>TAPA ACEITE F-UNO/PREMIO</t>
        </is>
      </c>
      <c r="D3730" s="2" t="inlineStr">
        <is>
          <t>UNICK</t>
        </is>
      </c>
      <c r="E3730" s="3" t="n">
        <v>6.1538</v>
      </c>
      <c r="F3730" s="4" t="n">
        <v>0.3</v>
      </c>
      <c r="G3730" s="5">
        <f>ROUND(E3730*(1+F3730),2)</f>
        <v>8.00</v>
      </c>
      <c r="H3730" s="5">
        <f>ROUND(G3730*NOTAS!$B$2,2)</f>
        <v>5770.76</v>
      </c>
      <c r="I3730" s="6">
        <f>ROUND(G3730*NOTAS!$B$3,0)</f>
        <v>25991</v>
      </c>
      <c r="J3730" s="2" t="n">
        <v>8</v>
      </c>
    </row>
    <row r="3731">
      <c r="A3731" s="2" t="inlineStr"/>
      <c r="B3731" s="2" t="inlineStr"/>
      <c r="C3731" s="2" t="inlineStr">
        <is>
          <t>TAPA ACEITE MATIZ</t>
        </is>
      </c>
      <c r="D3731" s="2" t="inlineStr">
        <is>
          <t>KOREA</t>
        </is>
      </c>
      <c r="E3731" s="3" t="n">
        <v>6.1538</v>
      </c>
      <c r="F3731" s="4" t="n">
        <v>0.3</v>
      </c>
      <c r="G3731" s="5">
        <f>ROUND(E3731*(1+F3731),2)</f>
        <v>8.00</v>
      </c>
      <c r="H3731" s="5">
        <f>ROUND(G3731*NOTAS!$B$2,2)</f>
        <v>5770.76</v>
      </c>
      <c r="I3731" s="6">
        <f>ROUND(G3731*NOTAS!$B$3,0)</f>
        <v>25991</v>
      </c>
      <c r="J3731" s="2" t="n">
        <v>3</v>
      </c>
    </row>
    <row r="3732">
      <c r="A3732" s="2" t="inlineStr"/>
      <c r="B3732" s="2" t="inlineStr"/>
      <c r="C3732" s="2" t="inlineStr">
        <is>
          <t>TAPA ACEITE R-MEGANE</t>
        </is>
      </c>
      <c r="D3732" s="2" t="inlineStr"/>
      <c r="E3732" s="3" t="n">
        <v>6.7385</v>
      </c>
      <c r="F3732" s="4" t="n">
        <v>0.3</v>
      </c>
      <c r="G3732" s="5">
        <f>ROUND(E3732*(1+F3732),2)</f>
        <v>8.76</v>
      </c>
      <c r="H3732" s="5">
        <f>ROUND(G3732*NOTAS!$B$2,2)</f>
        <v>6318.99</v>
      </c>
      <c r="I3732" s="6">
        <f>ROUND(G3732*NOTAS!$B$3,0)</f>
        <v>28460</v>
      </c>
      <c r="J3732" s="2" t="n">
        <v>3</v>
      </c>
    </row>
    <row r="3733">
      <c r="A3733" s="2" t="inlineStr"/>
      <c r="B3733" s="2" t="inlineStr"/>
      <c r="C3733" s="2" t="inlineStr">
        <is>
          <t>TAPA ACEITE R-SYMBOL</t>
        </is>
      </c>
      <c r="D3733" s="2" t="inlineStr"/>
      <c r="E3733" s="3" t="n">
        <v>6.7385</v>
      </c>
      <c r="F3733" s="4" t="n">
        <v>0.3</v>
      </c>
      <c r="G3733" s="5">
        <f>ROUND(E3733*(1+F3733),2)</f>
        <v>8.76</v>
      </c>
      <c r="H3733" s="5">
        <f>ROUND(G3733*NOTAS!$B$2,2)</f>
        <v>6318.99</v>
      </c>
      <c r="I3733" s="6">
        <f>ROUND(G3733*NOTAS!$B$3,0)</f>
        <v>28460</v>
      </c>
      <c r="J3733" s="2" t="n">
        <v>1</v>
      </c>
    </row>
    <row r="3734">
      <c r="A3734" s="2" t="inlineStr">
        <is>
          <t>40192</t>
        </is>
      </c>
      <c r="B3734" s="2" t="inlineStr"/>
      <c r="C3734" s="2" t="inlineStr">
        <is>
          <t>TAPA AGUA CORSA</t>
        </is>
      </c>
      <c r="D3734" s="2" t="inlineStr">
        <is>
          <t>UNICK</t>
        </is>
      </c>
      <c r="E3734" s="3" t="n">
        <v>5.4308</v>
      </c>
      <c r="F3734" s="4" t="n">
        <v>0.3</v>
      </c>
      <c r="G3734" s="5">
        <f>ROUND(E3734*(1+F3734),2)</f>
        <v>7.06</v>
      </c>
      <c r="H3734" s="5">
        <f>ROUND(G3734*NOTAS!$B$2,2)</f>
        <v>5092.70</v>
      </c>
      <c r="I3734" s="6">
        <f>ROUND(G3734*NOTAS!$B$3,0)</f>
        <v>22937</v>
      </c>
      <c r="J3734" s="2" t="n">
        <v>2</v>
      </c>
    </row>
    <row r="3735">
      <c r="A3735" s="2" t="inlineStr"/>
      <c r="B3735" s="2" t="inlineStr"/>
      <c r="C3735" s="2" t="inlineStr">
        <is>
          <t>TAPA AGUA RENAULT METAL</t>
        </is>
      </c>
      <c r="D3735" s="2" t="inlineStr"/>
      <c r="E3735" s="3" t="n">
        <v>5.4308</v>
      </c>
      <c r="F3735" s="4" t="n">
        <v>0.3</v>
      </c>
      <c r="G3735" s="5">
        <f>ROUND(E3735*(1+F3735),2)</f>
        <v>7.06</v>
      </c>
      <c r="H3735" s="5">
        <f>ROUND(G3735*NOTAS!$B$2,2)</f>
        <v>5092.70</v>
      </c>
      <c r="I3735" s="6">
        <f>ROUND(G3735*NOTAS!$B$3,0)</f>
        <v>22937</v>
      </c>
      <c r="J3735" s="2" t="n">
        <v>7</v>
      </c>
    </row>
    <row r="3736">
      <c r="A3736" s="2" t="inlineStr"/>
      <c r="B3736" s="2" t="inlineStr"/>
      <c r="C3736" s="2" t="inlineStr">
        <is>
          <t>TAPA CAUCHO REPUESTO FIAT</t>
        </is>
      </c>
      <c r="D3736" s="2" t="inlineStr">
        <is>
          <t>BRAZIL</t>
        </is>
      </c>
      <c r="E3736" s="3" t="n">
        <v>3.8462</v>
      </c>
      <c r="F3736" s="4" t="n">
        <v>0.3</v>
      </c>
      <c r="G3736" s="5">
        <f>ROUND(E3736*(1+F3736),2)</f>
        <v>5.00</v>
      </c>
      <c r="H3736" s="5">
        <f>ROUND(G3736*NOTAS!$B$2,2)</f>
        <v>3606.73</v>
      </c>
      <c r="I3736" s="6">
        <f>ROUND(G3736*NOTAS!$B$3,0)</f>
        <v>16244</v>
      </c>
      <c r="J3736" s="2" t="n">
        <v>3</v>
      </c>
    </row>
    <row r="3737">
      <c r="A3737" s="2" t="inlineStr">
        <is>
          <t>96182951</t>
        </is>
      </c>
      <c r="B3737" s="2" t="inlineStr"/>
      <c r="C3737" s="2" t="inlineStr">
        <is>
          <t>TAPA CORREA TIEMPO INFERIOR EXTERNA CIELO/LANOS</t>
        </is>
      </c>
      <c r="D3737" s="2" t="inlineStr">
        <is>
          <t>GM</t>
        </is>
      </c>
      <c r="E3737" s="3" t="n">
        <v>9.9923</v>
      </c>
      <c r="F3737" s="4" t="n">
        <v>0.3</v>
      </c>
      <c r="G3737" s="5">
        <f>ROUND(E3737*(1+F3737),2)</f>
        <v>12.99</v>
      </c>
      <c r="H3737" s="5">
        <f>ROUND(G3737*NOTAS!$B$2,2)</f>
        <v>9370.28</v>
      </c>
      <c r="I3737" s="6">
        <f>ROUND(G3737*NOTAS!$B$3,0)</f>
        <v>42203</v>
      </c>
      <c r="J3737" s="2" t="n">
        <v>1</v>
      </c>
    </row>
    <row r="3738">
      <c r="A3738" s="2" t="inlineStr"/>
      <c r="B3738" s="2" t="inlineStr"/>
      <c r="C3738" s="2" t="inlineStr">
        <is>
          <t>TAPA CORREA TIEMPO SUPERIOR EXTERNA CIELO/LANOS</t>
        </is>
      </c>
      <c r="D3738" s="2" t="inlineStr">
        <is>
          <t>KOREA</t>
        </is>
      </c>
      <c r="E3738" s="3" t="n">
        <v>9.9923</v>
      </c>
      <c r="F3738" s="4" t="n">
        <v>0.3</v>
      </c>
      <c r="G3738" s="5">
        <f>ROUND(E3738*(1+F3738),2)</f>
        <v>12.99</v>
      </c>
      <c r="H3738" s="5">
        <f>ROUND(G3738*NOTAS!$B$2,2)</f>
        <v>9370.28</v>
      </c>
      <c r="I3738" s="6">
        <f>ROUND(G3738*NOTAS!$B$3,0)</f>
        <v>42203</v>
      </c>
      <c r="J3738" s="2" t="n">
        <v>2</v>
      </c>
    </row>
    <row r="3739">
      <c r="A3739" s="2" t="inlineStr">
        <is>
          <t>P96420303A</t>
        </is>
      </c>
      <c r="B3739" s="2" t="inlineStr"/>
      <c r="C3739" s="2" t="inlineStr">
        <is>
          <t>TAPA DEPOSITO AGUA AVEO</t>
        </is>
      </c>
      <c r="D3739" s="2" t="inlineStr">
        <is>
          <t>KOREA</t>
        </is>
      </c>
      <c r="E3739" s="3" t="n">
        <v>6.9077</v>
      </c>
      <c r="F3739" s="4" t="n">
        <v>0.3</v>
      </c>
      <c r="G3739" s="5">
        <f>ROUND(E3739*(1+F3739),2)</f>
        <v>8.98</v>
      </c>
      <c r="H3739" s="5">
        <f>ROUND(G3739*NOTAS!$B$2,2)</f>
        <v>6477.68</v>
      </c>
      <c r="I3739" s="6">
        <f>ROUND(G3739*NOTAS!$B$3,0)</f>
        <v>29175</v>
      </c>
      <c r="J3739" s="2" t="n">
        <v>2</v>
      </c>
    </row>
    <row r="3740">
      <c r="A3740" s="2" t="inlineStr">
        <is>
          <t>93288274</t>
        </is>
      </c>
      <c r="B3740" s="2" t="inlineStr"/>
      <c r="C3740" s="2" t="inlineStr">
        <is>
          <t>TAPA DEPOSITO AGUA CORSA</t>
        </is>
      </c>
      <c r="D3740" s="2" t="inlineStr">
        <is>
          <t>GM</t>
        </is>
      </c>
      <c r="E3740" s="3" t="n">
        <v>5.4308</v>
      </c>
      <c r="F3740" s="4" t="n">
        <v>0.3</v>
      </c>
      <c r="G3740" s="5">
        <f>ROUND(E3740*(1+F3740),2)</f>
        <v>7.06</v>
      </c>
      <c r="H3740" s="5">
        <f>ROUND(G3740*NOTAS!$B$2,2)</f>
        <v>5092.70</v>
      </c>
      <c r="I3740" s="6">
        <f>ROUND(G3740*NOTAS!$B$3,0)</f>
        <v>22937</v>
      </c>
      <c r="J3740" s="2" t="n">
        <v>1</v>
      </c>
    </row>
    <row r="3741">
      <c r="A3741" s="2" t="inlineStr">
        <is>
          <t>40192</t>
        </is>
      </c>
      <c r="B3741" s="2" t="inlineStr"/>
      <c r="C3741" s="2" t="inlineStr">
        <is>
          <t>TAPA DEPOSITO AGUA CORSA</t>
        </is>
      </c>
      <c r="D3741" s="2" t="inlineStr">
        <is>
          <t>UNICK</t>
        </is>
      </c>
      <c r="E3741" s="3" t="n">
        <v>5.4308</v>
      </c>
      <c r="F3741" s="4" t="n">
        <v>0.3</v>
      </c>
      <c r="G3741" s="5">
        <f>ROUND(E3741*(1+F3741),2)</f>
        <v>7.06</v>
      </c>
      <c r="H3741" s="5">
        <f>ROUND(G3741*NOTAS!$B$2,2)</f>
        <v>5092.70</v>
      </c>
      <c r="I3741" s="6">
        <f>ROUND(G3741*NOTAS!$B$3,0)</f>
        <v>22937</v>
      </c>
      <c r="J3741" s="2" t="n">
        <v>1</v>
      </c>
    </row>
    <row r="3742">
      <c r="A3742" s="2" t="inlineStr"/>
      <c r="B3742" s="2" t="inlineStr"/>
      <c r="C3742" s="2" t="inlineStr">
        <is>
          <t>TAPA DEPOSITO AGUA F-147</t>
        </is>
      </c>
      <c r="D3742" s="2" t="inlineStr">
        <is>
          <t>BRAZIL</t>
        </is>
      </c>
      <c r="E3742" s="3" t="n">
        <v>5.3846</v>
      </c>
      <c r="F3742" s="4" t="n">
        <v>0.3</v>
      </c>
      <c r="G3742" s="5">
        <f>ROUND(E3742*(1+F3742),2)</f>
        <v>7.00</v>
      </c>
      <c r="H3742" s="5">
        <f>ROUND(G3742*NOTAS!$B$2,2)</f>
        <v>5049.42</v>
      </c>
      <c r="I3742" s="6">
        <f>ROUND(G3742*NOTAS!$B$3,0)</f>
        <v>22742</v>
      </c>
      <c r="J3742" s="2" t="n">
        <v>8</v>
      </c>
    </row>
    <row r="3743">
      <c r="A3743" s="2" t="inlineStr">
        <is>
          <t>901773</t>
        </is>
      </c>
      <c r="B3743" s="2" t="inlineStr">
        <is>
          <t>7S558100AA</t>
        </is>
      </c>
      <c r="C3743" s="2" t="inlineStr">
        <is>
          <t>TAPA DEPOSITO AGUA FIESTA</t>
        </is>
      </c>
      <c r="D3743" s="2" t="inlineStr">
        <is>
          <t>FORD</t>
        </is>
      </c>
      <c r="E3743" s="3" t="n">
        <v>2.4538</v>
      </c>
      <c r="F3743" s="4" t="n">
        <v>0.3</v>
      </c>
      <c r="G3743" s="5">
        <f>ROUND(E3743*(1+F3743),2)</f>
        <v>3.19</v>
      </c>
      <c r="H3743" s="5">
        <f>ROUND(G3743*NOTAS!$B$2,2)</f>
        <v>2301.09</v>
      </c>
      <c r="I3743" s="6">
        <f>ROUND(G3743*NOTAS!$B$3,0)</f>
        <v>10364</v>
      </c>
      <c r="J3743" s="2" t="n">
        <v>1</v>
      </c>
    </row>
    <row r="3744">
      <c r="A3744" s="2" t="inlineStr">
        <is>
          <t>7370374</t>
        </is>
      </c>
      <c r="B3744" s="2" t="inlineStr">
        <is>
          <t>95BB8100AA</t>
        </is>
      </c>
      <c r="C3744" s="2" t="inlineStr">
        <is>
          <t>TAPA DEPOSITO AGUA FIESTA …/03 KA FOCUS</t>
        </is>
      </c>
      <c r="D3744" s="2" t="inlineStr">
        <is>
          <t>FORD</t>
        </is>
      </c>
      <c r="E3744" s="3" t="n">
        <v>2.4538</v>
      </c>
      <c r="F3744" s="4" t="n">
        <v>0.3</v>
      </c>
      <c r="G3744" s="5">
        <f>ROUND(E3744*(1+F3744),2)</f>
        <v>3.19</v>
      </c>
      <c r="H3744" s="5">
        <f>ROUND(G3744*NOTAS!$B$2,2)</f>
        <v>2301.09</v>
      </c>
      <c r="I3744" s="6">
        <f>ROUND(G3744*NOTAS!$B$3,0)</f>
        <v>10364</v>
      </c>
      <c r="J3744" s="2" t="n">
        <v>16</v>
      </c>
    </row>
    <row r="3745">
      <c r="A3745" s="2" t="inlineStr">
        <is>
          <t>5050127</t>
        </is>
      </c>
      <c r="B3745" s="2" t="inlineStr"/>
      <c r="C3745" s="2" t="inlineStr">
        <is>
          <t>TAPA DEPOSITO AGUA F-UNO 00/,,, PALIO SIENA R-SYMBOL</t>
        </is>
      </c>
      <c r="D3745" s="2" t="inlineStr">
        <is>
          <t>MTA</t>
        </is>
      </c>
      <c r="E3745" s="3" t="n">
        <v>6</v>
      </c>
      <c r="F3745" s="4" t="n">
        <v>0.3</v>
      </c>
      <c r="G3745" s="5">
        <f>ROUND(E3745*(1+F3745),2)</f>
        <v>7.80</v>
      </c>
      <c r="H3745" s="5">
        <f>ROUND(G3745*NOTAS!$B$2,2)</f>
        <v>5626.50</v>
      </c>
      <c r="I3745" s="6">
        <f>ROUND(G3745*NOTAS!$B$3,0)</f>
        <v>25341</v>
      </c>
      <c r="J3745" s="2" t="n">
        <v>10</v>
      </c>
    </row>
    <row r="3746">
      <c r="A3746" s="2" t="inlineStr">
        <is>
          <t>R15051</t>
        </is>
      </c>
      <c r="B3746" s="2" t="inlineStr">
        <is>
          <t>8200048224</t>
        </is>
      </c>
      <c r="C3746" s="2" t="inlineStr">
        <is>
          <t>TAPA DEPOSITO AGUA R-SYMBOL/LOGAN</t>
        </is>
      </c>
      <c r="D3746" s="2" t="inlineStr">
        <is>
          <t>AUTOMOTIVE PARTS</t>
        </is>
      </c>
      <c r="E3746" s="3" t="n">
        <v>2.32</v>
      </c>
      <c r="F3746" s="4" t="n">
        <v>0.3</v>
      </c>
      <c r="G3746" s="5">
        <f>ROUND(E3746*(1+F3746),2)</f>
        <v>3.02</v>
      </c>
      <c r="H3746" s="5">
        <f>ROUND(G3746*NOTAS!$B$2,2)</f>
        <v>2178.46</v>
      </c>
      <c r="I3746" s="6">
        <f>ROUND(G3746*NOTAS!$B$3,0)</f>
        <v>9812</v>
      </c>
      <c r="J3746" s="2" t="n">
        <v>2</v>
      </c>
    </row>
    <row r="3747">
      <c r="A3747" s="2" t="inlineStr">
        <is>
          <t>8200048024</t>
        </is>
      </c>
      <c r="B3747" s="2" t="inlineStr"/>
      <c r="C3747" s="2" t="inlineStr">
        <is>
          <t>TAPA DEPOSITO AGUA R-SYMBOL/LOGAN</t>
        </is>
      </c>
      <c r="D3747" s="2" t="inlineStr">
        <is>
          <t>RENAULT</t>
        </is>
      </c>
      <c r="E3747" s="3" t="n">
        <v>5.4308</v>
      </c>
      <c r="F3747" s="4" t="n">
        <v>0.3</v>
      </c>
      <c r="G3747" s="5">
        <f>ROUND(E3747*(1+F3747),2)</f>
        <v>7.06</v>
      </c>
      <c r="H3747" s="5">
        <f>ROUND(G3747*NOTAS!$B$2,2)</f>
        <v>5092.70</v>
      </c>
      <c r="I3747" s="6">
        <f>ROUND(G3747*NOTAS!$B$3,0)</f>
        <v>22937</v>
      </c>
      <c r="J3747" s="2" t="n">
        <v>1</v>
      </c>
    </row>
    <row r="3748">
      <c r="A3748" s="2" t="inlineStr">
        <is>
          <t>R.19-0913</t>
        </is>
      </c>
      <c r="B3748" s="2" t="inlineStr"/>
      <c r="C3748" s="2" t="inlineStr">
        <is>
          <t>TAPA DEPOSITO LIGA R-11/19</t>
        </is>
      </c>
      <c r="D3748" s="2" t="inlineStr">
        <is>
          <t>TAKSIM GROUP</t>
        </is>
      </c>
      <c r="E3748" s="3" t="n">
        <v>5.3846</v>
      </c>
      <c r="F3748" s="4" t="n">
        <v>0.3</v>
      </c>
      <c r="G3748" s="5">
        <f>ROUND(E3748*(1+F3748),2)</f>
        <v>7.00</v>
      </c>
      <c r="H3748" s="5">
        <f>ROUND(G3748*NOTAS!$B$2,2)</f>
        <v>5049.42</v>
      </c>
      <c r="I3748" s="6">
        <f>ROUND(G3748*NOTAS!$B$3,0)</f>
        <v>22742</v>
      </c>
      <c r="J3748" s="2" t="n">
        <v>6</v>
      </c>
    </row>
    <row r="3749">
      <c r="A3749" s="2" t="inlineStr">
        <is>
          <t>20413</t>
        </is>
      </c>
      <c r="B3749" s="2" t="inlineStr"/>
      <c r="C3749" s="2" t="inlineStr">
        <is>
          <t>TAPA DISTRIBUCION CHEVETTE</t>
        </is>
      </c>
      <c r="D3749" s="2" t="inlineStr">
        <is>
          <t>OLIMPIC</t>
        </is>
      </c>
      <c r="E3749" s="3" t="n">
        <v>7.6923</v>
      </c>
      <c r="F3749" s="4" t="n">
        <v>0.3</v>
      </c>
      <c r="G3749" s="5">
        <f>ROUND(E3749*(1+F3749),2)</f>
        <v>10.00</v>
      </c>
      <c r="H3749" s="5">
        <f>ROUND(G3749*NOTAS!$B$2,2)</f>
        <v>7213.46</v>
      </c>
      <c r="I3749" s="6">
        <f>ROUND(G3749*NOTAS!$B$3,0)</f>
        <v>32489</v>
      </c>
      <c r="J3749" s="2" t="n">
        <v>2</v>
      </c>
    </row>
    <row r="3750">
      <c r="A3750" s="2" t="inlineStr">
        <is>
          <t>10496278</t>
        </is>
      </c>
      <c r="B3750" s="2" t="inlineStr"/>
      <c r="C3750" s="2" t="inlineStr">
        <is>
          <t>TAPA DISTRIBUCION CIELO/RACER</t>
        </is>
      </c>
      <c r="D3750" s="2" t="inlineStr">
        <is>
          <t>KOREA</t>
        </is>
      </c>
      <c r="E3750" s="3" t="n">
        <v>9.2308</v>
      </c>
      <c r="F3750" s="4" t="n">
        <v>0.3</v>
      </c>
      <c r="G3750" s="5">
        <f>ROUND(E3750*(1+F3750),2)</f>
        <v>12.00</v>
      </c>
      <c r="H3750" s="5">
        <f>ROUND(G3750*NOTAS!$B$2,2)</f>
        <v>8656.15</v>
      </c>
      <c r="I3750" s="6">
        <f>ROUND(G3750*NOTAS!$B$3,0)</f>
        <v>38986</v>
      </c>
      <c r="J3750" s="2" t="n">
        <v>4</v>
      </c>
    </row>
    <row r="3751">
      <c r="A3751" s="2" t="inlineStr">
        <is>
          <t>P10496278</t>
        </is>
      </c>
      <c r="B3751" s="2" t="inlineStr"/>
      <c r="C3751" s="2" t="inlineStr">
        <is>
          <t>TAPA DISTRIBUCION CIELO/RACER</t>
        </is>
      </c>
      <c r="D3751" s="2" t="inlineStr">
        <is>
          <t>FLAMMA</t>
        </is>
      </c>
      <c r="E3751" s="3" t="n">
        <v>9.2308</v>
      </c>
      <c r="F3751" s="4" t="n">
        <v>0.3</v>
      </c>
      <c r="G3751" s="5">
        <f>ROUND(E3751*(1+F3751),2)</f>
        <v>12.00</v>
      </c>
      <c r="H3751" s="5">
        <f>ROUND(G3751*NOTAS!$B$2,2)</f>
        <v>8656.15</v>
      </c>
      <c r="I3751" s="6">
        <f>ROUND(G3751*NOTAS!$B$3,0)</f>
        <v>38986</v>
      </c>
      <c r="J3751" s="2" t="n">
        <v>3</v>
      </c>
    </row>
    <row r="3752">
      <c r="A3752" s="2" t="inlineStr">
        <is>
          <t>19101-15010</t>
        </is>
      </c>
      <c r="B3752" s="2" t="inlineStr"/>
      <c r="C3752" s="2" t="inlineStr">
        <is>
          <t>TAPA DISTRIBUCION COROLLA 86/89</t>
        </is>
      </c>
      <c r="D3752" s="2" t="inlineStr">
        <is>
          <t>CAP</t>
        </is>
      </c>
      <c r="E3752" s="3" t="n">
        <v>7.6923</v>
      </c>
      <c r="F3752" s="4" t="n">
        <v>0.3</v>
      </c>
      <c r="G3752" s="5">
        <f>ROUND(E3752*(1+F3752),2)</f>
        <v>10.00</v>
      </c>
      <c r="H3752" s="5">
        <f>ROUND(G3752*NOTAS!$B$2,2)</f>
        <v>7213.46</v>
      </c>
      <c r="I3752" s="6">
        <f>ROUND(G3752*NOTAS!$B$3,0)</f>
        <v>32489</v>
      </c>
      <c r="J3752" s="2" t="n">
        <v>2</v>
      </c>
    </row>
    <row r="3753">
      <c r="A3753" s="2" t="inlineStr">
        <is>
          <t>YD-137</t>
        </is>
      </c>
      <c r="B3753" s="2" t="inlineStr">
        <is>
          <t>19101-11060</t>
        </is>
      </c>
      <c r="C3753" s="2" t="inlineStr">
        <is>
          <t>TAPA DISTRIBUCION COROLLA 99/03 SAPITO</t>
        </is>
      </c>
      <c r="D3753" s="2" t="inlineStr">
        <is>
          <t>YEC</t>
        </is>
      </c>
      <c r="E3753" s="3" t="n">
        <v>9.2308</v>
      </c>
      <c r="F3753" s="4" t="n">
        <v>0.3</v>
      </c>
      <c r="G3753" s="5">
        <f>ROUND(E3753*(1+F3753),2)</f>
        <v>12.00</v>
      </c>
      <c r="H3753" s="5">
        <f>ROUND(G3753*NOTAS!$B$2,2)</f>
        <v>8656.15</v>
      </c>
      <c r="I3753" s="6">
        <f>ROUND(G3753*NOTAS!$B$3,0)</f>
        <v>38986</v>
      </c>
      <c r="J3753" s="2" t="n">
        <v>1</v>
      </c>
    </row>
    <row r="3754">
      <c r="A3754" s="2" t="inlineStr">
        <is>
          <t>2004</t>
        </is>
      </c>
      <c r="B3754" s="2" t="inlineStr"/>
      <c r="C3754" s="2" t="inlineStr">
        <is>
          <t>TAPA DISTRIBUCION F-132</t>
        </is>
      </c>
      <c r="D3754" s="2" t="inlineStr">
        <is>
          <t>ANGLI</t>
        </is>
      </c>
      <c r="E3754" s="3" t="n">
        <v>7.6923</v>
      </c>
      <c r="F3754" s="4" t="n">
        <v>0.3</v>
      </c>
      <c r="G3754" s="5">
        <f>ROUND(E3754*(1+F3754),2)</f>
        <v>10.00</v>
      </c>
      <c r="H3754" s="5">
        <f>ROUND(G3754*NOTAS!$B$2,2)</f>
        <v>7213.46</v>
      </c>
      <c r="I3754" s="6">
        <f>ROUND(G3754*NOTAS!$B$3,0)</f>
        <v>32489</v>
      </c>
      <c r="J3754" s="2" t="n">
        <v>3</v>
      </c>
    </row>
    <row r="3755">
      <c r="A3755" s="2" t="inlineStr">
        <is>
          <t>20413</t>
        </is>
      </c>
      <c r="B3755" s="2" t="inlineStr"/>
      <c r="C3755" s="2" t="inlineStr">
        <is>
          <t>TAPA DISTRIBUCION F-147</t>
        </is>
      </c>
      <c r="D3755" s="2" t="inlineStr">
        <is>
          <t>OLIMPIC</t>
        </is>
      </c>
      <c r="E3755" s="3" t="n">
        <v>7.6923</v>
      </c>
      <c r="F3755" s="4" t="n">
        <v>0.3</v>
      </c>
      <c r="G3755" s="5">
        <f>ROUND(E3755*(1+F3755),2)</f>
        <v>10.00</v>
      </c>
      <c r="H3755" s="5">
        <f>ROUND(G3755*NOTAS!$B$2,2)</f>
        <v>7213.46</v>
      </c>
      <c r="I3755" s="6">
        <f>ROUND(G3755*NOTAS!$B$3,0)</f>
        <v>32489</v>
      </c>
      <c r="J3755" s="2" t="n">
        <v>4</v>
      </c>
    </row>
    <row r="3756">
      <c r="A3756" s="2" t="inlineStr">
        <is>
          <t>2003</t>
        </is>
      </c>
      <c r="B3756" s="2" t="inlineStr"/>
      <c r="C3756" s="2" t="inlineStr">
        <is>
          <t>TAPA DISTRIBUCION FENSA</t>
        </is>
      </c>
      <c r="D3756" s="2" t="inlineStr">
        <is>
          <t>ANGLI</t>
        </is>
      </c>
      <c r="E3756" s="3" t="n">
        <v>7.6923</v>
      </c>
      <c r="F3756" s="4" t="n">
        <v>0.3</v>
      </c>
      <c r="G3756" s="5">
        <f>ROUND(E3756*(1+F3756),2)</f>
        <v>10.00</v>
      </c>
      <c r="H3756" s="5">
        <f>ROUND(G3756*NOTAS!$B$2,2)</f>
        <v>7213.46</v>
      </c>
      <c r="I3756" s="6">
        <f>ROUND(G3756*NOTAS!$B$3,0)</f>
        <v>32489</v>
      </c>
      <c r="J3756" s="2" t="n">
        <v>14</v>
      </c>
    </row>
    <row r="3757">
      <c r="A3757" s="2" t="inlineStr">
        <is>
          <t>CA1328</t>
        </is>
      </c>
      <c r="B3757" s="2" t="inlineStr"/>
      <c r="C3757" s="2" t="inlineStr">
        <is>
          <t>TAPA DISTRIBUCION FENSA</t>
        </is>
      </c>
      <c r="D3757" s="2" t="inlineStr">
        <is>
          <t>CEAM</t>
        </is>
      </c>
      <c r="E3757" s="3" t="n">
        <v>7.6923</v>
      </c>
      <c r="F3757" s="4" t="n">
        <v>0.3</v>
      </c>
      <c r="G3757" s="5">
        <f>ROUND(E3757*(1+F3757),2)</f>
        <v>10.00</v>
      </c>
      <c r="H3757" s="5">
        <f>ROUND(G3757*NOTAS!$B$2,2)</f>
        <v>7213.46</v>
      </c>
      <c r="I3757" s="6">
        <f>ROUND(G3757*NOTAS!$B$3,0)</f>
        <v>32489</v>
      </c>
      <c r="J3757" s="2" t="n">
        <v>4</v>
      </c>
    </row>
    <row r="3758">
      <c r="A3758" s="2" t="inlineStr">
        <is>
          <t>AG9006</t>
        </is>
      </c>
      <c r="B3758" s="2" t="inlineStr"/>
      <c r="C3758" s="2" t="inlineStr">
        <is>
          <t>TAPA DISTRIBUCION FENSA</t>
        </is>
      </c>
      <c r="D3758" s="2" t="inlineStr">
        <is>
          <t>AUTOGAMMA</t>
        </is>
      </c>
      <c r="E3758" s="3" t="n">
        <v>7.6923</v>
      </c>
      <c r="F3758" s="4" t="n">
        <v>0.3</v>
      </c>
      <c r="G3758" s="5">
        <f>ROUND(E3758*(1+F3758),2)</f>
        <v>10.00</v>
      </c>
      <c r="H3758" s="5">
        <f>ROUND(G3758*NOTAS!$B$2,2)</f>
        <v>7213.46</v>
      </c>
      <c r="I3758" s="6">
        <f>ROUND(G3758*NOTAS!$B$3,0)</f>
        <v>32489</v>
      </c>
      <c r="J3758" s="2" t="n">
        <v>6</v>
      </c>
    </row>
    <row r="3759">
      <c r="A3759" s="2" t="inlineStr">
        <is>
          <t>KK150-18-V00A</t>
        </is>
      </c>
      <c r="B3759" s="2" t="inlineStr"/>
      <c r="C3759" s="2" t="inlineStr">
        <is>
          <t>TAPA DISTRIBUCION FESTIVA</t>
        </is>
      </c>
      <c r="D3759" s="2" t="inlineStr">
        <is>
          <t>ALIC</t>
        </is>
      </c>
      <c r="E3759" s="3" t="n">
        <v>7.6923</v>
      </c>
      <c r="F3759" s="4" t="n">
        <v>0.3</v>
      </c>
      <c r="G3759" s="5">
        <f>ROUND(E3759*(1+F3759),2)</f>
        <v>10.00</v>
      </c>
      <c r="H3759" s="5">
        <f>ROUND(G3759*NOTAS!$B$2,2)</f>
        <v>7213.46</v>
      </c>
      <c r="I3759" s="6">
        <f>ROUND(G3759*NOTAS!$B$3,0)</f>
        <v>32489</v>
      </c>
      <c r="J3759" s="2" t="n">
        <v>1</v>
      </c>
    </row>
    <row r="3760">
      <c r="A3760" s="2" t="inlineStr">
        <is>
          <t>KK150-18-V00</t>
        </is>
      </c>
      <c r="B3760" s="2" t="inlineStr"/>
      <c r="C3760" s="2" t="inlineStr">
        <is>
          <t>TAPA DISTRIBUCION FESTIVA</t>
        </is>
      </c>
      <c r="D3760" s="2" t="inlineStr">
        <is>
          <t>CAP</t>
        </is>
      </c>
      <c r="E3760" s="3" t="n">
        <v>7.6923</v>
      </c>
      <c r="F3760" s="4" t="n">
        <v>0.3</v>
      </c>
      <c r="G3760" s="5">
        <f>ROUND(E3760*(1+F3760),2)</f>
        <v>10.00</v>
      </c>
      <c r="H3760" s="5">
        <f>ROUND(G3760*NOTAS!$B$2,2)</f>
        <v>7213.46</v>
      </c>
      <c r="I3760" s="6">
        <f>ROUND(G3760*NOTAS!$B$3,0)</f>
        <v>32489</v>
      </c>
      <c r="J3760" s="2" t="n">
        <v>2</v>
      </c>
    </row>
    <row r="3761">
      <c r="A3761" s="2" t="inlineStr"/>
      <c r="B3761" s="2" t="inlineStr"/>
      <c r="C3761" s="2" t="inlineStr">
        <is>
          <t>TAPA DISTRIBUCION HYUNDAI EXCEL</t>
        </is>
      </c>
      <c r="D3761" s="2" t="inlineStr">
        <is>
          <t>CAP</t>
        </is>
      </c>
      <c r="E3761" s="3" t="n">
        <v>7.6923</v>
      </c>
      <c r="F3761" s="4" t="n">
        <v>0.3</v>
      </c>
      <c r="G3761" s="5">
        <f>ROUND(E3761*(1+F3761),2)</f>
        <v>10.00</v>
      </c>
      <c r="H3761" s="5">
        <f>ROUND(G3761*NOTAS!$B$2,2)</f>
        <v>7213.46</v>
      </c>
      <c r="I3761" s="6">
        <f>ROUND(G3761*NOTAS!$B$3,0)</f>
        <v>32489</v>
      </c>
      <c r="J3761" s="2" t="n">
        <v>2</v>
      </c>
    </row>
    <row r="3762">
      <c r="A3762" s="2" t="inlineStr"/>
      <c r="B3762" s="2" t="inlineStr"/>
      <c r="C3762" s="2" t="inlineStr">
        <is>
          <t>TAPA DISTRIBUCION MALIBU 231</t>
        </is>
      </c>
      <c r="D3762" s="2" t="inlineStr"/>
      <c r="E3762" s="3" t="n">
        <v>7.6923</v>
      </c>
      <c r="F3762" s="4" t="n">
        <v>0.3</v>
      </c>
      <c r="G3762" s="5">
        <f>ROUND(E3762*(1+F3762),2)</f>
        <v>10.00</v>
      </c>
      <c r="H3762" s="5">
        <f>ROUND(G3762*NOTAS!$B$2,2)</f>
        <v>7213.46</v>
      </c>
      <c r="I3762" s="6">
        <f>ROUND(G3762*NOTAS!$B$3,0)</f>
        <v>32489</v>
      </c>
      <c r="J3762" s="2" t="n">
        <v>1</v>
      </c>
    </row>
    <row r="3763">
      <c r="A3763" s="2" t="inlineStr"/>
      <c r="B3763" s="2" t="inlineStr"/>
      <c r="C3763" s="2" t="inlineStr">
        <is>
          <t>TAPA DISTRIBUCION MATIZ</t>
        </is>
      </c>
      <c r="D3763" s="2" t="inlineStr">
        <is>
          <t>CAP</t>
        </is>
      </c>
      <c r="E3763" s="3" t="n">
        <v>7.6923</v>
      </c>
      <c r="F3763" s="4" t="n">
        <v>0.3</v>
      </c>
      <c r="G3763" s="5">
        <f>ROUND(E3763*(1+F3763),2)</f>
        <v>10.00</v>
      </c>
      <c r="H3763" s="5">
        <f>ROUND(G3763*NOTAS!$B$2,2)</f>
        <v>7213.46</v>
      </c>
      <c r="I3763" s="6">
        <f>ROUND(G3763*NOTAS!$B$3,0)</f>
        <v>32489</v>
      </c>
      <c r="J3763" s="2" t="n">
        <v>2</v>
      </c>
    </row>
    <row r="3764">
      <c r="A3764" s="2" t="inlineStr">
        <is>
          <t>20196</t>
        </is>
      </c>
      <c r="B3764" s="2" t="inlineStr"/>
      <c r="C3764" s="2" t="inlineStr">
        <is>
          <t>TAPA DISTRIBUCION MONZA</t>
        </is>
      </c>
      <c r="D3764" s="2" t="inlineStr">
        <is>
          <t>OLIMPIC</t>
        </is>
      </c>
      <c r="E3764" s="3" t="n">
        <v>7.6923</v>
      </c>
      <c r="F3764" s="4" t="n">
        <v>0.3</v>
      </c>
      <c r="G3764" s="5">
        <f>ROUND(E3764*(1+F3764),2)</f>
        <v>10.00</v>
      </c>
      <c r="H3764" s="5">
        <f>ROUND(G3764*NOTAS!$B$2,2)</f>
        <v>7213.46</v>
      </c>
      <c r="I3764" s="6">
        <f>ROUND(G3764*NOTAS!$B$3,0)</f>
        <v>32489</v>
      </c>
      <c r="J3764" s="2" t="n">
        <v>1</v>
      </c>
    </row>
    <row r="3765">
      <c r="A3765" s="2" t="inlineStr">
        <is>
          <t>9037</t>
        </is>
      </c>
      <c r="B3765" s="2" t="inlineStr"/>
      <c r="C3765" s="2" t="inlineStr">
        <is>
          <t>TAPA DISTRIBUCION R-18/FUEGO TORNILLO</t>
        </is>
      </c>
      <c r="D3765" s="2" t="inlineStr">
        <is>
          <t>ITAB</t>
        </is>
      </c>
      <c r="E3765" s="3" t="n">
        <v>7.6923</v>
      </c>
      <c r="F3765" s="4" t="n">
        <v>0.3</v>
      </c>
      <c r="G3765" s="5">
        <f>ROUND(E3765*(1+F3765),2)</f>
        <v>10.00</v>
      </c>
      <c r="H3765" s="5">
        <f>ROUND(G3765*NOTAS!$B$2,2)</f>
        <v>7213.46</v>
      </c>
      <c r="I3765" s="6">
        <f>ROUND(G3765*NOTAS!$B$3,0)</f>
        <v>32489</v>
      </c>
      <c r="J3765" s="2" t="n">
        <v>3</v>
      </c>
    </row>
    <row r="3766">
      <c r="A3766" s="2" t="inlineStr">
        <is>
          <t>2070P</t>
        </is>
      </c>
      <c r="B3766" s="2" t="inlineStr"/>
      <c r="C3766" s="2" t="inlineStr">
        <is>
          <t>TAPA DISTRIBUCION R-18/FUEGO TORNILLO</t>
        </is>
      </c>
      <c r="D3766" s="2" t="inlineStr">
        <is>
          <t>ANGLI</t>
        </is>
      </c>
      <c r="E3766" s="3" t="n">
        <v>7.6923</v>
      </c>
      <c r="F3766" s="4" t="n">
        <v>0.3</v>
      </c>
      <c r="G3766" s="5">
        <f>ROUND(E3766*(1+F3766),2)</f>
        <v>10.00</v>
      </c>
      <c r="H3766" s="5">
        <f>ROUND(G3766*NOTAS!$B$2,2)</f>
        <v>7213.46</v>
      </c>
      <c r="I3766" s="6">
        <f>ROUND(G3766*NOTAS!$B$3,0)</f>
        <v>32489</v>
      </c>
      <c r="J3766" s="2" t="n">
        <v>2</v>
      </c>
    </row>
    <row r="3767">
      <c r="A3767" s="2" t="inlineStr">
        <is>
          <t>2.7679PHT</t>
        </is>
      </c>
      <c r="B3767" s="2" t="inlineStr"/>
      <c r="C3767" s="2" t="inlineStr">
        <is>
          <t>TAPA DISTRIBUCION R-18/FUEGO TORNILLO</t>
        </is>
      </c>
      <c r="D3767" s="2" t="inlineStr">
        <is>
          <t>FACET</t>
        </is>
      </c>
      <c r="E3767" s="3" t="n">
        <v>7.6923</v>
      </c>
      <c r="F3767" s="4" t="n">
        <v>0.3</v>
      </c>
      <c r="G3767" s="5">
        <f>ROUND(E3767*(1+F3767),2)</f>
        <v>10.00</v>
      </c>
      <c r="H3767" s="5">
        <f>ROUND(G3767*NOTAS!$B$2,2)</f>
        <v>7213.46</v>
      </c>
      <c r="I3767" s="6">
        <f>ROUND(G3767*NOTAS!$B$3,0)</f>
        <v>32489</v>
      </c>
      <c r="J3767" s="2" t="n">
        <v>1</v>
      </c>
    </row>
    <row r="3768">
      <c r="A3768" s="2" t="inlineStr">
        <is>
          <t>DC10437</t>
        </is>
      </c>
      <c r="B3768" s="2" t="inlineStr"/>
      <c r="C3768" s="2" t="inlineStr">
        <is>
          <t>TAPA DISTRIBUCION R-19 3TORNILLO</t>
        </is>
      </c>
      <c r="D3768" s="2" t="inlineStr">
        <is>
          <t>VULKO</t>
        </is>
      </c>
      <c r="E3768" s="3" t="n">
        <v>7.6923</v>
      </c>
      <c r="F3768" s="4" t="n">
        <v>0.3</v>
      </c>
      <c r="G3768" s="5">
        <f>ROUND(E3768*(1+F3768),2)</f>
        <v>10.00</v>
      </c>
      <c r="H3768" s="5">
        <f>ROUND(G3768*NOTAS!$B$2,2)</f>
        <v>7213.46</v>
      </c>
      <c r="I3768" s="6">
        <f>ROUND(G3768*NOTAS!$B$3,0)</f>
        <v>32489</v>
      </c>
      <c r="J3768" s="2" t="n">
        <v>1</v>
      </c>
    </row>
    <row r="3769">
      <c r="A3769" s="2" t="inlineStr">
        <is>
          <t>10203</t>
        </is>
      </c>
      <c r="B3769" s="2" t="inlineStr"/>
      <c r="C3769" s="2" t="inlineStr">
        <is>
          <t>TAPA DISTRIBUCION R-5 1.1</t>
        </is>
      </c>
      <c r="D3769" s="2" t="inlineStr">
        <is>
          <t>VULKO</t>
        </is>
      </c>
      <c r="E3769" s="3" t="n">
        <v>7.6923</v>
      </c>
      <c r="F3769" s="4" t="n">
        <v>0.3</v>
      </c>
      <c r="G3769" s="5">
        <f>ROUND(E3769*(1+F3769),2)</f>
        <v>10.00</v>
      </c>
      <c r="H3769" s="5">
        <f>ROUND(G3769*NOTAS!$B$2,2)</f>
        <v>7213.46</v>
      </c>
      <c r="I3769" s="6">
        <f>ROUND(G3769*NOTAS!$B$3,0)</f>
        <v>32489</v>
      </c>
      <c r="J3769" s="2" t="n">
        <v>1</v>
      </c>
    </row>
    <row r="3770">
      <c r="A3770" s="2" t="inlineStr">
        <is>
          <t>2015P</t>
        </is>
      </c>
      <c r="B3770" s="2" t="inlineStr"/>
      <c r="C3770" s="2" t="inlineStr">
        <is>
          <t>TAPA DISTRIBUCION R-5 1.1</t>
        </is>
      </c>
      <c r="D3770" s="2" t="inlineStr">
        <is>
          <t>ANGLI</t>
        </is>
      </c>
      <c r="E3770" s="3" t="n">
        <v>7.6923</v>
      </c>
      <c r="F3770" s="4" t="n">
        <v>0.3</v>
      </c>
      <c r="G3770" s="5">
        <f>ROUND(E3770*(1+F3770),2)</f>
        <v>10.00</v>
      </c>
      <c r="H3770" s="5">
        <f>ROUND(G3770*NOTAS!$B$2,2)</f>
        <v>7213.46</v>
      </c>
      <c r="I3770" s="6">
        <f>ROUND(G3770*NOTAS!$B$3,0)</f>
        <v>32489</v>
      </c>
      <c r="J3770" s="2" t="n">
        <v>1</v>
      </c>
    </row>
    <row r="3771">
      <c r="A3771" s="2" t="inlineStr">
        <is>
          <t>99415920</t>
        </is>
      </c>
      <c r="B3771" s="2" t="inlineStr"/>
      <c r="C3771" s="2" t="inlineStr">
        <is>
          <t xml:space="preserve">TAPA DISTRIBUCION R-5 1.3/18/FUEGO GANCHO </t>
        </is>
      </c>
      <c r="D3771" s="2" t="inlineStr">
        <is>
          <t>AUTOMOTOR</t>
        </is>
      </c>
      <c r="E3771" s="3" t="n">
        <v>7.6923</v>
      </c>
      <c r="F3771" s="4" t="n">
        <v>0.3</v>
      </c>
      <c r="G3771" s="5">
        <f>ROUND(E3771*(1+F3771),2)</f>
        <v>10.00</v>
      </c>
      <c r="H3771" s="5">
        <f>ROUND(G3771*NOTAS!$B$2,2)</f>
        <v>7213.46</v>
      </c>
      <c r="I3771" s="6">
        <f>ROUND(G3771*NOTAS!$B$3,0)</f>
        <v>32489</v>
      </c>
      <c r="J3771" s="2" t="n">
        <v>1</v>
      </c>
    </row>
    <row r="3772">
      <c r="A3772" s="2" t="inlineStr">
        <is>
          <t>IA20</t>
        </is>
      </c>
      <c r="B3772" s="2" t="inlineStr"/>
      <c r="C3772" s="2" t="inlineStr">
        <is>
          <t>TAPA DISTRIBUCION R-GALA</t>
        </is>
      </c>
      <c r="D3772" s="2" t="inlineStr">
        <is>
          <t>SM</t>
        </is>
      </c>
      <c r="E3772" s="3" t="n">
        <v>7.6923</v>
      </c>
      <c r="F3772" s="4" t="n">
        <v>0.3</v>
      </c>
      <c r="G3772" s="5">
        <f>ROUND(E3772*(1+F3772),2)</f>
        <v>10.00</v>
      </c>
      <c r="H3772" s="5">
        <f>ROUND(G3772*NOTAS!$B$2,2)</f>
        <v>7213.46</v>
      </c>
      <c r="I3772" s="6">
        <f>ROUND(G3772*NOTAS!$B$3,0)</f>
        <v>32489</v>
      </c>
      <c r="J3772" s="2" t="n">
        <v>1</v>
      </c>
    </row>
    <row r="3773">
      <c r="A3773" s="2" t="inlineStr">
        <is>
          <t>YD-814</t>
        </is>
      </c>
      <c r="B3773" s="2" t="inlineStr">
        <is>
          <t>33321-62E10J</t>
        </is>
      </c>
      <c r="C3773" s="2" t="inlineStr">
        <is>
          <t>TAPA DISTRIBUCION SWIFT 1.6 BAJA</t>
        </is>
      </c>
      <c r="D3773" s="2" t="inlineStr">
        <is>
          <t>YEC</t>
        </is>
      </c>
      <c r="E3773" s="3" t="n">
        <v>7.6923</v>
      </c>
      <c r="F3773" s="4" t="n">
        <v>0.3</v>
      </c>
      <c r="G3773" s="5">
        <f>ROUND(E3773*(1+F3773),2)</f>
        <v>10.00</v>
      </c>
      <c r="H3773" s="5">
        <f>ROUND(G3773*NOTAS!$B$2,2)</f>
        <v>7213.46</v>
      </c>
      <c r="I3773" s="6">
        <f>ROUND(G3773*NOTAS!$B$3,0)</f>
        <v>32489</v>
      </c>
      <c r="J3773" s="2" t="n">
        <v>2</v>
      </c>
    </row>
    <row r="3774">
      <c r="A3774" s="2" t="inlineStr"/>
      <c r="B3774" s="2" t="inlineStr"/>
      <c r="C3774" s="2" t="inlineStr">
        <is>
          <t>TAPA DISTRIBUCION TOYOYA 2F 3F</t>
        </is>
      </c>
      <c r="D3774" s="2" t="inlineStr">
        <is>
          <t>JAPON</t>
        </is>
      </c>
      <c r="E3774" s="3" t="n">
        <v>9.2308</v>
      </c>
      <c r="F3774" s="4" t="n">
        <v>0.3</v>
      </c>
      <c r="G3774" s="5">
        <f>ROUND(E3774*(1+F3774),2)</f>
        <v>12.00</v>
      </c>
      <c r="H3774" s="5">
        <f>ROUND(G3774*NOTAS!$B$2,2)</f>
        <v>8656.15</v>
      </c>
      <c r="I3774" s="6">
        <f>ROUND(G3774*NOTAS!$B$3,0)</f>
        <v>38986</v>
      </c>
      <c r="J3774" s="2" t="n">
        <v>2</v>
      </c>
    </row>
    <row r="3775">
      <c r="A3775" s="2" t="inlineStr"/>
      <c r="B3775" s="2" t="inlineStr"/>
      <c r="C3775" s="2" t="inlineStr">
        <is>
          <t>TAPA GASOLINA CIELO</t>
        </is>
      </c>
      <c r="D3775" s="2" t="inlineStr">
        <is>
          <t>KOREA</t>
        </is>
      </c>
      <c r="E3775" s="3" t="n">
        <v>7</v>
      </c>
      <c r="F3775" s="4" t="n">
        <v>0.3</v>
      </c>
      <c r="G3775" s="5">
        <f>ROUND(E3775*(1+F3775),2)</f>
        <v>9.10</v>
      </c>
      <c r="H3775" s="5">
        <f>ROUND(G3775*NOTAS!$B$2,2)</f>
        <v>6564.24</v>
      </c>
      <c r="I3775" s="6">
        <f>ROUND(G3775*NOTAS!$B$3,0)</f>
        <v>29565</v>
      </c>
      <c r="J3775" s="2" t="n">
        <v>5</v>
      </c>
    </row>
    <row r="3776">
      <c r="A3776" s="2" t="inlineStr">
        <is>
          <t>A-101/C</t>
        </is>
      </c>
      <c r="B3776" s="2" t="inlineStr"/>
      <c r="C3776" s="2" t="inlineStr">
        <is>
          <t>TAPA GASOLINA CORCEL</t>
        </is>
      </c>
      <c r="D3776" s="2" t="inlineStr">
        <is>
          <t>TRINK</t>
        </is>
      </c>
      <c r="E3776" s="3" t="n">
        <v>8</v>
      </c>
      <c r="F3776" s="4" t="n">
        <v>0.3</v>
      </c>
      <c r="G3776" s="5">
        <f>ROUND(E3776*(1+F3776),2)</f>
        <v>10.40</v>
      </c>
      <c r="H3776" s="5">
        <f>ROUND(G3776*NOTAS!$B$2,2)</f>
        <v>7501.99</v>
      </c>
      <c r="I3776" s="6">
        <f>ROUND(G3776*NOTAS!$B$3,0)</f>
        <v>33788</v>
      </c>
      <c r="J3776" s="2" t="n">
        <v>3</v>
      </c>
    </row>
    <row r="3777">
      <c r="A3777" s="2" t="inlineStr">
        <is>
          <t>10210</t>
        </is>
      </c>
      <c r="B3777" s="2" t="inlineStr"/>
      <c r="C3777" s="2" t="inlineStr">
        <is>
          <t>TAPA GASOLINA CORCEL</t>
        </is>
      </c>
      <c r="D3777" s="2" t="inlineStr">
        <is>
          <t>UNICK</t>
        </is>
      </c>
      <c r="E3777" s="3" t="n">
        <v>8</v>
      </c>
      <c r="F3777" s="4" t="n">
        <v>0.3</v>
      </c>
      <c r="G3777" s="5">
        <f>ROUND(E3777*(1+F3777),2)</f>
        <v>10.40</v>
      </c>
      <c r="H3777" s="5">
        <f>ROUND(G3777*NOTAS!$B$2,2)</f>
        <v>7501.99</v>
      </c>
      <c r="I3777" s="6">
        <f>ROUND(G3777*NOTAS!$B$3,0)</f>
        <v>33788</v>
      </c>
      <c r="J3777" s="2" t="n">
        <v>1</v>
      </c>
    </row>
    <row r="3778">
      <c r="A3778" s="2" t="inlineStr">
        <is>
          <t>10218</t>
        </is>
      </c>
      <c r="B3778" s="2" t="inlineStr"/>
      <c r="C3778" s="2" t="inlineStr">
        <is>
          <t>TAPA GASOLINA F-147/SPAZIO REDONDA</t>
        </is>
      </c>
      <c r="D3778" s="2" t="inlineStr">
        <is>
          <t>UNICK</t>
        </is>
      </c>
      <c r="E3778" s="3" t="n">
        <v>8</v>
      </c>
      <c r="F3778" s="4" t="n">
        <v>0.3</v>
      </c>
      <c r="G3778" s="5">
        <f>ROUND(E3778*(1+F3778),2)</f>
        <v>10.40</v>
      </c>
      <c r="H3778" s="5">
        <f>ROUND(G3778*NOTAS!$B$2,2)</f>
        <v>7501.99</v>
      </c>
      <c r="I3778" s="6">
        <f>ROUND(G3778*NOTAS!$B$3,0)</f>
        <v>33788</v>
      </c>
      <c r="J3778" s="2" t="n">
        <v>3</v>
      </c>
    </row>
    <row r="3779">
      <c r="A3779" s="2" t="inlineStr">
        <is>
          <t>10338</t>
        </is>
      </c>
      <c r="B3779" s="2" t="inlineStr"/>
      <c r="C3779" s="2" t="inlineStr">
        <is>
          <t>TAPA GASOLINA FIESTA CON LLAVE</t>
        </is>
      </c>
      <c r="D3779" s="2" t="inlineStr">
        <is>
          <t>UNICK</t>
        </is>
      </c>
      <c r="E3779" s="3" t="n">
        <v>8</v>
      </c>
      <c r="F3779" s="4" t="n">
        <v>0.3</v>
      </c>
      <c r="G3779" s="5">
        <f>ROUND(E3779*(1+F3779),2)</f>
        <v>10.40</v>
      </c>
      <c r="H3779" s="5">
        <f>ROUND(G3779*NOTAS!$B$2,2)</f>
        <v>7501.99</v>
      </c>
      <c r="I3779" s="6">
        <f>ROUND(G3779*NOTAS!$B$3,0)</f>
        <v>33788</v>
      </c>
      <c r="J3779" s="2" t="n">
        <v>2</v>
      </c>
    </row>
    <row r="3780">
      <c r="A3780" s="2" t="inlineStr">
        <is>
          <t>F-809</t>
        </is>
      </c>
      <c r="B3780" s="2" t="inlineStr"/>
      <c r="C3780" s="2" t="inlineStr">
        <is>
          <t>TAPA GASOLINA F-PAL/SIE 1.3 16V FIRE CON LLAVE</t>
        </is>
      </c>
      <c r="D3780" s="2" t="inlineStr">
        <is>
          <t>TRINK</t>
        </is>
      </c>
      <c r="E3780" s="3" t="n">
        <v>15</v>
      </c>
      <c r="F3780" s="4" t="n">
        <v>0.3</v>
      </c>
      <c r="G3780" s="5">
        <f>ROUND(E3780*(1+F3780),2)</f>
        <v>19.50</v>
      </c>
      <c r="H3780" s="5">
        <f>ROUND(G3780*NOTAS!$B$2,2)</f>
        <v>14066.24</v>
      </c>
      <c r="I3780" s="6">
        <f>ROUND(G3780*NOTAS!$B$3,0)</f>
        <v>63353</v>
      </c>
      <c r="J3780" s="2" t="n">
        <v>2</v>
      </c>
    </row>
    <row r="3781">
      <c r="A3781" s="2" t="inlineStr">
        <is>
          <t>I-901</t>
        </is>
      </c>
      <c r="B3781" s="2" t="inlineStr"/>
      <c r="C3781" s="2" t="inlineStr">
        <is>
          <t>TAPA GASOLINA R-LOGAN/CLIO/TWING CON LLAVE</t>
        </is>
      </c>
      <c r="D3781" s="2" t="inlineStr">
        <is>
          <t>TRINK</t>
        </is>
      </c>
      <c r="E3781" s="3" t="n">
        <v>15</v>
      </c>
      <c r="F3781" s="4" t="n">
        <v>0.3</v>
      </c>
      <c r="G3781" s="5">
        <f>ROUND(E3781*(1+F3781),2)</f>
        <v>19.50</v>
      </c>
      <c r="H3781" s="5">
        <f>ROUND(G3781*NOTAS!$B$2,2)</f>
        <v>14066.24</v>
      </c>
      <c r="I3781" s="6">
        <f>ROUND(G3781*NOTAS!$B$3,0)</f>
        <v>63353</v>
      </c>
      <c r="J3781" s="2" t="n">
        <v>2</v>
      </c>
    </row>
    <row r="3782">
      <c r="A3782" s="2" t="inlineStr">
        <is>
          <t>1206923</t>
        </is>
      </c>
      <c r="B3782" s="2" t="inlineStr"/>
      <c r="C3782" s="2" t="inlineStr">
        <is>
          <t>TAPA GRASERA TAMBOR FIESTA/KA</t>
        </is>
      </c>
      <c r="D3782" s="2" t="inlineStr">
        <is>
          <t>FORD</t>
        </is>
      </c>
      <c r="E3782" s="3" t="n">
        <v>3.8462</v>
      </c>
      <c r="F3782" s="4" t="n">
        <v>0.3</v>
      </c>
      <c r="G3782" s="5">
        <f>ROUND(E3782*(1+F3782),2)</f>
        <v>5.00</v>
      </c>
      <c r="H3782" s="5">
        <f>ROUND(G3782*NOTAS!$B$2,2)</f>
        <v>3606.73</v>
      </c>
      <c r="I3782" s="6">
        <f>ROUND(G3782*NOTAS!$B$3,0)</f>
        <v>16244</v>
      </c>
      <c r="J3782" s="2" t="n">
        <v>6</v>
      </c>
    </row>
    <row r="3783">
      <c r="A3783" s="2" t="inlineStr">
        <is>
          <t>CA-24</t>
        </is>
      </c>
      <c r="B3783" s="2" t="inlineStr"/>
      <c r="C3783" s="2" t="inlineStr">
        <is>
          <t>TAPA MODULO BOMBA GASOLINA F-PALIO/SIENA 1.3 16V FIRE/1.4</t>
        </is>
      </c>
      <c r="D3783" s="2" t="inlineStr">
        <is>
          <t>DODUCO</t>
        </is>
      </c>
      <c r="E3783" s="3" t="n">
        <v>9.2308</v>
      </c>
      <c r="F3783" s="4" t="n">
        <v>0.3</v>
      </c>
      <c r="G3783" s="5">
        <f>ROUND(E3783*(1+F3783),2)</f>
        <v>12.00</v>
      </c>
      <c r="H3783" s="5">
        <f>ROUND(G3783*NOTAS!$B$2,2)</f>
        <v>8656.15</v>
      </c>
      <c r="I3783" s="6">
        <f>ROUND(G3783*NOTAS!$B$3,0)</f>
        <v>38986</v>
      </c>
      <c r="J3783" s="2" t="n">
        <v>2</v>
      </c>
    </row>
    <row r="3784">
      <c r="A3784" s="2" t="inlineStr"/>
      <c r="B3784" s="2" t="inlineStr"/>
      <c r="C3784" s="2" t="inlineStr">
        <is>
          <t>TAPA MODULO BOMBA GASOLINA F-PALIO/SIENA 1.3 8V MPI</t>
        </is>
      </c>
      <c r="D3784" s="2" t="inlineStr">
        <is>
          <t>DODUCO</t>
        </is>
      </c>
      <c r="E3784" s="3" t="n">
        <v>9.2308</v>
      </c>
      <c r="F3784" s="4" t="n">
        <v>0.3</v>
      </c>
      <c r="G3784" s="5">
        <f>ROUND(E3784*(1+F3784),2)</f>
        <v>12.00</v>
      </c>
      <c r="H3784" s="5">
        <f>ROUND(G3784*NOTAS!$B$2,2)</f>
        <v>8656.15</v>
      </c>
      <c r="I3784" s="6">
        <f>ROUND(G3784*NOTAS!$B$3,0)</f>
        <v>38986</v>
      </c>
      <c r="J3784" s="2" t="n">
        <v>1</v>
      </c>
    </row>
    <row r="3785">
      <c r="A3785" s="2" t="inlineStr">
        <is>
          <t>96130992</t>
        </is>
      </c>
      <c r="B3785" s="2" t="inlineStr"/>
      <c r="C3785" s="2" t="inlineStr">
        <is>
          <t>TAPA TERMOSTATO AVEO 1.6</t>
        </is>
      </c>
      <c r="D3785" s="2" t="inlineStr">
        <is>
          <t>GM</t>
        </is>
      </c>
      <c r="E3785" s="3" t="n">
        <v>6.1538</v>
      </c>
      <c r="F3785" s="4" t="n">
        <v>0.3</v>
      </c>
      <c r="G3785" s="5">
        <f>ROUND(E3785*(1+F3785),2)</f>
        <v>8.00</v>
      </c>
      <c r="H3785" s="5">
        <f>ROUND(G3785*NOTAS!$B$2,2)</f>
        <v>5770.76</v>
      </c>
      <c r="I3785" s="6">
        <f>ROUND(G3785*NOTAS!$B$3,0)</f>
        <v>25991</v>
      </c>
      <c r="J3785" s="2" t="n">
        <v>1</v>
      </c>
    </row>
    <row r="3786">
      <c r="A3786" s="2" t="inlineStr">
        <is>
          <t>2S6G8250A1B</t>
        </is>
      </c>
      <c r="B3786" s="2" t="inlineStr"/>
      <c r="C3786" s="2" t="inlineStr">
        <is>
          <t>TAPA TERMOSTATO FIESTA 04/…</t>
        </is>
      </c>
      <c r="D3786" s="2" t="inlineStr">
        <is>
          <t>FORD</t>
        </is>
      </c>
      <c r="E3786" s="3" t="n">
        <v>6.1538</v>
      </c>
      <c r="F3786" s="4" t="n">
        <v>0.3</v>
      </c>
      <c r="G3786" s="5">
        <f>ROUND(E3786*(1+F3786),2)</f>
        <v>8.00</v>
      </c>
      <c r="H3786" s="5">
        <f>ROUND(G3786*NOTAS!$B$2,2)</f>
        <v>5770.76</v>
      </c>
      <c r="I3786" s="6">
        <f>ROUND(G3786*NOTAS!$B$3,0)</f>
        <v>25991</v>
      </c>
      <c r="J3786" s="2" t="n">
        <v>1</v>
      </c>
    </row>
    <row r="3787">
      <c r="A3787" s="2" t="inlineStr"/>
      <c r="B3787" s="2" t="inlineStr"/>
      <c r="C3787" s="2" t="inlineStr">
        <is>
          <t>TAPA TERMOSTATO FIESTA 04/…</t>
        </is>
      </c>
      <c r="D3787" s="2" t="inlineStr">
        <is>
          <t>BRAZIL</t>
        </is>
      </c>
      <c r="E3787" s="3" t="n">
        <v>6.1538</v>
      </c>
      <c r="F3787" s="4" t="n">
        <v>0.3</v>
      </c>
      <c r="G3787" s="5">
        <f>ROUND(E3787*(1+F3787),2)</f>
        <v>8.00</v>
      </c>
      <c r="H3787" s="5">
        <f>ROUND(G3787*NOTAS!$B$2,2)</f>
        <v>5770.76</v>
      </c>
      <c r="I3787" s="6">
        <f>ROUND(G3787*NOTAS!$B$3,0)</f>
        <v>25991</v>
      </c>
      <c r="J3787" s="2" t="n">
        <v>1</v>
      </c>
    </row>
    <row r="3788">
      <c r="A3788" s="2" t="inlineStr">
        <is>
          <t>87156</t>
        </is>
      </c>
      <c r="B3788" s="2" t="inlineStr"/>
      <c r="C3788" s="2" t="inlineStr">
        <is>
          <t>TAPA TERMOSTATO FIESTA/KA</t>
        </is>
      </c>
      <c r="D3788" s="2" t="inlineStr">
        <is>
          <t>AJE</t>
        </is>
      </c>
      <c r="E3788" s="3" t="n">
        <v>6.1538</v>
      </c>
      <c r="F3788" s="4" t="n">
        <v>0.3</v>
      </c>
      <c r="G3788" s="5">
        <f>ROUND(E3788*(1+F3788),2)</f>
        <v>8.00</v>
      </c>
      <c r="H3788" s="5">
        <f>ROUND(G3788*NOTAS!$B$2,2)</f>
        <v>5770.76</v>
      </c>
      <c r="I3788" s="6">
        <f>ROUND(G3788*NOTAS!$B$3,0)</f>
        <v>25991</v>
      </c>
      <c r="J3788" s="2" t="n">
        <v>10</v>
      </c>
    </row>
    <row r="3789">
      <c r="A3789" s="2" t="inlineStr">
        <is>
          <t>93334741</t>
        </is>
      </c>
      <c r="B3789" s="2" t="inlineStr"/>
      <c r="C3789" s="2" t="inlineStr">
        <is>
          <t>TAPA VALVULA CORSA</t>
        </is>
      </c>
      <c r="D3789" s="2" t="inlineStr">
        <is>
          <t>GM</t>
        </is>
      </c>
      <c r="E3789" s="3" t="n">
        <v>30</v>
      </c>
      <c r="F3789" s="4" t="n">
        <v>0.3</v>
      </c>
      <c r="G3789" s="5">
        <f>ROUND(E3789*(1+F3789),2)</f>
        <v>39.00</v>
      </c>
      <c r="H3789" s="5">
        <f>ROUND(G3789*NOTAS!$B$2,2)</f>
        <v>28132.48</v>
      </c>
      <c r="I3789" s="6">
        <f>ROUND(G3789*NOTAS!$B$3,0)</f>
        <v>126706</v>
      </c>
      <c r="J3789" s="2" t="n">
        <v>7</v>
      </c>
    </row>
    <row r="3790">
      <c r="A3790" s="2" t="inlineStr">
        <is>
          <t>906502</t>
        </is>
      </c>
      <c r="B3790" s="2" t="inlineStr">
        <is>
          <t>2S6G6M293A1B</t>
        </is>
      </c>
      <c r="C3790" s="2" t="inlineStr">
        <is>
          <t>TAPA VALVULA FIESTA/KA 1.6</t>
        </is>
      </c>
      <c r="D3790" s="2" t="inlineStr">
        <is>
          <t>FORD</t>
        </is>
      </c>
      <c r="E3790" s="3" t="n">
        <v>80</v>
      </c>
      <c r="F3790" s="4" t="n">
        <v>0.3</v>
      </c>
      <c r="G3790" s="5">
        <f>ROUND(E3790*(1+F3790),2)</f>
        <v>104.00</v>
      </c>
      <c r="H3790" s="5">
        <f>ROUND(G3790*NOTAS!$B$2,2)</f>
        <v>75019.94</v>
      </c>
      <c r="I3790" s="6">
        <f>ROUND(G3790*NOTAS!$B$3,0)</f>
        <v>337882</v>
      </c>
      <c r="J3790" s="2" t="n">
        <v>2</v>
      </c>
    </row>
    <row r="3791">
      <c r="A3791" s="2" t="inlineStr">
        <is>
          <t>96518396</t>
        </is>
      </c>
      <c r="B3791" s="2" t="inlineStr"/>
      <c r="C3791" s="2" t="inlineStr">
        <is>
          <t>TAPA VALVULA SPARK</t>
        </is>
      </c>
      <c r="D3791" s="2" t="inlineStr">
        <is>
          <t>GM</t>
        </is>
      </c>
      <c r="E3791" s="3" t="n">
        <v>40</v>
      </c>
      <c r="F3791" s="4" t="n">
        <v>0.3</v>
      </c>
      <c r="G3791" s="5">
        <f>ROUND(E3791*(1+F3791),2)</f>
        <v>52.00</v>
      </c>
      <c r="H3791" s="5">
        <f>ROUND(G3791*NOTAS!$B$2,2)</f>
        <v>37509.97</v>
      </c>
      <c r="I3791" s="6">
        <f>ROUND(G3791*NOTAS!$B$3,0)</f>
        <v>168941</v>
      </c>
      <c r="J3791" s="2" t="n">
        <v>1</v>
      </c>
    </row>
    <row r="3792">
      <c r="A3792" s="2" t="inlineStr">
        <is>
          <t>904097</t>
        </is>
      </c>
      <c r="B3792" s="2" t="inlineStr"/>
      <c r="C3792" s="2" t="inlineStr">
        <is>
          <t>TAPON CAMARA FIESTA</t>
        </is>
      </c>
      <c r="D3792" s="2" t="inlineStr">
        <is>
          <t>FORD</t>
        </is>
      </c>
      <c r="E3792" s="3" t="n">
        <v>3.8462</v>
      </c>
      <c r="F3792" s="4" t="n">
        <v>0.3</v>
      </c>
      <c r="G3792" s="5">
        <f>ROUND(E3792*(1+F3792),2)</f>
        <v>5.00</v>
      </c>
      <c r="H3792" s="5">
        <f>ROUND(G3792*NOTAS!$B$2,2)</f>
        <v>3606.73</v>
      </c>
      <c r="I3792" s="6">
        <f>ROUND(G3792*NOTAS!$B$3,0)</f>
        <v>16244</v>
      </c>
      <c r="J3792" s="2" t="n">
        <v>2</v>
      </c>
    </row>
    <row r="3793">
      <c r="A3793" s="2" t="inlineStr">
        <is>
          <t>94535699</t>
        </is>
      </c>
      <c r="B3793" s="2" t="inlineStr"/>
      <c r="C3793" s="2" t="inlineStr">
        <is>
          <t>TAPON CARTER AVEO/OPTRA/SPARK</t>
        </is>
      </c>
      <c r="D3793" s="2" t="inlineStr">
        <is>
          <t>GM</t>
        </is>
      </c>
      <c r="E3793" s="3" t="n">
        <v>3.8462</v>
      </c>
      <c r="F3793" s="4" t="n">
        <v>0.3</v>
      </c>
      <c r="G3793" s="5">
        <f>ROUND(E3793*(1+F3793),2)</f>
        <v>5.00</v>
      </c>
      <c r="H3793" s="5">
        <f>ROUND(G3793*NOTAS!$B$2,2)</f>
        <v>3606.73</v>
      </c>
      <c r="I3793" s="6">
        <f>ROUND(G3793*NOTAS!$B$3,0)</f>
        <v>16244</v>
      </c>
      <c r="J3793" s="2" t="n">
        <v>9</v>
      </c>
    </row>
    <row r="3794">
      <c r="A3794" s="2" t="inlineStr">
        <is>
          <t>4294269</t>
        </is>
      </c>
      <c r="B3794" s="2" t="inlineStr">
        <is>
          <t>F6TZ6730BA</t>
        </is>
      </c>
      <c r="C3794" s="2" t="inlineStr">
        <is>
          <t>TAPON CARTER FIESTA/KA/ECOSPORT/EXPLORER</t>
        </is>
      </c>
      <c r="D3794" s="2" t="inlineStr">
        <is>
          <t>FORD</t>
        </is>
      </c>
      <c r="E3794" s="3" t="n">
        <v>3.8462</v>
      </c>
      <c r="F3794" s="4" t="n">
        <v>0.3</v>
      </c>
      <c r="G3794" s="5">
        <f>ROUND(E3794*(1+F3794),2)</f>
        <v>5.00</v>
      </c>
      <c r="H3794" s="5">
        <f>ROUND(G3794*NOTAS!$B$2,2)</f>
        <v>3606.73</v>
      </c>
      <c r="I3794" s="6">
        <f>ROUND(G3794*NOTAS!$B$3,0)</f>
        <v>16244</v>
      </c>
      <c r="J3794" s="2" t="n">
        <v>3</v>
      </c>
    </row>
    <row r="3795">
      <c r="A3795" s="2" t="inlineStr">
        <is>
          <t>P96376400</t>
        </is>
      </c>
      <c r="B3795" s="2" t="inlineStr"/>
      <c r="C3795" s="2" t="inlineStr">
        <is>
          <t>TAQUETES AVEO</t>
        </is>
      </c>
      <c r="D3795" s="2" t="inlineStr">
        <is>
          <t>ZETRA</t>
        </is>
      </c>
      <c r="E3795" s="3" t="n">
        <v>4.6154</v>
      </c>
      <c r="F3795" s="4" t="n">
        <v>0.3</v>
      </c>
      <c r="G3795" s="5">
        <f>ROUND(E3795*(1+F3795),2)</f>
        <v>6.00</v>
      </c>
      <c r="H3795" s="5">
        <f>ROUND(G3795*NOTAS!$B$2,2)</f>
        <v>4328.07</v>
      </c>
      <c r="I3795" s="6">
        <f>ROUND(G3795*NOTAS!$B$3,0)</f>
        <v>19493</v>
      </c>
      <c r="J3795" s="2" t="n">
        <v>24</v>
      </c>
    </row>
    <row r="3796">
      <c r="A3796" s="2" t="inlineStr">
        <is>
          <t>5233315</t>
        </is>
      </c>
      <c r="B3796" s="2" t="inlineStr"/>
      <c r="C3796" s="2" t="inlineStr">
        <is>
          <t>TAQUETES CORSA</t>
        </is>
      </c>
      <c r="D3796" s="2" t="inlineStr">
        <is>
          <t>KOREA</t>
        </is>
      </c>
      <c r="E3796" s="3" t="n">
        <v>4.6154</v>
      </c>
      <c r="F3796" s="4" t="n">
        <v>0.3</v>
      </c>
      <c r="G3796" s="5">
        <f>ROUND(E3796*(1+F3796),2)</f>
        <v>6.00</v>
      </c>
      <c r="H3796" s="5">
        <f>ROUND(G3796*NOTAS!$B$2,2)</f>
        <v>4328.07</v>
      </c>
      <c r="I3796" s="6">
        <f>ROUND(G3796*NOTAS!$B$3,0)</f>
        <v>19493</v>
      </c>
      <c r="J3796" s="2" t="n">
        <v>15</v>
      </c>
    </row>
    <row r="3797">
      <c r="A3797" s="2" t="inlineStr">
        <is>
          <t>90250156</t>
        </is>
      </c>
      <c r="B3797" s="2" t="inlineStr"/>
      <c r="C3797" s="2" t="inlineStr">
        <is>
          <t>TEMPLETE VARILLA PALANCA CAMBIO CIELO/LANOS/AVEO</t>
        </is>
      </c>
      <c r="D3797" s="2" t="inlineStr">
        <is>
          <t>PARTS-MALL</t>
        </is>
      </c>
      <c r="E3797" s="3" t="n">
        <v>7.6923</v>
      </c>
      <c r="F3797" s="4" t="n">
        <v>0.3</v>
      </c>
      <c r="G3797" s="5">
        <f>ROUND(E3797*(1+F3797),2)</f>
        <v>10.00</v>
      </c>
      <c r="H3797" s="5">
        <f>ROUND(G3797*NOTAS!$B$2,2)</f>
        <v>7213.46</v>
      </c>
      <c r="I3797" s="6">
        <f>ROUND(G3797*NOTAS!$B$3,0)</f>
        <v>32489</v>
      </c>
      <c r="J3797" s="2" t="n">
        <v>7</v>
      </c>
    </row>
    <row r="3798">
      <c r="A3798" s="2" t="inlineStr">
        <is>
          <t>94580711</t>
        </is>
      </c>
      <c r="B3798" s="2" t="inlineStr"/>
      <c r="C3798" s="2" t="inlineStr">
        <is>
          <t>TEMPLETE VARILLA PALANCA CAMBIO CIELO/LANOS/AVEO</t>
        </is>
      </c>
      <c r="D3798" s="2" t="inlineStr">
        <is>
          <t>GM</t>
        </is>
      </c>
      <c r="E3798" s="3" t="n">
        <v>7.6923</v>
      </c>
      <c r="F3798" s="4" t="n">
        <v>0.3</v>
      </c>
      <c r="G3798" s="5">
        <f>ROUND(E3798*(1+F3798),2)</f>
        <v>10.00</v>
      </c>
      <c r="H3798" s="5">
        <f>ROUND(G3798*NOTAS!$B$2,2)</f>
        <v>7213.46</v>
      </c>
      <c r="I3798" s="6">
        <f>ROUND(G3798*NOTAS!$B$3,0)</f>
        <v>32489</v>
      </c>
      <c r="J3798" s="2" t="n">
        <v>3</v>
      </c>
    </row>
    <row r="3799">
      <c r="A3799" s="2" t="inlineStr">
        <is>
          <t>AR-8100</t>
        </is>
      </c>
      <c r="B3799" s="2" t="inlineStr"/>
      <c r="C3799" s="2" t="inlineStr">
        <is>
          <t>TENSOR CADENA DOBLE R-5</t>
        </is>
      </c>
      <c r="D3799" s="2" t="inlineStr">
        <is>
          <t>ANROI</t>
        </is>
      </c>
      <c r="E3799" s="3" t="n">
        <v>9</v>
      </c>
      <c r="F3799" s="4" t="n">
        <v>0.3</v>
      </c>
      <c r="G3799" s="5">
        <f>ROUND(E3799*(1+F3799),2)</f>
        <v>11.70</v>
      </c>
      <c r="H3799" s="5">
        <f>ROUND(G3799*NOTAS!$B$2,2)</f>
        <v>8439.74</v>
      </c>
      <c r="I3799" s="6">
        <f>ROUND(G3799*NOTAS!$B$3,0)</f>
        <v>38012</v>
      </c>
      <c r="J3799" s="2" t="n">
        <v>1</v>
      </c>
    </row>
    <row r="3800">
      <c r="A3800" s="2" t="inlineStr">
        <is>
          <t>8200434732</t>
        </is>
      </c>
      <c r="B3800" s="2" t="inlineStr"/>
      <c r="C3800" s="2" t="inlineStr">
        <is>
          <t>TENSOR CORREA AIRE ACONDICIONADO R-TWINGO</t>
        </is>
      </c>
      <c r="D3800" s="2" t="inlineStr">
        <is>
          <t>RENAULT</t>
        </is>
      </c>
      <c r="E3800" s="3" t="n">
        <v>13.8462</v>
      </c>
      <c r="F3800" s="4" t="n">
        <v>0.3</v>
      </c>
      <c r="G3800" s="5">
        <f>ROUND(E3800*(1+F3800),2)</f>
        <v>18.00</v>
      </c>
      <c r="H3800" s="5">
        <f>ROUND(G3800*NOTAS!$B$2,2)</f>
        <v>12984.22</v>
      </c>
      <c r="I3800" s="6">
        <f>ROUND(G3800*NOTAS!$B$3,0)</f>
        <v>58480</v>
      </c>
      <c r="J3800" s="2" t="n">
        <v>2</v>
      </c>
    </row>
    <row r="3801">
      <c r="A3801" s="2" t="inlineStr">
        <is>
          <t>90571758</t>
        </is>
      </c>
      <c r="B3801" s="2" t="inlineStr"/>
      <c r="C3801" s="2" t="inlineStr">
        <is>
          <t>TENSOR CORREA MULTIFUNCIONAL ASTRA 1.8/MERIVA</t>
        </is>
      </c>
      <c r="D3801" s="2" t="inlineStr">
        <is>
          <t>GM</t>
        </is>
      </c>
      <c r="E3801" s="3" t="n">
        <v>15.3846</v>
      </c>
      <c r="F3801" s="4" t="n">
        <v>0.3</v>
      </c>
      <c r="G3801" s="5">
        <f>ROUND(E3801*(1+F3801),2)</f>
        <v>20.00</v>
      </c>
      <c r="H3801" s="5">
        <f>ROUND(G3801*NOTAS!$B$2,2)</f>
        <v>14426.91</v>
      </c>
      <c r="I3801" s="6">
        <f>ROUND(G3801*NOTAS!$B$3,0)</f>
        <v>64977</v>
      </c>
      <c r="J3801" s="2" t="n">
        <v>1</v>
      </c>
    </row>
    <row r="3802">
      <c r="A3802" s="2" t="inlineStr">
        <is>
          <t>P96966707</t>
        </is>
      </c>
      <c r="B3802" s="2" t="inlineStr"/>
      <c r="C3802" s="2" t="inlineStr">
        <is>
          <t>TENSOR CORREA MULTIFUNCIONAL AVEO</t>
        </is>
      </c>
      <c r="D3802" s="2" t="inlineStr">
        <is>
          <t>GATES</t>
        </is>
      </c>
      <c r="E3802" s="3" t="n">
        <v>15.3846</v>
      </c>
      <c r="F3802" s="4" t="n">
        <v>0.3</v>
      </c>
      <c r="G3802" s="5">
        <f>ROUND(E3802*(1+F3802),2)</f>
        <v>20.00</v>
      </c>
      <c r="H3802" s="5">
        <f>ROUND(G3802*NOTAS!$B$2,2)</f>
        <v>14426.91</v>
      </c>
      <c r="I3802" s="6">
        <f>ROUND(G3802*NOTAS!$B$3,0)</f>
        <v>64977</v>
      </c>
      <c r="J3802" s="2" t="n">
        <v>2</v>
      </c>
    </row>
    <row r="3803">
      <c r="A3803" s="2" t="inlineStr">
        <is>
          <t>38108</t>
        </is>
      </c>
      <c r="B3803" s="2" t="inlineStr"/>
      <c r="C3803" s="2" t="inlineStr">
        <is>
          <t>TENSOR CORREA MULTIFUNCIONAL BLAZER 88/95</t>
        </is>
      </c>
      <c r="D3803" s="2" t="inlineStr">
        <is>
          <t>GATES</t>
        </is>
      </c>
      <c r="E3803" s="3" t="n">
        <v>16.9231</v>
      </c>
      <c r="F3803" s="4" t="n">
        <v>0.3</v>
      </c>
      <c r="G3803" s="5">
        <f>ROUND(E3803*(1+F3803),2)</f>
        <v>22.00</v>
      </c>
      <c r="H3803" s="5">
        <f>ROUND(G3803*NOTAS!$B$2,2)</f>
        <v>15869.60</v>
      </c>
      <c r="I3803" s="6">
        <f>ROUND(G3803*NOTAS!$B$3,0)</f>
        <v>71475</v>
      </c>
      <c r="J3803" s="2" t="n">
        <v>1</v>
      </c>
    </row>
    <row r="3804">
      <c r="A3804" s="2" t="inlineStr">
        <is>
          <t>90500229-A</t>
        </is>
      </c>
      <c r="B3804" s="2" t="inlineStr"/>
      <c r="C3804" s="2" t="inlineStr">
        <is>
          <t>TENSOR CORREA MULTIFUNCIONAL CORSA</t>
        </is>
      </c>
      <c r="D3804" s="2" t="inlineStr">
        <is>
          <t>4USA</t>
        </is>
      </c>
      <c r="E3804" s="3" t="n">
        <v>15.3846</v>
      </c>
      <c r="F3804" s="4" t="n">
        <v>0.3</v>
      </c>
      <c r="G3804" s="5">
        <f>ROUND(E3804*(1+F3804),2)</f>
        <v>20.00</v>
      </c>
      <c r="H3804" s="5">
        <f>ROUND(G3804*NOTAS!$B$2,2)</f>
        <v>14426.91</v>
      </c>
      <c r="I3804" s="6">
        <f>ROUND(G3804*NOTAS!$B$3,0)</f>
        <v>64977</v>
      </c>
      <c r="J3804" s="2" t="n">
        <v>2</v>
      </c>
    </row>
    <row r="3805">
      <c r="A3805" s="2" t="inlineStr">
        <is>
          <t>7S4Q10K018CA</t>
        </is>
      </c>
      <c r="B3805" s="2" t="inlineStr"/>
      <c r="C3805" s="2" t="inlineStr">
        <is>
          <t>TENSOR CORREA MULTIFUNCIONAL FIESTA/KA</t>
        </is>
      </c>
      <c r="D3805" s="2" t="inlineStr">
        <is>
          <t>4USA</t>
        </is>
      </c>
      <c r="E3805" s="3" t="n">
        <v>15.3846</v>
      </c>
      <c r="F3805" s="4" t="n">
        <v>0.3</v>
      </c>
      <c r="G3805" s="5">
        <f>ROUND(E3805*(1+F3805),2)</f>
        <v>20.00</v>
      </c>
      <c r="H3805" s="5">
        <f>ROUND(G3805*NOTAS!$B$2,2)</f>
        <v>14426.91</v>
      </c>
      <c r="I3805" s="6">
        <f>ROUND(G3805*NOTAS!$B$3,0)</f>
        <v>64977</v>
      </c>
      <c r="J3805" s="2" t="n">
        <v>1</v>
      </c>
    </row>
    <row r="3806">
      <c r="A3806" s="2" t="inlineStr">
        <is>
          <t>941591</t>
        </is>
      </c>
      <c r="B3806" s="2" t="inlineStr">
        <is>
          <t>7S4Q10K018AC</t>
        </is>
      </c>
      <c r="C3806" s="2" t="inlineStr">
        <is>
          <t>TENSOR CORREA MULTIFUNCIONAL FIESTA/KA</t>
        </is>
      </c>
      <c r="D3806" s="2" t="inlineStr">
        <is>
          <t>FORD</t>
        </is>
      </c>
      <c r="E3806" s="3" t="n">
        <v>15.3846</v>
      </c>
      <c r="F3806" s="4" t="n">
        <v>0.3</v>
      </c>
      <c r="G3806" s="5">
        <f>ROUND(E3806*(1+F3806),2)</f>
        <v>20.00</v>
      </c>
      <c r="H3806" s="5">
        <f>ROUND(G3806*NOTAS!$B$2,2)</f>
        <v>14426.91</v>
      </c>
      <c r="I3806" s="6">
        <f>ROUND(G3806*NOTAS!$B$3,0)</f>
        <v>64977</v>
      </c>
      <c r="J3806" s="2" t="n">
        <v>2</v>
      </c>
    </row>
    <row r="3807">
      <c r="A3807" s="2" t="inlineStr">
        <is>
          <t>C539</t>
        </is>
      </c>
      <c r="B3807" s="2" t="inlineStr"/>
      <c r="C3807" s="2" t="inlineStr">
        <is>
          <t xml:space="preserve">TENSOR CORREA MULTIFUNCIONAL F-PAL/SIE 1.6 </t>
        </is>
      </c>
      <c r="D3807" s="2" t="inlineStr">
        <is>
          <t>LUCAS</t>
        </is>
      </c>
      <c r="E3807" s="3" t="n">
        <v>15.3846</v>
      </c>
      <c r="F3807" s="4" t="n">
        <v>0.3</v>
      </c>
      <c r="G3807" s="5">
        <f>ROUND(E3807*(1+F3807),2)</f>
        <v>20.00</v>
      </c>
      <c r="H3807" s="5">
        <f>ROUND(G3807*NOTAS!$B$2,2)</f>
        <v>14426.91</v>
      </c>
      <c r="I3807" s="6">
        <f>ROUND(G3807*NOTAS!$B$3,0)</f>
        <v>64977</v>
      </c>
      <c r="J3807" s="2" t="n">
        <v>2</v>
      </c>
    </row>
    <row r="3808">
      <c r="A3808" s="2" t="inlineStr">
        <is>
          <t>96435138</t>
        </is>
      </c>
      <c r="B3808" s="2" t="inlineStr"/>
      <c r="C3808" s="2" t="inlineStr">
        <is>
          <t>TENSOR CORREA MULTIFUNCIONAL OPTRA</t>
        </is>
      </c>
      <c r="D3808" s="2" t="inlineStr">
        <is>
          <t>GATES</t>
        </is>
      </c>
      <c r="E3808" s="3" t="n">
        <v>16.9231</v>
      </c>
      <c r="F3808" s="4" t="n">
        <v>0.3</v>
      </c>
      <c r="G3808" s="5">
        <f>ROUND(E3808*(1+F3808),2)</f>
        <v>22.00</v>
      </c>
      <c r="H3808" s="5">
        <f>ROUND(G3808*NOTAS!$B$2,2)</f>
        <v>15869.60</v>
      </c>
      <c r="I3808" s="6">
        <f>ROUND(G3808*NOTAS!$B$3,0)</f>
        <v>71475</v>
      </c>
      <c r="J3808" s="2" t="n">
        <v>1</v>
      </c>
    </row>
    <row r="3809">
      <c r="A3809" s="2" t="inlineStr">
        <is>
          <t>19266720</t>
        </is>
      </c>
      <c r="B3809" s="2" t="inlineStr">
        <is>
          <t>96350550</t>
        </is>
      </c>
      <c r="C3809" s="2" t="inlineStr">
        <is>
          <t>TENSOR CORREA TIEMPO AVEO</t>
        </is>
      </c>
      <c r="D3809" s="2" t="inlineStr">
        <is>
          <t>ACDELCO</t>
        </is>
      </c>
      <c r="E3809" s="3" t="n">
        <v>13</v>
      </c>
      <c r="F3809" s="4" t="n">
        <v>0.3</v>
      </c>
      <c r="G3809" s="5">
        <f>ROUND(E3809*(1+F3809),2)</f>
        <v>16.90</v>
      </c>
      <c r="H3809" s="5">
        <f>ROUND(G3809*NOTAS!$B$2,2)</f>
        <v>12190.74</v>
      </c>
      <c r="I3809" s="6">
        <f>ROUND(G3809*NOTAS!$B$3,0)</f>
        <v>54906</v>
      </c>
      <c r="J3809" s="2" t="n">
        <v>3</v>
      </c>
    </row>
    <row r="3810">
      <c r="A3810" s="2" t="inlineStr">
        <is>
          <t>F-44818</t>
        </is>
      </c>
      <c r="B3810" s="2" t="inlineStr"/>
      <c r="C3810" s="2" t="inlineStr">
        <is>
          <t>TENSOR CORREA TIEMPO CHEVETTE</t>
        </is>
      </c>
      <c r="D3810" s="2" t="inlineStr">
        <is>
          <t>INA</t>
        </is>
      </c>
      <c r="E3810" s="3" t="n">
        <v>30</v>
      </c>
      <c r="F3810" s="4" t="n">
        <v>0.3</v>
      </c>
      <c r="G3810" s="5">
        <f>ROUND(E3810*(1+F3810),2)</f>
        <v>39.00</v>
      </c>
      <c r="H3810" s="5">
        <f>ROUND(G3810*NOTAS!$B$2,2)</f>
        <v>28132.48</v>
      </c>
      <c r="I3810" s="6">
        <f>ROUND(G3810*NOTAS!$B$3,0)</f>
        <v>126706</v>
      </c>
      <c r="J3810" s="2" t="n">
        <v>6</v>
      </c>
    </row>
    <row r="3811">
      <c r="A3811" s="2" t="inlineStr">
        <is>
          <t>F-232482</t>
        </is>
      </c>
      <c r="B3811" s="2" t="inlineStr"/>
      <c r="C3811" s="2" t="inlineStr">
        <is>
          <t>TENSOR CORREA TIEMPO CORSA/CIELO/LANOS</t>
        </is>
      </c>
      <c r="D3811" s="2" t="inlineStr">
        <is>
          <t>INA</t>
        </is>
      </c>
      <c r="E3811" s="3" t="n">
        <v>23</v>
      </c>
      <c r="F3811" s="4" t="n">
        <v>0.3</v>
      </c>
      <c r="G3811" s="5">
        <f>ROUND(E3811*(1+F3811),2)</f>
        <v>29.90</v>
      </c>
      <c r="H3811" s="5">
        <f>ROUND(G3811*NOTAS!$B$2,2)</f>
        <v>21568.23</v>
      </c>
      <c r="I3811" s="6">
        <f>ROUND(G3811*NOTAS!$B$3,0)</f>
        <v>97141</v>
      </c>
      <c r="J3811" s="2" t="n">
        <v>1</v>
      </c>
    </row>
    <row r="3812">
      <c r="A3812" s="2" t="inlineStr">
        <is>
          <t>90499401</t>
        </is>
      </c>
      <c r="B3812" s="2" t="inlineStr"/>
      <c r="C3812" s="2" t="inlineStr">
        <is>
          <t>TENSOR CORREA TIEMPO CORSA/CIELO/LANOS</t>
        </is>
      </c>
      <c r="D3812" s="2" t="inlineStr">
        <is>
          <t>LITENS</t>
        </is>
      </c>
      <c r="E3812" s="3" t="n">
        <v>10</v>
      </c>
      <c r="F3812" s="4" t="n">
        <v>0.3</v>
      </c>
      <c r="G3812" s="5">
        <f>ROUND(E3812*(1+F3812),2)</f>
        <v>13.00</v>
      </c>
      <c r="H3812" s="5">
        <f>ROUND(G3812*NOTAS!$B$2,2)</f>
        <v>9377.49</v>
      </c>
      <c r="I3812" s="6">
        <f>ROUND(G3812*NOTAS!$B$3,0)</f>
        <v>42235</v>
      </c>
      <c r="J3812" s="2" t="n">
        <v>19</v>
      </c>
    </row>
    <row r="3813">
      <c r="A3813" s="2" t="inlineStr">
        <is>
          <t>90499401A</t>
        </is>
      </c>
      <c r="B3813" s="2" t="inlineStr"/>
      <c r="C3813" s="2" t="inlineStr">
        <is>
          <t>TENSOR CORREA TIEMPO CORSA/CIELO/LANOS</t>
        </is>
      </c>
      <c r="D3813" s="2" t="inlineStr">
        <is>
          <t>4USA</t>
        </is>
      </c>
      <c r="E3813" s="3" t="n">
        <v>8</v>
      </c>
      <c r="F3813" s="4" t="n">
        <v>0.3</v>
      </c>
      <c r="G3813" s="5">
        <f>ROUND(E3813*(1+F3813),2)</f>
        <v>10.40</v>
      </c>
      <c r="H3813" s="5">
        <f>ROUND(G3813*NOTAS!$B$2,2)</f>
        <v>7501.99</v>
      </c>
      <c r="I3813" s="6">
        <f>ROUND(G3813*NOTAS!$B$3,0)</f>
        <v>33788</v>
      </c>
      <c r="J3813" s="2" t="n">
        <v>6</v>
      </c>
    </row>
    <row r="3814">
      <c r="A3814" s="2" t="inlineStr">
        <is>
          <t>VKM15121</t>
        </is>
      </c>
      <c r="B3814" s="2" t="inlineStr"/>
      <c r="C3814" s="2" t="inlineStr">
        <is>
          <t>TENSOR CORREA TIEMPO CORSA/CIELO/LANOS</t>
        </is>
      </c>
      <c r="D3814" s="2" t="inlineStr">
        <is>
          <t>KML</t>
        </is>
      </c>
      <c r="E3814" s="3" t="n">
        <v>8</v>
      </c>
      <c r="F3814" s="4" t="n">
        <v>0.3</v>
      </c>
      <c r="G3814" s="5">
        <f>ROUND(E3814*(1+F3814),2)</f>
        <v>10.40</v>
      </c>
      <c r="H3814" s="5">
        <f>ROUND(G3814*NOTAS!$B$2,2)</f>
        <v>7501.99</v>
      </c>
      <c r="I3814" s="6">
        <f>ROUND(G3814*NOTAS!$B$3,0)</f>
        <v>33788</v>
      </c>
      <c r="J3814" s="2" t="n">
        <v>7</v>
      </c>
    </row>
    <row r="3815">
      <c r="A3815" s="2" t="inlineStr">
        <is>
          <t>4427068</t>
        </is>
      </c>
      <c r="B3815" s="2" t="inlineStr"/>
      <c r="C3815" s="2" t="inlineStr">
        <is>
          <t>TENSOR CORREA TIEMPO F-147/UNO …/89</t>
        </is>
      </c>
      <c r="D3815" s="2" t="inlineStr">
        <is>
          <t>FIAT</t>
        </is>
      </c>
      <c r="E3815" s="3" t="n">
        <v>21</v>
      </c>
      <c r="F3815" s="4" t="n">
        <v>0.3</v>
      </c>
      <c r="G3815" s="5">
        <f>ROUND(E3815*(1+F3815),2)</f>
        <v>27.30</v>
      </c>
      <c r="H3815" s="5">
        <f>ROUND(G3815*NOTAS!$B$2,2)</f>
        <v>19692.73</v>
      </c>
      <c r="I3815" s="6">
        <f>ROUND(G3815*NOTAS!$B$3,0)</f>
        <v>88694</v>
      </c>
      <c r="J3815" s="2" t="n">
        <v>2</v>
      </c>
    </row>
    <row r="3816">
      <c r="A3816" s="2" t="inlineStr">
        <is>
          <t>C505</t>
        </is>
      </c>
      <c r="B3816" s="2" t="inlineStr"/>
      <c r="C3816" s="2" t="inlineStr">
        <is>
          <t>TENSOR CORREA TIEMPO F-147/UNO …/89</t>
        </is>
      </c>
      <c r="D3816" s="2" t="inlineStr">
        <is>
          <t>EUROBERING</t>
        </is>
      </c>
      <c r="E3816" s="3" t="n">
        <v>21</v>
      </c>
      <c r="F3816" s="4" t="n">
        <v>0.3</v>
      </c>
      <c r="G3816" s="5">
        <f>ROUND(E3816*(1+F3816),2)</f>
        <v>27.30</v>
      </c>
      <c r="H3816" s="5">
        <f>ROUND(G3816*NOTAS!$B$2,2)</f>
        <v>19692.73</v>
      </c>
      <c r="I3816" s="6">
        <f>ROUND(G3816*NOTAS!$B$3,0)</f>
        <v>88694</v>
      </c>
      <c r="J3816" s="2" t="n">
        <v>1</v>
      </c>
    </row>
    <row r="3817">
      <c r="A3817" s="2" t="inlineStr">
        <is>
          <t>346</t>
        </is>
      </c>
      <c r="B3817" s="2" t="inlineStr"/>
      <c r="C3817" s="2" t="inlineStr">
        <is>
          <t>TENSOR CORREA TIEMPO F-147/UNO …/89</t>
        </is>
      </c>
      <c r="D3817" s="2" t="inlineStr">
        <is>
          <t>APLIC RESOLIT</t>
        </is>
      </c>
      <c r="E3817" s="3" t="n">
        <v>18</v>
      </c>
      <c r="F3817" s="4" t="n">
        <v>0.3</v>
      </c>
      <c r="G3817" s="5">
        <f>ROUND(E3817*(1+F3817),2)</f>
        <v>23.40</v>
      </c>
      <c r="H3817" s="5">
        <f>ROUND(G3817*NOTAS!$B$2,2)</f>
        <v>16879.49</v>
      </c>
      <c r="I3817" s="6">
        <f>ROUND(G3817*NOTAS!$B$3,0)</f>
        <v>76024</v>
      </c>
      <c r="J3817" s="2" t="n">
        <v>1</v>
      </c>
    </row>
    <row r="3818">
      <c r="A3818" s="2" t="inlineStr">
        <is>
          <t>4427068-1</t>
        </is>
      </c>
      <c r="B3818" s="2" t="inlineStr"/>
      <c r="C3818" s="2" t="inlineStr">
        <is>
          <t>TENSOR CORREA TIEMPO F-147/UNO …/89</t>
        </is>
      </c>
      <c r="D3818" s="2" t="inlineStr">
        <is>
          <t>AXN</t>
        </is>
      </c>
      <c r="E3818" s="3" t="n">
        <v>13</v>
      </c>
      <c r="F3818" s="4" t="n">
        <v>0.3</v>
      </c>
      <c r="G3818" s="5">
        <f>ROUND(E3818*(1+F3818),2)</f>
        <v>16.90</v>
      </c>
      <c r="H3818" s="5">
        <f>ROUND(G3818*NOTAS!$B$2,2)</f>
        <v>12190.74</v>
      </c>
      <c r="I3818" s="6">
        <f>ROUND(G3818*NOTAS!$B$3,0)</f>
        <v>54906</v>
      </c>
      <c r="J3818" s="2" t="n">
        <v>5</v>
      </c>
    </row>
    <row r="3819">
      <c r="A3819" s="2" t="inlineStr">
        <is>
          <t>4427068</t>
        </is>
      </c>
      <c r="B3819" s="2" t="inlineStr"/>
      <c r="C3819" s="2" t="inlineStr">
        <is>
          <t>TENSOR CORREA TIEMPO F-147/UNO …/89</t>
        </is>
      </c>
      <c r="D3819" s="2" t="inlineStr">
        <is>
          <t>KML</t>
        </is>
      </c>
      <c r="E3819" s="3" t="n">
        <v>13</v>
      </c>
      <c r="F3819" s="4" t="n">
        <v>0.3</v>
      </c>
      <c r="G3819" s="5">
        <f>ROUND(E3819*(1+F3819),2)</f>
        <v>16.90</v>
      </c>
      <c r="H3819" s="5">
        <f>ROUND(G3819*NOTAS!$B$2,2)</f>
        <v>12190.74</v>
      </c>
      <c r="I3819" s="6">
        <f>ROUND(G3819*NOTAS!$B$3,0)</f>
        <v>54906</v>
      </c>
      <c r="J3819" s="2" t="n">
        <v>2</v>
      </c>
    </row>
    <row r="3820">
      <c r="A3820" s="2" t="inlineStr">
        <is>
          <t>MB630-12-700E</t>
        </is>
      </c>
      <c r="B3820" s="2" t="inlineStr"/>
      <c r="C3820" s="2" t="inlineStr">
        <is>
          <t>TENSOR CORREA TIEMPO FESTIVA</t>
        </is>
      </c>
      <c r="D3820" s="2" t="inlineStr">
        <is>
          <t>GMB</t>
        </is>
      </c>
      <c r="E3820" s="3" t="n">
        <v>15</v>
      </c>
      <c r="F3820" s="4" t="n">
        <v>0.3</v>
      </c>
      <c r="G3820" s="5">
        <f>ROUND(E3820*(1+F3820),2)</f>
        <v>19.50</v>
      </c>
      <c r="H3820" s="5">
        <f>ROUND(G3820*NOTAS!$B$2,2)</f>
        <v>14066.24</v>
      </c>
      <c r="I3820" s="6">
        <f>ROUND(G3820*NOTAS!$B$3,0)</f>
        <v>63353</v>
      </c>
      <c r="J3820" s="2" t="n">
        <v>3</v>
      </c>
    </row>
    <row r="3821">
      <c r="A3821" s="2" t="inlineStr">
        <is>
          <t>PSA-C003</t>
        </is>
      </c>
      <c r="B3821" s="2" t="inlineStr"/>
      <c r="C3821" s="2" t="inlineStr">
        <is>
          <t>TENSOR CORREA TIEMPO FESTIVA</t>
        </is>
      </c>
      <c r="D3821" s="2" t="inlineStr">
        <is>
          <t>PARTS-MALL</t>
        </is>
      </c>
      <c r="E3821" s="3" t="n">
        <v>15</v>
      </c>
      <c r="F3821" s="4" t="n">
        <v>0.3</v>
      </c>
      <c r="G3821" s="5">
        <f>ROUND(E3821*(1+F3821),2)</f>
        <v>19.50</v>
      </c>
      <c r="H3821" s="5">
        <f>ROUND(G3821*NOTAS!$B$2,2)</f>
        <v>14066.24</v>
      </c>
      <c r="I3821" s="6">
        <f>ROUND(G3821*NOTAS!$B$3,0)</f>
        <v>63353</v>
      </c>
      <c r="J3821" s="2" t="n">
        <v>1</v>
      </c>
    </row>
    <row r="3822">
      <c r="A3822" s="2" t="inlineStr">
        <is>
          <t>F-236854.01</t>
        </is>
      </c>
      <c r="B3822" s="2" t="inlineStr"/>
      <c r="C3822" s="2" t="inlineStr">
        <is>
          <t>TENSOR CORREA TIEMPO F-PAL/SIE 1.3 16V FIRE</t>
        </is>
      </c>
      <c r="D3822" s="2" t="inlineStr">
        <is>
          <t>INA</t>
        </is>
      </c>
      <c r="E3822" s="3" t="n">
        <v>30</v>
      </c>
      <c r="F3822" s="4" t="n">
        <v>0.3</v>
      </c>
      <c r="G3822" s="5">
        <f>ROUND(E3822*(1+F3822),2)</f>
        <v>39.00</v>
      </c>
      <c r="H3822" s="5">
        <f>ROUND(G3822*NOTAS!$B$2,2)</f>
        <v>28132.48</v>
      </c>
      <c r="I3822" s="6">
        <f>ROUND(G3822*NOTAS!$B$3,0)</f>
        <v>126706</v>
      </c>
      <c r="J3822" s="2" t="n">
        <v>5</v>
      </c>
    </row>
    <row r="3823">
      <c r="A3823" s="2" t="inlineStr">
        <is>
          <t>F-556090</t>
        </is>
      </c>
      <c r="B3823" s="2" t="inlineStr"/>
      <c r="C3823" s="2" t="inlineStr">
        <is>
          <t xml:space="preserve">TENSOR CORREA TIEMPO F-PAL/SIE 1.6 16V </t>
        </is>
      </c>
      <c r="D3823" s="2" t="inlineStr">
        <is>
          <t>INA</t>
        </is>
      </c>
      <c r="E3823" s="3" t="n">
        <v>30</v>
      </c>
      <c r="F3823" s="4" t="n">
        <v>0.3</v>
      </c>
      <c r="G3823" s="5">
        <f>ROUND(E3823*(1+F3823),2)</f>
        <v>39.00</v>
      </c>
      <c r="H3823" s="5">
        <f>ROUND(G3823*NOTAS!$B$2,2)</f>
        <v>28132.48</v>
      </c>
      <c r="I3823" s="6">
        <f>ROUND(G3823*NOTAS!$B$3,0)</f>
        <v>126706</v>
      </c>
      <c r="J3823" s="2" t="n">
        <v>3</v>
      </c>
    </row>
    <row r="3824">
      <c r="A3824" s="2" t="inlineStr">
        <is>
          <t>F-110628.3</t>
        </is>
      </c>
      <c r="B3824" s="2" t="inlineStr"/>
      <c r="C3824" s="2" t="inlineStr">
        <is>
          <t>TENSOR CORREA TIEMPO F-PAL/SIE 1.6 16V FIJO</t>
        </is>
      </c>
      <c r="D3824" s="2" t="inlineStr">
        <is>
          <t>INA</t>
        </is>
      </c>
      <c r="E3824" s="3" t="n">
        <v>20</v>
      </c>
      <c r="F3824" s="4" t="n">
        <v>0.3</v>
      </c>
      <c r="G3824" s="5">
        <f>ROUND(E3824*(1+F3824),2)</f>
        <v>26.00</v>
      </c>
      <c r="H3824" s="5">
        <f>ROUND(G3824*NOTAS!$B$2,2)</f>
        <v>18754.99</v>
      </c>
      <c r="I3824" s="6">
        <f>ROUND(G3824*NOTAS!$B$3,0)</f>
        <v>84471</v>
      </c>
      <c r="J3824" s="2" t="n">
        <v>2</v>
      </c>
    </row>
    <row r="3825">
      <c r="A3825" s="2" t="inlineStr">
        <is>
          <t>46400054</t>
        </is>
      </c>
      <c r="B3825" s="2" t="inlineStr"/>
      <c r="C3825" s="2" t="inlineStr">
        <is>
          <t>TENSOR CORREA TIEMPO F-PAL/SIE 1.6 16V FIJO</t>
        </is>
      </c>
      <c r="D3825" s="2" t="inlineStr">
        <is>
          <t>BBR</t>
        </is>
      </c>
      <c r="E3825" s="3" t="n">
        <v>20</v>
      </c>
      <c r="F3825" s="4" t="n">
        <v>0.3</v>
      </c>
      <c r="G3825" s="5">
        <f>ROUND(E3825*(1+F3825),2)</f>
        <v>26.00</v>
      </c>
      <c r="H3825" s="5">
        <f>ROUND(G3825*NOTAS!$B$2,2)</f>
        <v>18754.99</v>
      </c>
      <c r="I3825" s="6">
        <f>ROUND(G3825*NOTAS!$B$3,0)</f>
        <v>84471</v>
      </c>
      <c r="J3825" s="2" t="n">
        <v>1</v>
      </c>
    </row>
    <row r="3826">
      <c r="A3826" s="2" t="inlineStr">
        <is>
          <t>C517</t>
        </is>
      </c>
      <c r="B3826" s="2" t="inlineStr"/>
      <c r="C3826" s="2" t="inlineStr">
        <is>
          <t>TENSOR CORREA TIEMPO F-REGATA AUT/PREMIO</t>
        </is>
      </c>
      <c r="D3826" s="2" t="inlineStr">
        <is>
          <t>EUROBERING</t>
        </is>
      </c>
      <c r="E3826" s="3" t="n">
        <v>10</v>
      </c>
      <c r="F3826" s="4" t="n">
        <v>0.3</v>
      </c>
      <c r="G3826" s="5">
        <f>ROUND(E3826*(1+F3826),2)</f>
        <v>13.00</v>
      </c>
      <c r="H3826" s="5">
        <f>ROUND(G3826*NOTAS!$B$2,2)</f>
        <v>9377.49</v>
      </c>
      <c r="I3826" s="6">
        <f>ROUND(G3826*NOTAS!$B$3,0)</f>
        <v>42235</v>
      </c>
      <c r="J3826" s="2" t="n">
        <v>2</v>
      </c>
    </row>
    <row r="3827">
      <c r="A3827" s="2" t="inlineStr">
        <is>
          <t>CR1667</t>
        </is>
      </c>
      <c r="B3827" s="2" t="inlineStr"/>
      <c r="C3827" s="2" t="inlineStr">
        <is>
          <t>TENSOR CORREA TIEMPO F-REGATA AUT/PREMIO</t>
        </is>
      </c>
      <c r="D3827" s="2" t="inlineStr">
        <is>
          <t>BREDA LORETT</t>
        </is>
      </c>
      <c r="E3827" s="3" t="n">
        <v>8</v>
      </c>
      <c r="F3827" s="4" t="n">
        <v>0.3</v>
      </c>
      <c r="G3827" s="5">
        <f>ROUND(E3827*(1+F3827),2)</f>
        <v>10.40</v>
      </c>
      <c r="H3827" s="5">
        <f>ROUND(G3827*NOTAS!$B$2,2)</f>
        <v>7501.99</v>
      </c>
      <c r="I3827" s="6">
        <f>ROUND(G3827*NOTAS!$B$3,0)</f>
        <v>33788</v>
      </c>
      <c r="J3827" s="2" t="n">
        <v>1</v>
      </c>
    </row>
    <row r="3828">
      <c r="A3828" s="2" t="inlineStr">
        <is>
          <t>C517</t>
        </is>
      </c>
      <c r="B3828" s="2" t="inlineStr"/>
      <c r="C3828" s="2" t="inlineStr">
        <is>
          <t>TENSOR CORREA TIEMPO F-REGATA AUT/PREMIO</t>
        </is>
      </c>
      <c r="D3828" s="2" t="inlineStr">
        <is>
          <t>CORAM</t>
        </is>
      </c>
      <c r="E3828" s="3" t="n">
        <v>10</v>
      </c>
      <c r="F3828" s="4" t="n">
        <v>0.3</v>
      </c>
      <c r="G3828" s="5">
        <f>ROUND(E3828*(1+F3828),2)</f>
        <v>13.00</v>
      </c>
      <c r="H3828" s="5">
        <f>ROUND(G3828*NOTAS!$B$2,2)</f>
        <v>9377.49</v>
      </c>
      <c r="I3828" s="6">
        <f>ROUND(G3828*NOTAS!$B$3,0)</f>
        <v>42235</v>
      </c>
      <c r="J3828" s="2" t="n">
        <v>3</v>
      </c>
    </row>
    <row r="3829">
      <c r="A3829" s="2" t="inlineStr">
        <is>
          <t>C523</t>
        </is>
      </c>
      <c r="B3829" s="2" t="inlineStr"/>
      <c r="C3829" s="2" t="inlineStr">
        <is>
          <t>TENSOR CORREA TIEMPO F-TEMPRA 1.8/REGATA 2.0</t>
        </is>
      </c>
      <c r="D3829" s="2" t="inlineStr">
        <is>
          <t>CORAM</t>
        </is>
      </c>
      <c r="E3829" s="3" t="n">
        <v>10</v>
      </c>
      <c r="F3829" s="4" t="n">
        <v>0.3</v>
      </c>
      <c r="G3829" s="5">
        <f>ROUND(E3829*(1+F3829),2)</f>
        <v>13.00</v>
      </c>
      <c r="H3829" s="5">
        <f>ROUND(G3829*NOTAS!$B$2,2)</f>
        <v>9377.49</v>
      </c>
      <c r="I3829" s="6">
        <f>ROUND(G3829*NOTAS!$B$3,0)</f>
        <v>42235</v>
      </c>
      <c r="J3829" s="2" t="n">
        <v>1</v>
      </c>
    </row>
    <row r="3830">
      <c r="A3830" s="2" t="inlineStr">
        <is>
          <t>C532</t>
        </is>
      </c>
      <c r="B3830" s="2" t="inlineStr"/>
      <c r="C3830" s="2" t="inlineStr">
        <is>
          <t>TENSOR CORREA TIEMPO F-TEMPRA 2.0</t>
        </is>
      </c>
      <c r="D3830" s="2" t="inlineStr">
        <is>
          <t>CORAM</t>
        </is>
      </c>
      <c r="E3830" s="3" t="n">
        <v>10</v>
      </c>
      <c r="F3830" s="4" t="n">
        <v>0.3</v>
      </c>
      <c r="G3830" s="5">
        <f>ROUND(E3830*(1+F3830),2)</f>
        <v>13.00</v>
      </c>
      <c r="H3830" s="5">
        <f>ROUND(G3830*NOTAS!$B$2,2)</f>
        <v>9377.49</v>
      </c>
      <c r="I3830" s="6">
        <f>ROUND(G3830*NOTAS!$B$3,0)</f>
        <v>42235</v>
      </c>
      <c r="J3830" s="2" t="n">
        <v>3</v>
      </c>
    </row>
    <row r="3831">
      <c r="A3831" s="2" t="inlineStr">
        <is>
          <t>F-110806.08</t>
        </is>
      </c>
      <c r="B3831" s="2" t="inlineStr"/>
      <c r="C3831" s="2" t="inlineStr">
        <is>
          <t>TENSOR CORREA TIEMPO F-UNO FIRE</t>
        </is>
      </c>
      <c r="D3831" s="2" t="inlineStr">
        <is>
          <t>INA</t>
        </is>
      </c>
      <c r="E3831" s="3" t="n">
        <v>25</v>
      </c>
      <c r="F3831" s="4" t="n">
        <v>0.3</v>
      </c>
      <c r="G3831" s="5">
        <f>ROUND(E3831*(1+F3831),2)</f>
        <v>32.50</v>
      </c>
      <c r="H3831" s="5">
        <f>ROUND(G3831*NOTAS!$B$2,2)</f>
        <v>23443.73</v>
      </c>
      <c r="I3831" s="6">
        <f>ROUND(G3831*NOTAS!$B$3,0)</f>
        <v>105588</v>
      </c>
      <c r="J3831" s="2" t="n">
        <v>3</v>
      </c>
    </row>
    <row r="3832">
      <c r="A3832" s="2" t="inlineStr">
        <is>
          <t>7732</t>
        </is>
      </c>
      <c r="B3832" s="2" t="inlineStr"/>
      <c r="C3832" s="2" t="inlineStr">
        <is>
          <t>TENSOR CORREA TIEMPO F-UNO/PALIO 1.3 8V</t>
        </is>
      </c>
      <c r="D3832" s="2" t="inlineStr">
        <is>
          <t>NYTRON</t>
        </is>
      </c>
      <c r="E3832" s="3" t="n">
        <v>5</v>
      </c>
      <c r="F3832" s="4" t="n">
        <v>0.3</v>
      </c>
      <c r="G3832" s="5">
        <f>ROUND(E3832*(1+F3832),2)</f>
        <v>6.50</v>
      </c>
      <c r="H3832" s="5">
        <f>ROUND(G3832*NOTAS!$B$2,2)</f>
        <v>4688.75</v>
      </c>
      <c r="I3832" s="6">
        <f>ROUND(G3832*NOTAS!$B$3,0)</f>
        <v>21118</v>
      </c>
      <c r="J3832" s="2" t="n">
        <v>2</v>
      </c>
    </row>
    <row r="3833">
      <c r="A3833" s="2" t="inlineStr">
        <is>
          <t>CR1654</t>
        </is>
      </c>
      <c r="B3833" s="2" t="inlineStr"/>
      <c r="C3833" s="2" t="inlineStr">
        <is>
          <t>TENSOR CORREA TIEMPO F-UNO/PALIO 1.3 8V</t>
        </is>
      </c>
      <c r="D3833" s="2" t="inlineStr">
        <is>
          <t>BREDA LORETT</t>
        </is>
      </c>
      <c r="E3833" s="3" t="n">
        <v>6</v>
      </c>
      <c r="F3833" s="4" t="n">
        <v>0.3</v>
      </c>
      <c r="G3833" s="5">
        <f>ROUND(E3833*(1+F3833),2)</f>
        <v>7.80</v>
      </c>
      <c r="H3833" s="5">
        <f>ROUND(G3833*NOTAS!$B$2,2)</f>
        <v>5626.50</v>
      </c>
      <c r="I3833" s="6">
        <f>ROUND(G3833*NOTAS!$B$3,0)</f>
        <v>25341</v>
      </c>
      <c r="J3833" s="2" t="n">
        <v>2</v>
      </c>
    </row>
    <row r="3834">
      <c r="A3834" s="2" t="inlineStr">
        <is>
          <t>F-113181.01</t>
        </is>
      </c>
      <c r="B3834" s="2" t="inlineStr"/>
      <c r="C3834" s="2" t="inlineStr">
        <is>
          <t>TENSOR CORREA TIEMPO F-UNO/PALIO 1.3 8V</t>
        </is>
      </c>
      <c r="D3834" s="2" t="inlineStr">
        <is>
          <t>INA</t>
        </is>
      </c>
      <c r="E3834" s="3" t="n">
        <v>8</v>
      </c>
      <c r="F3834" s="4" t="n">
        <v>0.3</v>
      </c>
      <c r="G3834" s="5">
        <f>ROUND(E3834*(1+F3834),2)</f>
        <v>10.40</v>
      </c>
      <c r="H3834" s="5">
        <f>ROUND(G3834*NOTAS!$B$2,2)</f>
        <v>7501.99</v>
      </c>
      <c r="I3834" s="6">
        <f>ROUND(G3834*NOTAS!$B$3,0)</f>
        <v>33788</v>
      </c>
      <c r="J3834" s="2" t="n">
        <v>5</v>
      </c>
    </row>
    <row r="3835">
      <c r="A3835" s="2" t="inlineStr">
        <is>
          <t>441754D</t>
        </is>
      </c>
      <c r="B3835" s="2" t="inlineStr">
        <is>
          <t>5972277</t>
        </is>
      </c>
      <c r="C3835" s="2" t="inlineStr">
        <is>
          <t>TENSOR CORREA TIEMPO F-UNO/PALIO 1.3 8V</t>
        </is>
      </c>
      <c r="D3835" s="2" t="inlineStr">
        <is>
          <t>KML</t>
        </is>
      </c>
      <c r="E3835" s="3" t="n">
        <v>5</v>
      </c>
      <c r="F3835" s="4" t="n">
        <v>0.3</v>
      </c>
      <c r="G3835" s="5">
        <f>ROUND(E3835*(1+F3835),2)</f>
        <v>6.50</v>
      </c>
      <c r="H3835" s="5">
        <f>ROUND(G3835*NOTAS!$B$2,2)</f>
        <v>4688.75</v>
      </c>
      <c r="I3835" s="6">
        <f>ROUND(G3835*NOTAS!$B$3,0)</f>
        <v>21118</v>
      </c>
      <c r="J3835" s="2" t="n">
        <v>10</v>
      </c>
    </row>
    <row r="3836">
      <c r="A3836" s="2" t="inlineStr">
        <is>
          <t>5972277-1</t>
        </is>
      </c>
      <c r="B3836" s="2" t="inlineStr"/>
      <c r="C3836" s="2" t="inlineStr">
        <is>
          <t>TENSOR CORREA TIEMPO F-UNO/PALIO 1.3 8V</t>
        </is>
      </c>
      <c r="D3836" s="2" t="inlineStr">
        <is>
          <t>AXN</t>
        </is>
      </c>
      <c r="E3836" s="3" t="n">
        <v>5</v>
      </c>
      <c r="F3836" s="4" t="n">
        <v>0.3</v>
      </c>
      <c r="G3836" s="5">
        <f>ROUND(E3836*(1+F3836),2)</f>
        <v>6.50</v>
      </c>
      <c r="H3836" s="5">
        <f>ROUND(G3836*NOTAS!$B$2,2)</f>
        <v>4688.75</v>
      </c>
      <c r="I3836" s="6">
        <f>ROUND(G3836*NOTAS!$B$3,0)</f>
        <v>21118</v>
      </c>
      <c r="J3836" s="2" t="n">
        <v>3</v>
      </c>
    </row>
    <row r="3837">
      <c r="A3837" s="2" t="inlineStr">
        <is>
          <t>24410-21010</t>
        </is>
      </c>
      <c r="B3837" s="2" t="inlineStr"/>
      <c r="C3837" s="2" t="inlineStr">
        <is>
          <t>TENSOR CORREA TIEMPO HYUNDAI ACCENT/EXCEL</t>
        </is>
      </c>
      <c r="D3837" s="2" t="inlineStr">
        <is>
          <t>KML</t>
        </is>
      </c>
      <c r="E3837" s="3" t="n">
        <v>10</v>
      </c>
      <c r="F3837" s="4" t="n">
        <v>0.3</v>
      </c>
      <c r="G3837" s="5">
        <f>ROUND(E3837*(1+F3837),2)</f>
        <v>13.00</v>
      </c>
      <c r="H3837" s="5">
        <f>ROUND(G3837*NOTAS!$B$2,2)</f>
        <v>9377.49</v>
      </c>
      <c r="I3837" s="6">
        <f>ROUND(G3837*NOTAS!$B$3,0)</f>
        <v>42235</v>
      </c>
      <c r="J3837" s="2" t="n">
        <v>1</v>
      </c>
    </row>
    <row r="3838">
      <c r="A3838" s="2" t="inlineStr">
        <is>
          <t>244102X701</t>
        </is>
      </c>
      <c r="B3838" s="2" t="inlineStr">
        <is>
          <t>PSB-B003</t>
        </is>
      </c>
      <c r="C3838" s="2" t="inlineStr">
        <is>
          <t>TENSOR CORREA TIEMPO KIA RIO 1.5</t>
        </is>
      </c>
      <c r="D3838" s="2" t="inlineStr">
        <is>
          <t>PARTS-MALL</t>
        </is>
      </c>
      <c r="E3838" s="3" t="n">
        <v>13</v>
      </c>
      <c r="F3838" s="4" t="n">
        <v>0.3</v>
      </c>
      <c r="G3838" s="5">
        <f>ROUND(E3838*(1+F3838),2)</f>
        <v>16.90</v>
      </c>
      <c r="H3838" s="5">
        <f>ROUND(G3838*NOTAS!$B$2,2)</f>
        <v>12190.74</v>
      </c>
      <c r="I3838" s="6">
        <f>ROUND(G3838*NOTAS!$B$3,0)</f>
        <v>54906</v>
      </c>
    </row>
    <row r="3839">
      <c r="A3839" s="2" t="inlineStr">
        <is>
          <t>F-232481</t>
        </is>
      </c>
      <c r="B3839" s="2" t="inlineStr"/>
      <c r="C3839" s="2" t="inlineStr">
        <is>
          <t>TENSOR CORREA TIEMPO OPTRA DESING</t>
        </is>
      </c>
      <c r="D3839" s="2" t="inlineStr">
        <is>
          <t>INA</t>
        </is>
      </c>
      <c r="E3839" s="3" t="n">
        <v>20</v>
      </c>
      <c r="F3839" s="4" t="n">
        <v>0.3</v>
      </c>
      <c r="G3839" s="5">
        <f>ROUND(E3839*(1+F3839),2)</f>
        <v>26.00</v>
      </c>
      <c r="H3839" s="5">
        <f>ROUND(G3839*NOTAS!$B$2,2)</f>
        <v>18754.99</v>
      </c>
      <c r="I3839" s="6">
        <f>ROUND(G3839*NOTAS!$B$3,0)</f>
        <v>84471</v>
      </c>
      <c r="J3839" s="2" t="n">
        <v>3</v>
      </c>
    </row>
    <row r="3840">
      <c r="A3840" s="2" t="inlineStr">
        <is>
          <t>C750</t>
        </is>
      </c>
      <c r="B3840" s="2" t="inlineStr"/>
      <c r="C3840" s="2" t="inlineStr">
        <is>
          <t>TENSOR CORREA TIEMPO OPTRA DESING</t>
        </is>
      </c>
      <c r="D3840" s="2" t="inlineStr">
        <is>
          <t>CORAM</t>
        </is>
      </c>
      <c r="E3840" s="3" t="n">
        <v>24</v>
      </c>
      <c r="F3840" s="4" t="n">
        <v>0.3</v>
      </c>
      <c r="G3840" s="5">
        <f>ROUND(E3840*(1+F3840),2)</f>
        <v>31.20</v>
      </c>
      <c r="H3840" s="5">
        <f>ROUND(G3840*NOTAS!$B$2,2)</f>
        <v>22505.98</v>
      </c>
      <c r="I3840" s="6">
        <f>ROUND(G3840*NOTAS!$B$3,0)</f>
        <v>101365</v>
      </c>
      <c r="J3840" s="2" t="n">
        <v>1</v>
      </c>
    </row>
    <row r="3841">
      <c r="A3841" s="2" t="inlineStr">
        <is>
          <t>F-232488</t>
        </is>
      </c>
      <c r="B3841" s="2" t="inlineStr"/>
      <c r="C3841" s="2" t="inlineStr">
        <is>
          <t>TENSOR CORREA TIEMPO OPTRA LIMITED/F-PAL/SIE 1.8</t>
        </is>
      </c>
      <c r="D3841" s="2" t="inlineStr">
        <is>
          <t>INA</t>
        </is>
      </c>
      <c r="E3841" s="3" t="n">
        <v>20</v>
      </c>
      <c r="F3841" s="4" t="n">
        <v>0.3</v>
      </c>
      <c r="G3841" s="5">
        <f>ROUND(E3841*(1+F3841),2)</f>
        <v>26.00</v>
      </c>
      <c r="H3841" s="5">
        <f>ROUND(G3841*NOTAS!$B$2,2)</f>
        <v>18754.99</v>
      </c>
      <c r="I3841" s="6">
        <f>ROUND(G3841*NOTAS!$B$3,0)</f>
        <v>84471</v>
      </c>
      <c r="J3841" s="2" t="n">
        <v>16</v>
      </c>
    </row>
    <row r="3842">
      <c r="A3842" s="2" t="inlineStr">
        <is>
          <t>7086687</t>
        </is>
      </c>
      <c r="B3842" s="2" t="inlineStr"/>
      <c r="C3842" s="2" t="inlineStr">
        <is>
          <t>TENSOR CORREA TIEMPO OPTRA LIMITED/F-PAL/SIE 1.8</t>
        </is>
      </c>
      <c r="D3842" s="2" t="inlineStr">
        <is>
          <t>FIAT</t>
        </is>
      </c>
      <c r="E3842" s="3" t="n">
        <v>30</v>
      </c>
      <c r="F3842" s="4" t="n">
        <v>0.3</v>
      </c>
      <c r="G3842" s="5">
        <f>ROUND(E3842*(1+F3842),2)</f>
        <v>39.00</v>
      </c>
      <c r="H3842" s="5">
        <f>ROUND(G3842*NOTAS!$B$2,2)</f>
        <v>28132.48</v>
      </c>
      <c r="I3842" s="6">
        <f>ROUND(G3842*NOTAS!$B$3,0)</f>
        <v>126706</v>
      </c>
      <c r="J3842" s="2" t="n">
        <v>1</v>
      </c>
    </row>
    <row r="3843">
      <c r="A3843" s="2" t="inlineStr">
        <is>
          <t>C704</t>
        </is>
      </c>
      <c r="B3843" s="2" t="inlineStr"/>
      <c r="C3843" s="2" t="inlineStr">
        <is>
          <t>TENSOR CORREA TIEMPO R-18/FUEGO/21</t>
        </is>
      </c>
      <c r="D3843" s="2" t="inlineStr">
        <is>
          <t>CORAM</t>
        </is>
      </c>
      <c r="E3843" s="3" t="n">
        <v>19</v>
      </c>
      <c r="F3843" s="4" t="n">
        <v>0.3</v>
      </c>
      <c r="G3843" s="5">
        <f>ROUND(E3843*(1+F3843),2)</f>
        <v>24.70</v>
      </c>
      <c r="H3843" s="5">
        <f>ROUND(G3843*NOTAS!$B$2,2)</f>
        <v>17817.24</v>
      </c>
      <c r="I3843" s="6">
        <f>ROUND(G3843*NOTAS!$B$3,0)</f>
        <v>80247</v>
      </c>
      <c r="J3843" s="2" t="n">
        <v>2</v>
      </c>
    </row>
    <row r="3844">
      <c r="A3844" s="2" t="inlineStr">
        <is>
          <t>C602</t>
        </is>
      </c>
      <c r="B3844" s="2" t="inlineStr"/>
      <c r="C3844" s="2" t="inlineStr">
        <is>
          <t>TENSOR CORREA TIEMPO R-18/FUEGO/21</t>
        </is>
      </c>
      <c r="D3844" s="2" t="inlineStr">
        <is>
          <t>CORAM</t>
        </is>
      </c>
      <c r="E3844" s="3" t="n">
        <v>19</v>
      </c>
      <c r="F3844" s="4" t="n">
        <v>0.3</v>
      </c>
      <c r="G3844" s="5">
        <f>ROUND(E3844*(1+F3844),2)</f>
        <v>24.70</v>
      </c>
      <c r="H3844" s="5">
        <f>ROUND(G3844*NOTAS!$B$2,2)</f>
        <v>17817.24</v>
      </c>
      <c r="I3844" s="6">
        <f>ROUND(G3844*NOTAS!$B$3,0)</f>
        <v>80247</v>
      </c>
      <c r="J3844" s="2" t="n">
        <v>2</v>
      </c>
    </row>
    <row r="3845">
      <c r="A3845" s="2" t="inlineStr">
        <is>
          <t>EG70264</t>
        </is>
      </c>
      <c r="B3845" s="2" t="inlineStr">
        <is>
          <t>7700736085</t>
        </is>
      </c>
      <c r="C3845" s="2" t="inlineStr">
        <is>
          <t>TENSOR CORREA TIEMPO R-19 1.4</t>
        </is>
      </c>
      <c r="D3845" s="2" t="inlineStr">
        <is>
          <t>4USA</t>
        </is>
      </c>
      <c r="E3845" s="3" t="n">
        <v>8</v>
      </c>
      <c r="F3845" s="4" t="n">
        <v>0.3</v>
      </c>
      <c r="G3845" s="5">
        <f>ROUND(E3845*(1+F3845),2)</f>
        <v>10.40</v>
      </c>
      <c r="H3845" s="5">
        <f>ROUND(G3845*NOTAS!$B$2,2)</f>
        <v>7501.99</v>
      </c>
      <c r="I3845" s="6">
        <f>ROUND(G3845*NOTAS!$B$3,0)</f>
        <v>33788</v>
      </c>
      <c r="J3845" s="2" t="n">
        <v>15</v>
      </c>
    </row>
    <row r="3846">
      <c r="A3846" s="2" t="inlineStr">
        <is>
          <t>9863</t>
        </is>
      </c>
      <c r="B3846" s="2" t="inlineStr"/>
      <c r="C3846" s="2" t="inlineStr">
        <is>
          <t>TENSOR CORREA TIEMPO R-19 1.4</t>
        </is>
      </c>
      <c r="D3846" s="2" t="inlineStr">
        <is>
          <t>KOYO</t>
        </is>
      </c>
      <c r="E3846" s="3" t="n">
        <v>15</v>
      </c>
      <c r="F3846" s="4" t="n">
        <v>0.3</v>
      </c>
      <c r="G3846" s="5">
        <f>ROUND(E3846*(1+F3846),2)</f>
        <v>19.50</v>
      </c>
      <c r="H3846" s="5">
        <f>ROUND(G3846*NOTAS!$B$2,2)</f>
        <v>14066.24</v>
      </c>
      <c r="I3846" s="6">
        <f>ROUND(G3846*NOTAS!$B$3,0)</f>
        <v>63353</v>
      </c>
      <c r="J3846" s="2" t="n">
        <v>1</v>
      </c>
    </row>
    <row r="3847">
      <c r="A3847" s="2" t="inlineStr">
        <is>
          <t>C702</t>
        </is>
      </c>
      <c r="B3847" s="2" t="inlineStr"/>
      <c r="C3847" s="2" t="inlineStr">
        <is>
          <t>TENSOR CORREA TIEMPO R-19 1.4</t>
        </is>
      </c>
      <c r="D3847" s="2" t="inlineStr">
        <is>
          <t>CORAM</t>
        </is>
      </c>
      <c r="E3847" s="3" t="n">
        <v>12</v>
      </c>
      <c r="F3847" s="4" t="n">
        <v>0.3</v>
      </c>
      <c r="G3847" s="5">
        <f>ROUND(E3847*(1+F3847),2)</f>
        <v>15.60</v>
      </c>
      <c r="H3847" s="5">
        <f>ROUND(G3847*NOTAS!$B$2,2)</f>
        <v>11252.99</v>
      </c>
      <c r="I3847" s="6">
        <f>ROUND(G3847*NOTAS!$B$3,0)</f>
        <v>50682</v>
      </c>
      <c r="J3847" s="2" t="n">
        <v>2</v>
      </c>
    </row>
    <row r="3848">
      <c r="A3848" s="2" t="inlineStr">
        <is>
          <t>C700</t>
        </is>
      </c>
      <c r="B3848" s="2" t="inlineStr"/>
      <c r="C3848" s="2" t="inlineStr">
        <is>
          <t>TENSOR CORREA TIEMPO R-19 1.7</t>
        </is>
      </c>
      <c r="D3848" s="2" t="inlineStr">
        <is>
          <t>EUROBERING</t>
        </is>
      </c>
      <c r="E3848" s="3" t="n">
        <v>10</v>
      </c>
      <c r="F3848" s="4" t="n">
        <v>0.3</v>
      </c>
      <c r="G3848" s="5">
        <f>ROUND(E3848*(1+F3848),2)</f>
        <v>13.00</v>
      </c>
      <c r="H3848" s="5">
        <f>ROUND(G3848*NOTAS!$B$2,2)</f>
        <v>9377.49</v>
      </c>
      <c r="I3848" s="6">
        <f>ROUND(G3848*NOTAS!$B$3,0)</f>
        <v>42235</v>
      </c>
      <c r="J3848" s="2" t="n">
        <v>7</v>
      </c>
    </row>
    <row r="3849">
      <c r="A3849" s="2" t="inlineStr">
        <is>
          <t>VKM16003</t>
        </is>
      </c>
      <c r="B3849" s="2" t="inlineStr"/>
      <c r="C3849" s="2" t="inlineStr">
        <is>
          <t>TENSOR CORREA TIEMPO R-SYMBOL/LOGAN</t>
        </is>
      </c>
      <c r="D3849" s="2" t="inlineStr">
        <is>
          <t>SKF</t>
        </is>
      </c>
      <c r="E3849" s="3" t="n">
        <v>15</v>
      </c>
      <c r="F3849" s="4" t="n">
        <v>0.3</v>
      </c>
      <c r="G3849" s="5">
        <f>ROUND(E3849*(1+F3849),2)</f>
        <v>19.50</v>
      </c>
      <c r="H3849" s="5">
        <f>ROUND(G3849*NOTAS!$B$2,2)</f>
        <v>14066.24</v>
      </c>
      <c r="I3849" s="6">
        <f>ROUND(G3849*NOTAS!$B$3,0)</f>
        <v>63353</v>
      </c>
      <c r="J3849" s="2" t="n">
        <v>5</v>
      </c>
    </row>
    <row r="3850">
      <c r="A3850" s="2" t="inlineStr">
        <is>
          <t>8150027000</t>
        </is>
      </c>
      <c r="B3850" s="2" t="inlineStr"/>
      <c r="C3850" s="2" t="inlineStr">
        <is>
          <t>TENSOR CORREA TIEMPO R-SYMBOL/LOGAN</t>
        </is>
      </c>
      <c r="D3850" s="2" t="inlineStr">
        <is>
          <t>NPPN</t>
        </is>
      </c>
      <c r="E3850" s="3" t="n">
        <v>8</v>
      </c>
      <c r="F3850" s="4" t="n">
        <v>0.3</v>
      </c>
      <c r="G3850" s="5">
        <f>ROUND(E3850*(1+F3850),2)</f>
        <v>10.40</v>
      </c>
      <c r="H3850" s="5">
        <f>ROUND(G3850*NOTAS!$B$2,2)</f>
        <v>7501.99</v>
      </c>
      <c r="I3850" s="6">
        <f>ROUND(G3850*NOTAS!$B$3,0)</f>
        <v>33788</v>
      </c>
      <c r="J3850" s="2" t="n">
        <v>1</v>
      </c>
    </row>
    <row r="3851">
      <c r="A3851" s="2" t="inlineStr">
        <is>
          <t>PU105515ARR1H</t>
        </is>
      </c>
      <c r="B3851" s="2" t="inlineStr"/>
      <c r="C3851" s="2" t="inlineStr">
        <is>
          <t>TENSOR CORREA TIEMPO R-SYMBOL/LOGAN</t>
        </is>
      </c>
      <c r="D3851" s="2" t="inlineStr">
        <is>
          <t>KOYO</t>
        </is>
      </c>
      <c r="E3851" s="3" t="n">
        <v>15</v>
      </c>
      <c r="F3851" s="4" t="n">
        <v>0.3</v>
      </c>
      <c r="G3851" s="5">
        <f>ROUND(E3851*(1+F3851),2)</f>
        <v>19.50</v>
      </c>
      <c r="H3851" s="5">
        <f>ROUND(G3851*NOTAS!$B$2,2)</f>
        <v>14066.24</v>
      </c>
      <c r="I3851" s="6">
        <f>ROUND(G3851*NOTAS!$B$3,0)</f>
        <v>63353</v>
      </c>
      <c r="J3851" s="2" t="n">
        <v>1</v>
      </c>
    </row>
    <row r="3852">
      <c r="A3852" s="2" t="inlineStr">
        <is>
          <t>F-123154.03</t>
        </is>
      </c>
      <c r="B3852" s="2" t="inlineStr"/>
      <c r="C3852" s="2" t="inlineStr">
        <is>
          <t>TENSOR CORREA TIEMPO R-SYMBOL/LOGAN</t>
        </is>
      </c>
      <c r="D3852" s="2" t="inlineStr">
        <is>
          <t>INA</t>
        </is>
      </c>
      <c r="E3852" s="3" t="n">
        <v>15</v>
      </c>
      <c r="F3852" s="4" t="n">
        <v>0.3</v>
      </c>
      <c r="G3852" s="5">
        <f>ROUND(E3852*(1+F3852),2)</f>
        <v>19.50</v>
      </c>
      <c r="H3852" s="5">
        <f>ROUND(G3852*NOTAS!$B$2,2)</f>
        <v>14066.24</v>
      </c>
      <c r="I3852" s="6">
        <f>ROUND(G3852*NOTAS!$B$3,0)</f>
        <v>63353</v>
      </c>
      <c r="J3852" s="2" t="n">
        <v>2</v>
      </c>
    </row>
    <row r="3853">
      <c r="A3853" s="2" t="inlineStr">
        <is>
          <t>94580139</t>
        </is>
      </c>
      <c r="B3853" s="2" t="inlineStr"/>
      <c r="C3853" s="2" t="inlineStr">
        <is>
          <t>TENSOR CORREA TIEMPO SPARK</t>
        </is>
      </c>
      <c r="D3853" s="2" t="inlineStr">
        <is>
          <t>ACDC</t>
        </is>
      </c>
      <c r="E3853" s="3" t="n">
        <v>7</v>
      </c>
      <c r="F3853" s="4" t="n">
        <v>0.3</v>
      </c>
      <c r="G3853" s="5">
        <f>ROUND(E3853*(1+F3853),2)</f>
        <v>9.10</v>
      </c>
      <c r="H3853" s="5">
        <f>ROUND(G3853*NOTAS!$B$2,2)</f>
        <v>6564.24</v>
      </c>
      <c r="I3853" s="6">
        <f>ROUND(G3853*NOTAS!$B$3,0)</f>
        <v>29565</v>
      </c>
      <c r="J3853" s="2" t="n">
        <v>1</v>
      </c>
    </row>
    <row r="3854">
      <c r="A3854" s="2" t="inlineStr">
        <is>
          <t>531011220</t>
        </is>
      </c>
      <c r="B3854" s="2" t="inlineStr"/>
      <c r="C3854" s="2" t="inlineStr">
        <is>
          <t>TENSOR CORREA TIEMPO SPARK</t>
        </is>
      </c>
      <c r="D3854" s="2" t="inlineStr">
        <is>
          <t>INA</t>
        </is>
      </c>
      <c r="E3854" s="3" t="n">
        <v>12</v>
      </c>
      <c r="F3854" s="4" t="n">
        <v>0.3</v>
      </c>
      <c r="G3854" s="5">
        <f>ROUND(E3854*(1+F3854),2)</f>
        <v>15.60</v>
      </c>
      <c r="H3854" s="5">
        <f>ROUND(G3854*NOTAS!$B$2,2)</f>
        <v>11252.99</v>
      </c>
      <c r="I3854" s="6">
        <f>ROUND(G3854*NOTAS!$B$3,0)</f>
        <v>50682</v>
      </c>
      <c r="J3854" s="2" t="n">
        <v>2</v>
      </c>
    </row>
    <row r="3855">
      <c r="A3855" s="2" t="inlineStr">
        <is>
          <t>12810-82003</t>
        </is>
      </c>
      <c r="B3855" s="2" t="inlineStr"/>
      <c r="C3855" s="2" t="inlineStr">
        <is>
          <t>TENSOR CORREA TIEMPO SWIFT 1.3 89/94</t>
        </is>
      </c>
      <c r="D3855" s="2" t="inlineStr">
        <is>
          <t>JAPON</t>
        </is>
      </c>
      <c r="E3855" s="3" t="n">
        <v>10</v>
      </c>
      <c r="F3855" s="4" t="n">
        <v>0.3</v>
      </c>
      <c r="G3855" s="5">
        <f>ROUND(E3855*(1+F3855),2)</f>
        <v>13.00</v>
      </c>
      <c r="H3855" s="5">
        <f>ROUND(G3855*NOTAS!$B$2,2)</f>
        <v>9377.49</v>
      </c>
      <c r="I3855" s="6">
        <f>ROUND(G3855*NOTAS!$B$3,0)</f>
        <v>42235</v>
      </c>
      <c r="J3855" s="2" t="n">
        <v>1</v>
      </c>
    </row>
    <row r="3856">
      <c r="A3856" s="2" t="inlineStr">
        <is>
          <t>GT80640</t>
        </is>
      </c>
      <c r="B3856" s="2" t="inlineStr"/>
      <c r="C3856" s="2" t="inlineStr">
        <is>
          <t>TENSOR CORREA TIEMPO SWIFT 1.6</t>
        </is>
      </c>
      <c r="D3856" s="2" t="inlineStr">
        <is>
          <t>GMB</t>
        </is>
      </c>
      <c r="E3856" s="3" t="n">
        <v>15</v>
      </c>
      <c r="F3856" s="4" t="n">
        <v>0.3</v>
      </c>
      <c r="G3856" s="5">
        <f>ROUND(E3856*(1+F3856),2)</f>
        <v>19.50</v>
      </c>
      <c r="H3856" s="5">
        <f>ROUND(G3856*NOTAS!$B$2,2)</f>
        <v>14066.24</v>
      </c>
      <c r="I3856" s="6">
        <f>ROUND(G3856*NOTAS!$B$3,0)</f>
        <v>63353</v>
      </c>
      <c r="J3856" s="2" t="n">
        <v>3</v>
      </c>
    </row>
    <row r="3857">
      <c r="A3857" s="2" t="inlineStr"/>
      <c r="B3857" s="2" t="inlineStr"/>
      <c r="C3857" s="2" t="inlineStr">
        <is>
          <t>TERMINAL DIRECCION CHEVETTE</t>
        </is>
      </c>
      <c r="D3857" s="2" t="inlineStr">
        <is>
          <t>RTS</t>
        </is>
      </c>
      <c r="E3857" s="3" t="n">
        <v>7</v>
      </c>
      <c r="F3857" s="4" t="n">
        <v>0.3</v>
      </c>
      <c r="G3857" s="5">
        <f>ROUND(E3857*(1+F3857),2)</f>
        <v>9.10</v>
      </c>
      <c r="H3857" s="5">
        <f>ROUND(G3857*NOTAS!$B$2,2)</f>
        <v>6564.24</v>
      </c>
      <c r="I3857" s="6">
        <f>ROUND(G3857*NOTAS!$B$3,0)</f>
        <v>29565</v>
      </c>
      <c r="J3857" s="2" t="n">
        <v>1</v>
      </c>
    </row>
    <row r="3858">
      <c r="A3858" s="2" t="inlineStr"/>
      <c r="B3858" s="2" t="inlineStr"/>
      <c r="C3858" s="2" t="inlineStr">
        <is>
          <t>TERMINAL DIRECCION CHEVETTE</t>
        </is>
      </c>
      <c r="D3858" s="2" t="inlineStr">
        <is>
          <t>DRIVEX</t>
        </is>
      </c>
      <c r="E3858" s="3" t="n">
        <v>5</v>
      </c>
      <c r="F3858" s="4" t="n">
        <v>0.3</v>
      </c>
      <c r="G3858" s="5">
        <f>ROUND(E3858*(1+F3858),2)</f>
        <v>6.50</v>
      </c>
      <c r="H3858" s="5">
        <f>ROUND(G3858*NOTAS!$B$2,2)</f>
        <v>4688.75</v>
      </c>
      <c r="I3858" s="6">
        <f>ROUND(G3858*NOTAS!$B$3,0)</f>
        <v>21118</v>
      </c>
      <c r="J3858" s="2" t="n">
        <v>13</v>
      </c>
    </row>
    <row r="3859">
      <c r="A3859" s="2" t="inlineStr">
        <is>
          <t>180302</t>
        </is>
      </c>
      <c r="B3859" s="2" t="inlineStr"/>
      <c r="C3859" s="2" t="inlineStr">
        <is>
          <t>TERMINAL DIRECCION CHEVETTE</t>
        </is>
      </c>
      <c r="D3859" s="2" t="inlineStr">
        <is>
          <t>OCAP</t>
        </is>
      </c>
      <c r="E3859" s="3" t="n">
        <v>7</v>
      </c>
      <c r="F3859" s="4" t="n">
        <v>0.3</v>
      </c>
      <c r="G3859" s="5">
        <f>ROUND(E3859*(1+F3859),2)</f>
        <v>9.10</v>
      </c>
      <c r="H3859" s="5">
        <f>ROUND(G3859*NOTAS!$B$2,2)</f>
        <v>6564.24</v>
      </c>
      <c r="I3859" s="6">
        <f>ROUND(G3859*NOTAS!$B$3,0)</f>
        <v>29565</v>
      </c>
      <c r="J3859" s="2" t="n">
        <v>9</v>
      </c>
    </row>
    <row r="3860">
      <c r="A3860" s="2" t="inlineStr">
        <is>
          <t>91-05153</t>
        </is>
      </c>
      <c r="B3860" s="2" t="inlineStr"/>
      <c r="C3860" s="2" t="inlineStr">
        <is>
          <t>TERMINAL DIRECCION CORCEL</t>
        </is>
      </c>
      <c r="D3860" s="2" t="inlineStr">
        <is>
          <t>RTS</t>
        </is>
      </c>
      <c r="E3860" s="3" t="n">
        <v>7</v>
      </c>
      <c r="F3860" s="4" t="n">
        <v>0.3</v>
      </c>
      <c r="G3860" s="5">
        <f>ROUND(E3860*(1+F3860),2)</f>
        <v>9.10</v>
      </c>
      <c r="H3860" s="5">
        <f>ROUND(G3860*NOTAS!$B$2,2)</f>
        <v>6564.24</v>
      </c>
      <c r="I3860" s="6">
        <f>ROUND(G3860*NOTAS!$B$3,0)</f>
        <v>29565</v>
      </c>
      <c r="J3860" s="2" t="n">
        <v>3</v>
      </c>
    </row>
    <row r="3861">
      <c r="A3861" s="2" t="inlineStr">
        <is>
          <t>GKP8105168</t>
        </is>
      </c>
      <c r="B3861" s="2" t="inlineStr"/>
      <c r="C3861" s="2" t="inlineStr">
        <is>
          <t>TERMINAL DIRECCION CORSA …/99</t>
        </is>
      </c>
      <c r="D3861" s="2" t="inlineStr">
        <is>
          <t>GKP</t>
        </is>
      </c>
      <c r="E3861" s="3" t="n">
        <v>6</v>
      </c>
      <c r="F3861" s="4" t="n">
        <v>0.3</v>
      </c>
      <c r="G3861" s="5">
        <f>ROUND(E3861*(1+F3861),2)</f>
        <v>7.80</v>
      </c>
      <c r="H3861" s="5">
        <f>ROUND(G3861*NOTAS!$B$2,2)</f>
        <v>5626.50</v>
      </c>
      <c r="I3861" s="6">
        <f>ROUND(G3861*NOTAS!$B$3,0)</f>
        <v>25341</v>
      </c>
      <c r="J3861" s="2" t="n">
        <v>4</v>
      </c>
    </row>
    <row r="3862">
      <c r="A3862" s="2" t="inlineStr">
        <is>
          <t>324066</t>
        </is>
      </c>
      <c r="B3862" s="2" t="inlineStr"/>
      <c r="C3862" s="2" t="inlineStr">
        <is>
          <t>TERMINAL DIRECCION CORSA …/99</t>
        </is>
      </c>
      <c r="D3862" s="2" t="inlineStr">
        <is>
          <t>LUCAS VARITY</t>
        </is>
      </c>
      <c r="E3862" s="3" t="n">
        <v>5</v>
      </c>
      <c r="F3862" s="4" t="n">
        <v>0.3</v>
      </c>
      <c r="G3862" s="5">
        <f>ROUND(E3862*(1+F3862),2)</f>
        <v>6.50</v>
      </c>
      <c r="H3862" s="5">
        <f>ROUND(G3862*NOTAS!$B$2,2)</f>
        <v>4688.75</v>
      </c>
      <c r="I3862" s="6">
        <f>ROUND(G3862*NOTAS!$B$3,0)</f>
        <v>21118</v>
      </c>
      <c r="J3862" s="2" t="n">
        <v>14</v>
      </c>
    </row>
    <row r="3863">
      <c r="A3863" s="2" t="inlineStr">
        <is>
          <t>GM0030</t>
        </is>
      </c>
      <c r="B3863" s="2" t="inlineStr"/>
      <c r="C3863" s="2" t="inlineStr">
        <is>
          <t>TERMINAL DIRECCION CORSA …/99</t>
        </is>
      </c>
      <c r="D3863" s="2" t="inlineStr">
        <is>
          <t>DRIVEX</t>
        </is>
      </c>
      <c r="E3863" s="3" t="n">
        <v>5</v>
      </c>
      <c r="F3863" s="4" t="n">
        <v>0.3</v>
      </c>
      <c r="G3863" s="5">
        <f>ROUND(E3863*(1+F3863),2)</f>
        <v>6.50</v>
      </c>
      <c r="H3863" s="5">
        <f>ROUND(G3863*NOTAS!$B$2,2)</f>
        <v>4688.75</v>
      </c>
      <c r="I3863" s="6">
        <f>ROUND(G3863*NOTAS!$B$3,0)</f>
        <v>21118</v>
      </c>
      <c r="J3863" s="2" t="n">
        <v>1</v>
      </c>
    </row>
    <row r="3864">
      <c r="A3864" s="2" t="inlineStr">
        <is>
          <t>TI2889DB</t>
        </is>
      </c>
      <c r="B3864" s="2" t="inlineStr"/>
      <c r="C3864" s="2" t="inlineStr">
        <is>
          <t>TERMINAL DIRECCION CORSA …/99</t>
        </is>
      </c>
      <c r="D3864" s="2" t="inlineStr">
        <is>
          <t>HDSMECPAR</t>
        </is>
      </c>
      <c r="E3864" s="3" t="n">
        <v>5</v>
      </c>
      <c r="F3864" s="4" t="n">
        <v>0.3</v>
      </c>
      <c r="G3864" s="5">
        <f>ROUND(E3864*(1+F3864),2)</f>
        <v>6.50</v>
      </c>
      <c r="H3864" s="5">
        <f>ROUND(G3864*NOTAS!$B$2,2)</f>
        <v>4688.75</v>
      </c>
      <c r="I3864" s="6">
        <f>ROUND(G3864*NOTAS!$B$3,0)</f>
        <v>21118</v>
      </c>
      <c r="J3864" s="2" t="n">
        <v>6</v>
      </c>
    </row>
    <row r="3865">
      <c r="A3865" s="2" t="inlineStr">
        <is>
          <t>93298756</t>
        </is>
      </c>
      <c r="B3865" s="2" t="inlineStr"/>
      <c r="C3865" s="2" t="inlineStr">
        <is>
          <t>TERMINAL DIRECCION CORSA …/99</t>
        </is>
      </c>
      <c r="D3865" s="2" t="inlineStr">
        <is>
          <t>YOKOMITSU</t>
        </is>
      </c>
      <c r="E3865" s="3" t="n">
        <v>6</v>
      </c>
      <c r="F3865" s="4" t="n">
        <v>0.3</v>
      </c>
      <c r="G3865" s="5">
        <f>ROUND(E3865*(1+F3865),2)</f>
        <v>7.80</v>
      </c>
      <c r="H3865" s="5">
        <f>ROUND(G3865*NOTAS!$B$2,2)</f>
        <v>5626.50</v>
      </c>
      <c r="I3865" s="6">
        <f>ROUND(G3865*NOTAS!$B$3,0)</f>
        <v>25341</v>
      </c>
      <c r="J3865" s="2" t="n">
        <v>1</v>
      </c>
    </row>
    <row r="3866">
      <c r="A3866" s="2" t="inlineStr">
        <is>
          <t>CC904</t>
        </is>
      </c>
      <c r="B3866" s="2" t="inlineStr"/>
      <c r="C3866" s="2" t="inlineStr">
        <is>
          <t>TERMINAL DIRECCION CORSA …/99</t>
        </is>
      </c>
      <c r="D3866" s="2" t="inlineStr">
        <is>
          <t>TNK</t>
        </is>
      </c>
      <c r="E3866" s="3" t="n">
        <v>7</v>
      </c>
      <c r="F3866" s="4" t="n">
        <v>0.3</v>
      </c>
      <c r="G3866" s="5">
        <f>ROUND(E3866*(1+F3866),2)</f>
        <v>9.10</v>
      </c>
      <c r="H3866" s="5">
        <f>ROUND(G3866*NOTAS!$B$2,2)</f>
        <v>6564.24</v>
      </c>
      <c r="I3866" s="6">
        <f>ROUND(G3866*NOTAS!$B$3,0)</f>
        <v>29565</v>
      </c>
      <c r="J3866" s="2" t="n">
        <v>10</v>
      </c>
    </row>
    <row r="3867">
      <c r="A3867" s="2" t="inlineStr">
        <is>
          <t>91-00335</t>
        </is>
      </c>
      <c r="B3867" s="2" t="inlineStr"/>
      <c r="C3867" s="2" t="inlineStr">
        <is>
          <t>TERMINAL DIRECCION CORSA …/99</t>
        </is>
      </c>
      <c r="D3867" s="2" t="inlineStr">
        <is>
          <t>RTS</t>
        </is>
      </c>
      <c r="E3867" s="3" t="n">
        <v>7</v>
      </c>
      <c r="F3867" s="4" t="n">
        <v>0.3</v>
      </c>
      <c r="G3867" s="5">
        <f>ROUND(E3867*(1+F3867),2)</f>
        <v>9.10</v>
      </c>
      <c r="H3867" s="5">
        <f>ROUND(G3867*NOTAS!$B$2,2)</f>
        <v>6564.24</v>
      </c>
      <c r="I3867" s="6">
        <f>ROUND(G3867*NOTAS!$B$3,0)</f>
        <v>29565</v>
      </c>
      <c r="J3867" s="2" t="n">
        <v>1</v>
      </c>
    </row>
    <row r="3868">
      <c r="A3868" s="2" t="inlineStr">
        <is>
          <t>GM0167</t>
        </is>
      </c>
      <c r="B3868" s="2" t="inlineStr"/>
      <c r="C3868" s="2" t="inlineStr">
        <is>
          <t>TERMINAL DIRECCION CORSA 00/06</t>
        </is>
      </c>
      <c r="D3868" s="2" t="inlineStr">
        <is>
          <t>LUCAS VARITY</t>
        </is>
      </c>
      <c r="E3868" s="3" t="n">
        <v>4.03</v>
      </c>
      <c r="F3868" s="4" t="n">
        <v>0.3</v>
      </c>
      <c r="G3868" s="5">
        <f>ROUND(E3868*(1+F3868),2)</f>
        <v>5.24</v>
      </c>
      <c r="H3868" s="5">
        <f>ROUND(G3868*NOTAS!$B$2,2)</f>
        <v>3779.85</v>
      </c>
      <c r="I3868" s="6">
        <f>ROUND(G3868*NOTAS!$B$3,0)</f>
        <v>17024</v>
      </c>
      <c r="J3868" s="2" t="n">
        <v>1</v>
      </c>
    </row>
    <row r="3869">
      <c r="A3869" s="2" t="inlineStr">
        <is>
          <t>91-05168</t>
        </is>
      </c>
      <c r="B3869" s="2" t="inlineStr"/>
      <c r="C3869" s="2" t="inlineStr">
        <is>
          <t>TERMINAL DIRECCION CORSA 00/06</t>
        </is>
      </c>
      <c r="D3869" s="2" t="inlineStr">
        <is>
          <t>RTS</t>
        </is>
      </c>
      <c r="E3869" s="3" t="n">
        <v>9</v>
      </c>
      <c r="F3869" s="4" t="n">
        <v>0.3</v>
      </c>
      <c r="G3869" s="5">
        <f>ROUND(E3869*(1+F3869),2)</f>
        <v>11.70</v>
      </c>
      <c r="H3869" s="5">
        <f>ROUND(G3869*NOTAS!$B$2,2)</f>
        <v>8439.74</v>
      </c>
      <c r="I3869" s="6">
        <f>ROUND(G3869*NOTAS!$B$3,0)</f>
        <v>38012</v>
      </c>
      <c r="J3869" s="2" t="n">
        <v>11</v>
      </c>
    </row>
    <row r="3870">
      <c r="A3870" s="2" t="inlineStr">
        <is>
          <t>CC906</t>
        </is>
      </c>
      <c r="B3870" s="2" t="inlineStr"/>
      <c r="C3870" s="2" t="inlineStr">
        <is>
          <t>TERMINAL DIRECCION CORSA 00/06</t>
        </is>
      </c>
      <c r="D3870" s="2" t="inlineStr">
        <is>
          <t>TNK</t>
        </is>
      </c>
      <c r="E3870" s="3" t="n">
        <v>8</v>
      </c>
      <c r="F3870" s="4" t="n">
        <v>0.3</v>
      </c>
      <c r="G3870" s="5">
        <f>ROUND(E3870*(1+F3870),2)</f>
        <v>10.40</v>
      </c>
      <c r="H3870" s="5">
        <f>ROUND(G3870*NOTAS!$B$2,2)</f>
        <v>7501.99</v>
      </c>
      <c r="I3870" s="6">
        <f>ROUND(G3870*NOTAS!$B$3,0)</f>
        <v>33788</v>
      </c>
      <c r="J3870" s="2" t="n">
        <v>11</v>
      </c>
    </row>
    <row r="3871">
      <c r="A3871" s="2" t="inlineStr">
        <is>
          <t>GM0135</t>
        </is>
      </c>
      <c r="B3871" s="2" t="inlineStr"/>
      <c r="C3871" s="2" t="inlineStr">
        <is>
          <t>TERMINAL DIRECCION DERECHO AVEO</t>
        </is>
      </c>
      <c r="D3871" s="2" t="inlineStr">
        <is>
          <t>DRIVEX</t>
        </is>
      </c>
      <c r="E3871" s="3" t="n">
        <v>6</v>
      </c>
      <c r="F3871" s="4" t="n">
        <v>0.3</v>
      </c>
      <c r="G3871" s="5">
        <f>ROUND(E3871*(1+F3871),2)</f>
        <v>7.80</v>
      </c>
      <c r="H3871" s="5">
        <f>ROUND(G3871*NOTAS!$B$2,2)</f>
        <v>5626.50</v>
      </c>
      <c r="I3871" s="6">
        <f>ROUND(G3871*NOTAS!$B$3,0)</f>
        <v>25341</v>
      </c>
      <c r="J3871" s="2" t="n">
        <v>10</v>
      </c>
    </row>
    <row r="3872">
      <c r="A3872" s="2" t="inlineStr">
        <is>
          <t>CEKD-13R</t>
        </is>
      </c>
      <c r="B3872" s="2" t="inlineStr"/>
      <c r="C3872" s="2" t="inlineStr">
        <is>
          <t>TERMINAL DIRECCION DERECHO AVEO</t>
        </is>
      </c>
      <c r="D3872" s="2" t="inlineStr">
        <is>
          <t>CTR</t>
        </is>
      </c>
      <c r="E3872" s="3" t="n">
        <v>6</v>
      </c>
      <c r="F3872" s="4" t="n">
        <v>0.3</v>
      </c>
      <c r="G3872" s="5">
        <f>ROUND(E3872*(1+F3872),2)</f>
        <v>7.80</v>
      </c>
      <c r="H3872" s="5">
        <f>ROUND(G3872*NOTAS!$B$2,2)</f>
        <v>5626.50</v>
      </c>
      <c r="I3872" s="6">
        <f>ROUND(G3872*NOTAS!$B$3,0)</f>
        <v>25341</v>
      </c>
      <c r="J3872" s="2" t="n">
        <v>7</v>
      </c>
    </row>
    <row r="3873">
      <c r="A3873" s="2" t="inlineStr">
        <is>
          <t>91-00319</t>
        </is>
      </c>
      <c r="B3873" s="2" t="inlineStr"/>
      <c r="C3873" s="2" t="inlineStr">
        <is>
          <t>TERMINAL DIRECCION DERECHO CIELO/LANOS</t>
        </is>
      </c>
      <c r="D3873" s="2" t="inlineStr">
        <is>
          <t>RTS</t>
        </is>
      </c>
      <c r="E3873" s="3" t="n">
        <v>8</v>
      </c>
      <c r="F3873" s="4" t="n">
        <v>0.3</v>
      </c>
      <c r="G3873" s="5">
        <f>ROUND(E3873*(1+F3873),2)</f>
        <v>10.40</v>
      </c>
      <c r="H3873" s="5">
        <f>ROUND(G3873*NOTAS!$B$2,2)</f>
        <v>7501.99</v>
      </c>
      <c r="I3873" s="6">
        <f>ROUND(G3873*NOTAS!$B$3,0)</f>
        <v>33788</v>
      </c>
      <c r="J3873" s="2" t="n">
        <v>1</v>
      </c>
    </row>
    <row r="3874">
      <c r="A3874" s="2" t="inlineStr">
        <is>
          <t>CEKD-1R</t>
        </is>
      </c>
      <c r="B3874" s="2" t="inlineStr"/>
      <c r="C3874" s="2" t="inlineStr">
        <is>
          <t>TERMINAL DIRECCION DERECHO CIELO/LANOS</t>
        </is>
      </c>
      <c r="D3874" s="2" t="inlineStr">
        <is>
          <t>CTR</t>
        </is>
      </c>
      <c r="E3874" s="3" t="n">
        <v>8</v>
      </c>
      <c r="F3874" s="4" t="n">
        <v>0.3</v>
      </c>
      <c r="G3874" s="5">
        <f>ROUND(E3874*(1+F3874),2)</f>
        <v>10.40</v>
      </c>
      <c r="H3874" s="5">
        <f>ROUND(G3874*NOTAS!$B$2,2)</f>
        <v>7501.99</v>
      </c>
      <c r="I3874" s="6">
        <f>ROUND(G3874*NOTAS!$B$3,0)</f>
        <v>33788</v>
      </c>
      <c r="J3874" s="2" t="n">
        <v>2</v>
      </c>
    </row>
    <row r="3875">
      <c r="A3875" s="2" t="inlineStr">
        <is>
          <t>TI2872DB</t>
        </is>
      </c>
      <c r="B3875" s="2" t="inlineStr"/>
      <c r="C3875" s="2" t="inlineStr">
        <is>
          <t>TERMINAL DIRECCION DERECHO CIELO/LANOS</t>
        </is>
      </c>
      <c r="D3875" s="2" t="inlineStr">
        <is>
          <t>HDSMECPAR</t>
        </is>
      </c>
      <c r="E3875" s="3" t="n">
        <v>7</v>
      </c>
      <c r="F3875" s="4" t="n">
        <v>0.3</v>
      </c>
      <c r="G3875" s="5">
        <f>ROUND(E3875*(1+F3875),2)</f>
        <v>9.10</v>
      </c>
      <c r="H3875" s="5">
        <f>ROUND(G3875*NOTAS!$B$2,2)</f>
        <v>6564.24</v>
      </c>
      <c r="I3875" s="6">
        <f>ROUND(G3875*NOTAS!$B$3,0)</f>
        <v>29565</v>
      </c>
      <c r="J3875" s="2" t="n">
        <v>9</v>
      </c>
    </row>
    <row r="3876">
      <c r="A3876" s="2" t="inlineStr">
        <is>
          <t>DA0046</t>
        </is>
      </c>
      <c r="B3876" s="2" t="inlineStr"/>
      <c r="C3876" s="2" t="inlineStr">
        <is>
          <t>TERMINAL DIRECCION DERECHO CIELO/LANOS</t>
        </is>
      </c>
      <c r="D3876" s="2" t="inlineStr">
        <is>
          <t>DRIVEX</t>
        </is>
      </c>
      <c r="E3876" s="3" t="n">
        <v>5</v>
      </c>
      <c r="F3876" s="4" t="n">
        <v>0.3</v>
      </c>
      <c r="G3876" s="5">
        <f>ROUND(E3876*(1+F3876),2)</f>
        <v>6.50</v>
      </c>
      <c r="H3876" s="5">
        <f>ROUND(G3876*NOTAS!$B$2,2)</f>
        <v>4688.75</v>
      </c>
      <c r="I3876" s="6">
        <f>ROUND(G3876*NOTAS!$B$3,0)</f>
        <v>21118</v>
      </c>
      <c r="J3876" s="2" t="n">
        <v>12</v>
      </c>
    </row>
    <row r="3877">
      <c r="A3877" s="2" t="inlineStr">
        <is>
          <t>O-202</t>
        </is>
      </c>
      <c r="B3877" s="2" t="inlineStr"/>
      <c r="C3877" s="2" t="inlineStr">
        <is>
          <t>TERMINAL DIRECCION DERECHO CIELO/LANOS</t>
        </is>
      </c>
      <c r="D3877" s="2" t="inlineStr">
        <is>
          <t>TEKNOROT</t>
        </is>
      </c>
      <c r="E3877" s="3" t="n">
        <v>6</v>
      </c>
      <c r="F3877" s="4" t="n">
        <v>0.3</v>
      </c>
      <c r="G3877" s="5">
        <f>ROUND(E3877*(1+F3877),2)</f>
        <v>7.80</v>
      </c>
      <c r="H3877" s="5">
        <f>ROUND(G3877*NOTAS!$B$2,2)</f>
        <v>5626.50</v>
      </c>
      <c r="I3877" s="6">
        <f>ROUND(G3877*NOTAS!$B$3,0)</f>
        <v>25341</v>
      </c>
      <c r="J3877" s="2" t="n">
        <v>4</v>
      </c>
    </row>
    <row r="3878">
      <c r="A3878" s="2" t="inlineStr">
        <is>
          <t>WB80002</t>
        </is>
      </c>
      <c r="B3878" s="2" t="inlineStr"/>
      <c r="C3878" s="2" t="inlineStr">
        <is>
          <t>TERMINAL DIRECCION DERECHO CIELO/LANOS</t>
        </is>
      </c>
      <c r="D3878" s="2" t="inlineStr">
        <is>
          <t>CCP</t>
        </is>
      </c>
      <c r="E3878" s="3" t="n">
        <v>5</v>
      </c>
      <c r="F3878" s="4" t="n">
        <v>0.3</v>
      </c>
      <c r="G3878" s="5">
        <f>ROUND(E3878*(1+F3878),2)</f>
        <v>6.50</v>
      </c>
      <c r="H3878" s="5">
        <f>ROUND(G3878*NOTAS!$B$2,2)</f>
        <v>4688.75</v>
      </c>
      <c r="I3878" s="6">
        <f>ROUND(G3878*NOTAS!$B$3,0)</f>
        <v>21118</v>
      </c>
      <c r="J3878" s="2" t="n">
        <v>1</v>
      </c>
    </row>
    <row r="3879">
      <c r="A3879" s="2" t="inlineStr">
        <is>
          <t>K9061110</t>
        </is>
      </c>
      <c r="B3879" s="2" t="inlineStr"/>
      <c r="C3879" s="2" t="inlineStr">
        <is>
          <t>TERMINAL DIRECCION DERECHO ECOSPORT 4X4</t>
        </is>
      </c>
      <c r="D3879" s="2" t="inlineStr">
        <is>
          <t>JOINT</t>
        </is>
      </c>
      <c r="E3879" s="3" t="n">
        <v>6</v>
      </c>
      <c r="F3879" s="4" t="n">
        <v>0.3</v>
      </c>
      <c r="G3879" s="5">
        <f>ROUND(E3879*(1+F3879),2)</f>
        <v>7.80</v>
      </c>
      <c r="H3879" s="5">
        <f>ROUND(G3879*NOTAS!$B$2,2)</f>
        <v>5626.50</v>
      </c>
      <c r="I3879" s="6">
        <f>ROUND(G3879*NOTAS!$B$3,0)</f>
        <v>25341</v>
      </c>
      <c r="J3879" s="2" t="n">
        <v>2</v>
      </c>
    </row>
    <row r="3880">
      <c r="A3880" s="2" t="inlineStr">
        <is>
          <t>91-00680-1</t>
        </is>
      </c>
      <c r="B3880" s="2" t="inlineStr"/>
      <c r="C3880" s="2" t="inlineStr">
        <is>
          <t>TERMINAL DIRECCION DERECHO FIESTA …/03</t>
        </is>
      </c>
      <c r="D3880" s="2" t="inlineStr">
        <is>
          <t>RTS</t>
        </is>
      </c>
      <c r="E3880" s="3" t="n">
        <v>7</v>
      </c>
      <c r="F3880" s="4" t="n">
        <v>0.3</v>
      </c>
      <c r="G3880" s="5">
        <f>ROUND(E3880*(1+F3880),2)</f>
        <v>9.10</v>
      </c>
      <c r="H3880" s="5">
        <f>ROUND(G3880*NOTAS!$B$2,2)</f>
        <v>6564.24</v>
      </c>
      <c r="I3880" s="6">
        <f>ROUND(G3880*NOTAS!$B$3,0)</f>
        <v>29565</v>
      </c>
      <c r="J3880" s="2" t="n">
        <v>5</v>
      </c>
    </row>
    <row r="3881">
      <c r="A3881" s="2" t="inlineStr"/>
      <c r="B3881" s="2" t="inlineStr"/>
      <c r="C3881" s="2" t="inlineStr">
        <is>
          <t>TERMINAL DIRECCION DERECHO FIESTA …/03</t>
        </is>
      </c>
      <c r="D3881" s="2" t="inlineStr">
        <is>
          <t>JOINT</t>
        </is>
      </c>
      <c r="E3881" s="3" t="n">
        <v>5</v>
      </c>
      <c r="F3881" s="4" t="n">
        <v>0.3</v>
      </c>
      <c r="G3881" s="5">
        <f>ROUND(E3881*(1+F3881),2)</f>
        <v>6.50</v>
      </c>
      <c r="H3881" s="5">
        <f>ROUND(G3881*NOTAS!$B$2,2)</f>
        <v>4688.75</v>
      </c>
      <c r="I3881" s="6">
        <f>ROUND(G3881*NOTAS!$B$3,0)</f>
        <v>21118</v>
      </c>
      <c r="J3881" s="2" t="n">
        <v>1</v>
      </c>
    </row>
    <row r="3882">
      <c r="A3882" s="2" t="inlineStr">
        <is>
          <t>91-00673-1</t>
        </is>
      </c>
      <c r="B3882" s="2" t="inlineStr"/>
      <c r="C3882" s="2" t="inlineStr">
        <is>
          <t>TERMINAL DIRECCION DERECHO FIESTA 04/…</t>
        </is>
      </c>
      <c r="D3882" s="2" t="inlineStr">
        <is>
          <t>RTS</t>
        </is>
      </c>
      <c r="E3882" s="3" t="n">
        <v>7</v>
      </c>
      <c r="F3882" s="4" t="n">
        <v>0.3</v>
      </c>
      <c r="G3882" s="5">
        <f>ROUND(E3882*(1+F3882),2)</f>
        <v>9.10</v>
      </c>
      <c r="H3882" s="5">
        <f>ROUND(G3882*NOTAS!$B$2,2)</f>
        <v>6564.24</v>
      </c>
      <c r="I3882" s="6">
        <f>ROUND(G3882*NOTAS!$B$3,0)</f>
        <v>29565</v>
      </c>
      <c r="J3882" s="2" t="n">
        <v>3</v>
      </c>
    </row>
    <row r="3883">
      <c r="A3883" s="2" t="inlineStr">
        <is>
          <t>K91006731</t>
        </is>
      </c>
      <c r="B3883" s="2" t="inlineStr"/>
      <c r="C3883" s="2" t="inlineStr">
        <is>
          <t>TERMINAL DIRECCION DERECHO FIESTA 04/…</t>
        </is>
      </c>
      <c r="D3883" s="2" t="inlineStr">
        <is>
          <t>JOINT</t>
        </is>
      </c>
      <c r="E3883" s="3" t="n">
        <v>5</v>
      </c>
      <c r="F3883" s="4" t="n">
        <v>0.3</v>
      </c>
      <c r="G3883" s="5">
        <f>ROUND(E3883*(1+F3883),2)</f>
        <v>6.50</v>
      </c>
      <c r="H3883" s="5">
        <f>ROUND(G3883*NOTAS!$B$2,2)</f>
        <v>4688.75</v>
      </c>
      <c r="I3883" s="6">
        <f>ROUND(G3883*NOTAS!$B$3,0)</f>
        <v>21118</v>
      </c>
      <c r="J3883" s="2" t="n">
        <v>7</v>
      </c>
    </row>
    <row r="3884">
      <c r="A3884" s="2" t="inlineStr">
        <is>
          <t>1202548</t>
        </is>
      </c>
      <c r="B3884" s="2" t="inlineStr"/>
      <c r="C3884" s="2" t="inlineStr">
        <is>
          <t>TERMINAL DIRECCION DERECHO FIESTA 04/…</t>
        </is>
      </c>
      <c r="D3884" s="2" t="inlineStr">
        <is>
          <t>REMIK</t>
        </is>
      </c>
      <c r="E3884" s="3" t="n">
        <v>6</v>
      </c>
      <c r="F3884" s="4" t="n">
        <v>0.3</v>
      </c>
      <c r="G3884" s="5">
        <f>ROUND(E3884*(1+F3884),2)</f>
        <v>7.80</v>
      </c>
      <c r="H3884" s="5">
        <f>ROUND(G3884*NOTAS!$B$2,2)</f>
        <v>5626.50</v>
      </c>
      <c r="I3884" s="6">
        <f>ROUND(G3884*NOTAS!$B$3,0)</f>
        <v>25341</v>
      </c>
      <c r="J3884" s="2" t="n">
        <v>4</v>
      </c>
    </row>
    <row r="3885">
      <c r="A3885" s="2" t="inlineStr">
        <is>
          <t>91-00150-1</t>
        </is>
      </c>
      <c r="B3885" s="2" t="inlineStr"/>
      <c r="C3885" s="2" t="inlineStr">
        <is>
          <t>TERMINAL DIRECCION DERECHO F-PAL/SIE</t>
        </is>
      </c>
      <c r="D3885" s="2" t="inlineStr">
        <is>
          <t>RTS</t>
        </is>
      </c>
      <c r="E3885" s="3" t="n">
        <v>12</v>
      </c>
      <c r="F3885" s="4" t="n">
        <v>0.3</v>
      </c>
      <c r="G3885" s="5">
        <f>ROUND(E3885*(1+F3885),2)</f>
        <v>15.60</v>
      </c>
      <c r="H3885" s="5">
        <f>ROUND(G3885*NOTAS!$B$2,2)</f>
        <v>11252.99</v>
      </c>
      <c r="I3885" s="6">
        <f>ROUND(G3885*NOTAS!$B$3,0)</f>
        <v>50682</v>
      </c>
      <c r="J3885" s="2" t="n">
        <v>3</v>
      </c>
    </row>
    <row r="3886">
      <c r="A3886" s="2" t="inlineStr">
        <is>
          <t>N6016</t>
        </is>
      </c>
      <c r="B3886" s="2" t="inlineStr"/>
      <c r="C3886" s="2" t="inlineStr">
        <is>
          <t>TERMINAL DIRECCION DERECHO F-PAL/SIE</t>
        </is>
      </c>
      <c r="D3886" s="2" t="inlineStr">
        <is>
          <t>NAKATA</t>
        </is>
      </c>
      <c r="E3886" s="3" t="n">
        <v>11</v>
      </c>
      <c r="F3886" s="4" t="n">
        <v>0.3</v>
      </c>
      <c r="G3886" s="5">
        <f>ROUND(E3886*(1+F3886),2)</f>
        <v>14.30</v>
      </c>
      <c r="H3886" s="5">
        <f>ROUND(G3886*NOTAS!$B$2,2)</f>
        <v>10315.24</v>
      </c>
      <c r="I3886" s="6">
        <f>ROUND(G3886*NOTAS!$B$3,0)</f>
        <v>46459</v>
      </c>
      <c r="J3886" s="2" t="n">
        <v>2</v>
      </c>
    </row>
    <row r="3887">
      <c r="A3887" s="2" t="inlineStr">
        <is>
          <t>46456660</t>
        </is>
      </c>
      <c r="B3887" s="2" t="inlineStr"/>
      <c r="C3887" s="2" t="inlineStr">
        <is>
          <t>TERMINAL DIRECCION DERECHO F-PAL/SIE</t>
        </is>
      </c>
      <c r="D3887" s="2" t="inlineStr">
        <is>
          <t>KAPARS</t>
        </is>
      </c>
      <c r="E3887" s="3" t="n">
        <v>8</v>
      </c>
      <c r="F3887" s="4" t="n">
        <v>0.3</v>
      </c>
      <c r="G3887" s="5">
        <f>ROUND(E3887*(1+F3887),2)</f>
        <v>10.40</v>
      </c>
      <c r="H3887" s="5">
        <f>ROUND(G3887*NOTAS!$B$2,2)</f>
        <v>7501.99</v>
      </c>
      <c r="I3887" s="6">
        <f>ROUND(G3887*NOTAS!$B$3,0)</f>
        <v>33788</v>
      </c>
      <c r="J3887" s="2" t="n">
        <v>1</v>
      </c>
    </row>
    <row r="3888">
      <c r="A3888" s="2" t="inlineStr">
        <is>
          <t>FI0039</t>
        </is>
      </c>
      <c r="B3888" s="2" t="inlineStr"/>
      <c r="C3888" s="2" t="inlineStr">
        <is>
          <t>TERMINAL DIRECCION DERECHO F-PAL/SIE</t>
        </is>
      </c>
      <c r="D3888" s="2" t="inlineStr">
        <is>
          <t>DRIVEX</t>
        </is>
      </c>
      <c r="E3888" s="3" t="n">
        <v>5.53</v>
      </c>
      <c r="F3888" s="4" t="n">
        <v>0.3</v>
      </c>
      <c r="G3888" s="5">
        <f>ROUND(E3888*(1+F3888),2)</f>
        <v>7.19</v>
      </c>
      <c r="H3888" s="5">
        <f>ROUND(G3888*NOTAS!$B$2,2)</f>
        <v>5186.47</v>
      </c>
      <c r="I3888" s="6">
        <f>ROUND(G3888*NOTAS!$B$3,0)</f>
        <v>23359</v>
      </c>
      <c r="J3888" s="2" t="n">
        <v>1</v>
      </c>
    </row>
    <row r="3889">
      <c r="A3889" s="2" t="inlineStr">
        <is>
          <t>91-00143</t>
        </is>
      </c>
      <c r="B3889" s="2" t="inlineStr"/>
      <c r="C3889" s="2" t="inlineStr">
        <is>
          <t>TERMINAL DIRECCION DERECHO F-TEMPRA</t>
        </is>
      </c>
      <c r="D3889" s="2" t="inlineStr">
        <is>
          <t>RTS</t>
        </is>
      </c>
      <c r="E3889" s="3" t="n">
        <v>8</v>
      </c>
      <c r="F3889" s="4" t="n">
        <v>0.3</v>
      </c>
      <c r="G3889" s="5">
        <f>ROUND(E3889*(1+F3889),2)</f>
        <v>10.40</v>
      </c>
      <c r="H3889" s="5">
        <f>ROUND(G3889*NOTAS!$B$2,2)</f>
        <v>7501.99</v>
      </c>
      <c r="I3889" s="6">
        <f>ROUND(G3889*NOTAS!$B$3,0)</f>
        <v>33788</v>
      </c>
      <c r="J3889" s="2" t="n">
        <v>1</v>
      </c>
    </row>
    <row r="3890">
      <c r="A3890" s="2" t="inlineStr">
        <is>
          <t>WB80415-RH</t>
        </is>
      </c>
      <c r="B3890" s="2" t="inlineStr"/>
      <c r="C3890" s="2" t="inlineStr">
        <is>
          <t>TERMINAL DIRECCION DERECHO OPTRA</t>
        </is>
      </c>
      <c r="D3890" s="2" t="inlineStr">
        <is>
          <t>CCP</t>
        </is>
      </c>
      <c r="E3890" s="3" t="n">
        <v>7</v>
      </c>
      <c r="F3890" s="4" t="n">
        <v>0.3</v>
      </c>
      <c r="G3890" s="5">
        <f>ROUND(E3890*(1+F3890),2)</f>
        <v>9.10</v>
      </c>
      <c r="H3890" s="5">
        <f>ROUND(G3890*NOTAS!$B$2,2)</f>
        <v>6564.24</v>
      </c>
      <c r="I3890" s="6">
        <f>ROUND(G3890*NOTAS!$B$3,0)</f>
        <v>29565</v>
      </c>
      <c r="J3890" s="2" t="n">
        <v>1</v>
      </c>
    </row>
    <row r="3891">
      <c r="A3891" s="2" t="inlineStr">
        <is>
          <t>K96407486</t>
        </is>
      </c>
      <c r="B3891" s="2" t="inlineStr"/>
      <c r="C3891" s="2" t="inlineStr">
        <is>
          <t>TERMINAL DIRECCION DERECHO OPTRA</t>
        </is>
      </c>
      <c r="D3891" s="2" t="inlineStr">
        <is>
          <t>JOINT</t>
        </is>
      </c>
      <c r="E3891" s="3" t="n">
        <v>7</v>
      </c>
      <c r="F3891" s="4" t="n">
        <v>0.3</v>
      </c>
      <c r="G3891" s="5">
        <f>ROUND(E3891*(1+F3891),2)</f>
        <v>9.10</v>
      </c>
      <c r="H3891" s="5">
        <f>ROUND(G3891*NOTAS!$B$2,2)</f>
        <v>6564.24</v>
      </c>
      <c r="I3891" s="6">
        <f>ROUND(G3891*NOTAS!$B$3,0)</f>
        <v>29565</v>
      </c>
      <c r="J3891" s="2" t="n">
        <v>2</v>
      </c>
    </row>
    <row r="3892">
      <c r="A3892" s="2" t="inlineStr">
        <is>
          <t>CEKD-16R</t>
        </is>
      </c>
      <c r="B3892" s="2" t="inlineStr"/>
      <c r="C3892" s="2" t="inlineStr">
        <is>
          <t>TERMINAL DIRECCION DERECHO OPTRA</t>
        </is>
      </c>
      <c r="D3892" s="2" t="inlineStr">
        <is>
          <t>CTR</t>
        </is>
      </c>
      <c r="E3892" s="3" t="n">
        <v>11</v>
      </c>
      <c r="F3892" s="4" t="n">
        <v>0.3</v>
      </c>
      <c r="G3892" s="5">
        <f>ROUND(E3892*(1+F3892),2)</f>
        <v>14.30</v>
      </c>
      <c r="H3892" s="5">
        <f>ROUND(G3892*NOTAS!$B$2,2)</f>
        <v>10315.24</v>
      </c>
      <c r="I3892" s="6">
        <f>ROUND(G3892*NOTAS!$B$3,0)</f>
        <v>46459</v>
      </c>
      <c r="J3892" s="2" t="n">
        <v>2</v>
      </c>
    </row>
    <row r="3893">
      <c r="A3893" s="2" t="inlineStr">
        <is>
          <t>7701467273</t>
        </is>
      </c>
      <c r="B3893" s="2" t="inlineStr"/>
      <c r="C3893" s="2" t="inlineStr">
        <is>
          <t>TERMINAL DIRECCION DERECHO R-19</t>
        </is>
      </c>
      <c r="D3893" s="2" t="inlineStr">
        <is>
          <t>GUTTMANN</t>
        </is>
      </c>
      <c r="E3893" s="3" t="n">
        <v>5</v>
      </c>
      <c r="F3893" s="4" t="n">
        <v>0.3</v>
      </c>
      <c r="G3893" s="5">
        <f>ROUND(E3893*(1+F3893),2)</f>
        <v>6.50</v>
      </c>
      <c r="H3893" s="5">
        <f>ROUND(G3893*NOTAS!$B$2,2)</f>
        <v>4688.75</v>
      </c>
      <c r="I3893" s="6">
        <f>ROUND(G3893*NOTAS!$B$3,0)</f>
        <v>21118</v>
      </c>
      <c r="J3893" s="2" t="n">
        <v>3</v>
      </c>
    </row>
    <row r="3894">
      <c r="A3894" s="2" t="inlineStr">
        <is>
          <t>WB80118-RH</t>
        </is>
      </c>
      <c r="B3894" s="2" t="inlineStr"/>
      <c r="C3894" s="2" t="inlineStr">
        <is>
          <t>TERMINAL DIRECCION DERECHO R-19</t>
        </is>
      </c>
      <c r="D3894" s="2" t="inlineStr">
        <is>
          <t>CCP</t>
        </is>
      </c>
      <c r="E3894" s="3" t="n">
        <v>5</v>
      </c>
      <c r="F3894" s="4" t="n">
        <v>0.3</v>
      </c>
      <c r="G3894" s="5">
        <f>ROUND(E3894*(1+F3894),2)</f>
        <v>6.50</v>
      </c>
      <c r="H3894" s="5">
        <f>ROUND(G3894*NOTAS!$B$2,2)</f>
        <v>4688.75</v>
      </c>
      <c r="I3894" s="6">
        <f>ROUND(G3894*NOTAS!$B$3,0)</f>
        <v>21118</v>
      </c>
      <c r="J3894" s="2" t="n">
        <v>4</v>
      </c>
    </row>
    <row r="3895">
      <c r="A3895" s="2" t="inlineStr">
        <is>
          <t>GKP8100439</t>
        </is>
      </c>
      <c r="B3895" s="2" t="inlineStr"/>
      <c r="C3895" s="2" t="inlineStr">
        <is>
          <t>TERMINAL DIRECCION DERECHO R-19</t>
        </is>
      </c>
      <c r="D3895" s="2" t="inlineStr">
        <is>
          <t>GKP</t>
        </is>
      </c>
      <c r="E3895" s="3" t="n">
        <v>5</v>
      </c>
      <c r="F3895" s="4" t="n">
        <v>0.3</v>
      </c>
      <c r="G3895" s="5">
        <f>ROUND(E3895*(1+F3895),2)</f>
        <v>6.50</v>
      </c>
      <c r="H3895" s="5">
        <f>ROUND(G3895*NOTAS!$B$2,2)</f>
        <v>4688.75</v>
      </c>
      <c r="I3895" s="6">
        <f>ROUND(G3895*NOTAS!$B$3,0)</f>
        <v>21118</v>
      </c>
      <c r="J3895" s="2" t="n">
        <v>3</v>
      </c>
    </row>
    <row r="3896">
      <c r="A3896" s="2" t="inlineStr">
        <is>
          <t>180675</t>
        </is>
      </c>
      <c r="B3896" s="2" t="inlineStr"/>
      <c r="C3896" s="2" t="inlineStr">
        <is>
          <t>TERMINAL DIRECCION DERECHO R-19</t>
        </is>
      </c>
      <c r="D3896" s="2" t="inlineStr">
        <is>
          <t>OCAP</t>
        </is>
      </c>
      <c r="E3896" s="3" t="n">
        <v>7</v>
      </c>
      <c r="F3896" s="4" t="n">
        <v>0.3</v>
      </c>
      <c r="G3896" s="5">
        <f>ROUND(E3896*(1+F3896),2)</f>
        <v>9.10</v>
      </c>
      <c r="H3896" s="5">
        <f>ROUND(G3896*NOTAS!$B$2,2)</f>
        <v>6564.24</v>
      </c>
      <c r="I3896" s="6">
        <f>ROUND(G3896*NOTAS!$B$3,0)</f>
        <v>29565</v>
      </c>
      <c r="J3896" s="2" t="n">
        <v>15</v>
      </c>
    </row>
    <row r="3897">
      <c r="A3897" s="2" t="inlineStr">
        <is>
          <t>RC1097</t>
        </is>
      </c>
      <c r="B3897" s="2" t="inlineStr"/>
      <c r="C3897" s="2" t="inlineStr">
        <is>
          <t>TERMINAL DIRECCION DERECHO R-19</t>
        </is>
      </c>
      <c r="D3897" s="2" t="inlineStr">
        <is>
          <t>TNK</t>
        </is>
      </c>
      <c r="E3897" s="3" t="n">
        <v>7</v>
      </c>
      <c r="F3897" s="4" t="n">
        <v>0.3</v>
      </c>
      <c r="G3897" s="5">
        <f>ROUND(E3897*(1+F3897),2)</f>
        <v>9.10</v>
      </c>
      <c r="H3897" s="5">
        <f>ROUND(G3897*NOTAS!$B$2,2)</f>
        <v>6564.24</v>
      </c>
      <c r="I3897" s="6">
        <f>ROUND(G3897*NOTAS!$B$3,0)</f>
        <v>29565</v>
      </c>
      <c r="J3897" s="2" t="n">
        <v>1</v>
      </c>
    </row>
    <row r="3898">
      <c r="A3898" s="2" t="inlineStr">
        <is>
          <t>282450</t>
        </is>
      </c>
      <c r="B3898" s="2" t="inlineStr"/>
      <c r="C3898" s="2" t="inlineStr">
        <is>
          <t>TERMINAL DIRECCION DERECHO R-LOGAN</t>
        </is>
      </c>
      <c r="D3898" s="2" t="inlineStr">
        <is>
          <t>OCAP</t>
        </is>
      </c>
      <c r="E3898" s="3" t="n">
        <v>10</v>
      </c>
      <c r="F3898" s="4" t="n">
        <v>0.3</v>
      </c>
      <c r="G3898" s="5">
        <f>ROUND(E3898*(1+F3898),2)</f>
        <v>13.00</v>
      </c>
      <c r="H3898" s="5">
        <f>ROUND(G3898*NOTAS!$B$2,2)</f>
        <v>9377.49</v>
      </c>
      <c r="I3898" s="6">
        <f>ROUND(G3898*NOTAS!$B$3,0)</f>
        <v>42235</v>
      </c>
      <c r="J3898" s="2" t="n">
        <v>6</v>
      </c>
    </row>
    <row r="3899">
      <c r="A3899" s="2" t="inlineStr">
        <is>
          <t>DC-301</t>
        </is>
      </c>
      <c r="B3899" s="2" t="inlineStr"/>
      <c r="C3899" s="2" t="inlineStr">
        <is>
          <t>TERMINAL DIRECCION DERECHO R-LOGAN</t>
        </is>
      </c>
      <c r="D3899" s="2" t="inlineStr">
        <is>
          <t>TEKNOROT</t>
        </is>
      </c>
      <c r="E3899" s="3" t="n">
        <v>7</v>
      </c>
      <c r="F3899" s="4" t="n">
        <v>0.3</v>
      </c>
      <c r="G3899" s="5">
        <f>ROUND(E3899*(1+F3899),2)</f>
        <v>9.10</v>
      </c>
      <c r="H3899" s="5">
        <f>ROUND(G3899*NOTAS!$B$2,2)</f>
        <v>6564.24</v>
      </c>
      <c r="I3899" s="6">
        <f>ROUND(G3899*NOTAS!$B$3,0)</f>
        <v>29565</v>
      </c>
      <c r="J3899" s="2" t="n">
        <v>2</v>
      </c>
    </row>
    <row r="3900">
      <c r="A3900" s="2" t="inlineStr">
        <is>
          <t>RC8534</t>
        </is>
      </c>
      <c r="B3900" s="2" t="inlineStr"/>
      <c r="C3900" s="2" t="inlineStr">
        <is>
          <t>TERMINAL DIRECCION DERECHO R-LOGAN</t>
        </is>
      </c>
      <c r="D3900" s="2" t="inlineStr">
        <is>
          <t>TNK</t>
        </is>
      </c>
      <c r="E3900" s="3" t="n">
        <v>10</v>
      </c>
      <c r="F3900" s="4" t="n">
        <v>0.3</v>
      </c>
      <c r="G3900" s="5">
        <f>ROUND(E3900*(1+F3900),2)</f>
        <v>13.00</v>
      </c>
      <c r="H3900" s="5">
        <f>ROUND(G3900*NOTAS!$B$2,2)</f>
        <v>9377.49</v>
      </c>
      <c r="I3900" s="6">
        <f>ROUND(G3900*NOTAS!$B$3,0)</f>
        <v>42235</v>
      </c>
      <c r="J3900" s="2" t="n">
        <v>4</v>
      </c>
    </row>
    <row r="3901">
      <c r="A3901" s="2" t="inlineStr">
        <is>
          <t>RE0108</t>
        </is>
      </c>
      <c r="B3901" s="2" t="inlineStr"/>
      <c r="C3901" s="2" t="inlineStr">
        <is>
          <t>TERMINAL DIRECCION DERECHO R-LOGAN</t>
        </is>
      </c>
      <c r="D3901" s="2" t="inlineStr">
        <is>
          <t>DRIVEX</t>
        </is>
      </c>
      <c r="E3901" s="3" t="n">
        <v>6.65</v>
      </c>
      <c r="F3901" s="4" t="n">
        <v>0.3</v>
      </c>
      <c r="G3901" s="5">
        <f>ROUND(E3901*(1+F3901),2)</f>
        <v>8.65</v>
      </c>
      <c r="H3901" s="5">
        <f>ROUND(G3901*NOTAS!$B$2,2)</f>
        <v>6239.64</v>
      </c>
      <c r="I3901" s="6">
        <f>ROUND(G3901*NOTAS!$B$3,0)</f>
        <v>28103</v>
      </c>
      <c r="J3901" s="2" t="n">
        <v>4</v>
      </c>
    </row>
    <row r="3902">
      <c r="A3902" s="2" t="inlineStr">
        <is>
          <t>R-731</t>
        </is>
      </c>
      <c r="B3902" s="2" t="inlineStr"/>
      <c r="C3902" s="2" t="inlineStr">
        <is>
          <t>TERMINAL DIRECCION DERECHO R-SYMBOL/MEGANE/CLIO</t>
        </is>
      </c>
      <c r="D3902" s="2" t="inlineStr">
        <is>
          <t>TEKNOROT</t>
        </is>
      </c>
      <c r="E3902" s="3" t="n">
        <v>7</v>
      </c>
      <c r="F3902" s="4" t="n">
        <v>0.3</v>
      </c>
      <c r="G3902" s="5">
        <f>ROUND(E3902*(1+F3902),2)</f>
        <v>9.10</v>
      </c>
      <c r="H3902" s="5">
        <f>ROUND(G3902*NOTAS!$B$2,2)</f>
        <v>6564.24</v>
      </c>
      <c r="I3902" s="6">
        <f>ROUND(G3902*NOTAS!$B$3,0)</f>
        <v>29565</v>
      </c>
      <c r="J3902" s="2" t="n">
        <v>4</v>
      </c>
    </row>
    <row r="3903">
      <c r="A3903" s="2" t="inlineStr">
        <is>
          <t>GKP-81-90402-1</t>
        </is>
      </c>
      <c r="B3903" s="2" t="inlineStr"/>
      <c r="C3903" s="2" t="inlineStr">
        <is>
          <t>TERMINAL DIRECCION DERECHO R-SYMBOL/MEGANE/CLIO</t>
        </is>
      </c>
      <c r="D3903" s="2" t="inlineStr">
        <is>
          <t>GKP</t>
        </is>
      </c>
      <c r="E3903" s="3" t="n">
        <v>7</v>
      </c>
      <c r="F3903" s="4" t="n">
        <v>0.3</v>
      </c>
      <c r="G3903" s="5">
        <f>ROUND(E3903*(1+F3903),2)</f>
        <v>9.10</v>
      </c>
      <c r="H3903" s="5">
        <f>ROUND(G3903*NOTAS!$B$2,2)</f>
        <v>6564.24</v>
      </c>
      <c r="I3903" s="6">
        <f>ROUND(G3903*NOTAS!$B$3,0)</f>
        <v>29565</v>
      </c>
      <c r="J3903" s="2" t="n">
        <v>3</v>
      </c>
    </row>
    <row r="3904">
      <c r="A3904" s="2" t="inlineStr">
        <is>
          <t>91-90402-1</t>
        </is>
      </c>
      <c r="B3904" s="2" t="inlineStr"/>
      <c r="C3904" s="2" t="inlineStr">
        <is>
          <t>TERMINAL DIRECCION DERECHO R-SYMBOL/MEGANE/CLIO</t>
        </is>
      </c>
      <c r="D3904" s="2" t="inlineStr">
        <is>
          <t>RTS</t>
        </is>
      </c>
      <c r="E3904" s="3" t="n">
        <v>9.18</v>
      </c>
      <c r="F3904" s="4" t="n">
        <v>0.3</v>
      </c>
      <c r="G3904" s="5">
        <f>ROUND(E3904*(1+F3904),2)</f>
        <v>11.93</v>
      </c>
      <c r="H3904" s="5">
        <f>ROUND(G3904*NOTAS!$B$2,2)</f>
        <v>8605.65</v>
      </c>
      <c r="I3904" s="6">
        <f>ROUND(G3904*NOTAS!$B$3,0)</f>
        <v>38759</v>
      </c>
      <c r="J3904" s="2" t="n">
        <v>19</v>
      </c>
    </row>
    <row r="3905">
      <c r="A3905" s="2" t="inlineStr">
        <is>
          <t>RC2012</t>
        </is>
      </c>
      <c r="B3905" s="2" t="inlineStr"/>
      <c r="C3905" s="2" t="inlineStr">
        <is>
          <t>TERMINAL DIRECCION DERECHO R-SYMBOL/MEGANE/CLIO</t>
        </is>
      </c>
      <c r="D3905" s="2" t="inlineStr">
        <is>
          <t>TNK</t>
        </is>
      </c>
      <c r="E3905" s="3" t="n">
        <v>9</v>
      </c>
      <c r="F3905" s="4" t="n">
        <v>0.3</v>
      </c>
      <c r="G3905" s="5">
        <f>ROUND(E3905*(1+F3905),2)</f>
        <v>11.70</v>
      </c>
      <c r="H3905" s="5">
        <f>ROUND(G3905*NOTAS!$B$2,2)</f>
        <v>8439.74</v>
      </c>
      <c r="I3905" s="6">
        <f>ROUND(G3905*NOTAS!$B$3,0)</f>
        <v>38012</v>
      </c>
      <c r="J3905" s="2" t="n">
        <v>7</v>
      </c>
    </row>
    <row r="3906">
      <c r="A3906" s="2" t="inlineStr">
        <is>
          <t>WB80916-RH</t>
        </is>
      </c>
      <c r="B3906" s="2" t="inlineStr"/>
      <c r="C3906" s="2" t="inlineStr">
        <is>
          <t>TERMINAL DIRECCION DERECHO R-SYMBOL/MEGANE/CLIO</t>
        </is>
      </c>
      <c r="D3906" s="2" t="inlineStr">
        <is>
          <t>CCP</t>
        </is>
      </c>
      <c r="E3906" s="3" t="n">
        <v>6</v>
      </c>
      <c r="F3906" s="4" t="n">
        <v>0.3</v>
      </c>
      <c r="G3906" s="5">
        <f>ROUND(E3906*(1+F3906),2)</f>
        <v>7.80</v>
      </c>
      <c r="H3906" s="5">
        <f>ROUND(G3906*NOTAS!$B$2,2)</f>
        <v>5626.50</v>
      </c>
      <c r="I3906" s="6">
        <f>ROUND(G3906*NOTAS!$B$3,0)</f>
        <v>25341</v>
      </c>
      <c r="J3906" s="2" t="n">
        <v>11</v>
      </c>
    </row>
    <row r="3907">
      <c r="A3907" s="2" t="inlineStr">
        <is>
          <t>RE0176</t>
        </is>
      </c>
      <c r="B3907" s="2" t="inlineStr"/>
      <c r="C3907" s="2" t="inlineStr">
        <is>
          <t>TERMINAL DIRECCION DERECHO R-SYMBOL/MEGANE/CLIO</t>
        </is>
      </c>
      <c r="D3907" s="2" t="inlineStr">
        <is>
          <t>DRIVEX</t>
        </is>
      </c>
      <c r="E3907" s="3" t="n">
        <v>5</v>
      </c>
      <c r="F3907" s="4" t="n">
        <v>0.3</v>
      </c>
      <c r="G3907" s="5">
        <f>ROUND(E3907*(1+F3907),2)</f>
        <v>6.50</v>
      </c>
      <c r="H3907" s="5">
        <f>ROUND(G3907*NOTAS!$B$2,2)</f>
        <v>4688.75</v>
      </c>
      <c r="I3907" s="6">
        <f>ROUND(G3907*NOTAS!$B$3,0)</f>
        <v>21118</v>
      </c>
      <c r="J3907" s="2" t="n">
        <v>6</v>
      </c>
    </row>
    <row r="3908">
      <c r="A3908" s="2" t="inlineStr">
        <is>
          <t>R-801</t>
        </is>
      </c>
      <c r="B3908" s="2" t="inlineStr"/>
      <c r="C3908" s="2" t="inlineStr">
        <is>
          <t>TERMINAL DIRECCION DERECHO R-TWINGO</t>
        </is>
      </c>
      <c r="D3908" s="2" t="inlineStr">
        <is>
          <t>TEKNOROT</t>
        </is>
      </c>
      <c r="E3908" s="3" t="n">
        <v>7</v>
      </c>
      <c r="F3908" s="4" t="n">
        <v>0.3</v>
      </c>
      <c r="G3908" s="5">
        <f>ROUND(E3908*(1+F3908),2)</f>
        <v>9.10</v>
      </c>
      <c r="H3908" s="5">
        <f>ROUND(G3908*NOTAS!$B$2,2)</f>
        <v>6564.24</v>
      </c>
      <c r="I3908" s="6">
        <f>ROUND(G3908*NOTAS!$B$3,0)</f>
        <v>29565</v>
      </c>
      <c r="J3908" s="2" t="n">
        <v>8</v>
      </c>
    </row>
    <row r="3909">
      <c r="A3909" s="2" t="inlineStr"/>
      <c r="B3909" s="2" t="inlineStr"/>
      <c r="C3909" s="2" t="inlineStr">
        <is>
          <t>TERMINAL DIRECCION F-147/SPAZIO</t>
        </is>
      </c>
      <c r="D3909" s="2" t="inlineStr">
        <is>
          <t>OCAP</t>
        </is>
      </c>
      <c r="E3909" s="3" t="n">
        <v>9</v>
      </c>
      <c r="F3909" s="4" t="n">
        <v>0.3</v>
      </c>
      <c r="G3909" s="5">
        <f>ROUND(E3909*(1+F3909),2)</f>
        <v>11.70</v>
      </c>
      <c r="H3909" s="5">
        <f>ROUND(G3909*NOTAS!$B$2,2)</f>
        <v>8439.74</v>
      </c>
      <c r="I3909" s="6">
        <f>ROUND(G3909*NOTAS!$B$3,0)</f>
        <v>38012</v>
      </c>
      <c r="J3909" s="2" t="n">
        <v>1</v>
      </c>
    </row>
    <row r="3910">
      <c r="A3910" s="2" t="inlineStr">
        <is>
          <t>FI0049</t>
        </is>
      </c>
      <c r="B3910" s="2" t="inlineStr"/>
      <c r="C3910" s="2" t="inlineStr">
        <is>
          <t>TERMINAL DIRECCION F-147/SPAZIO</t>
        </is>
      </c>
      <c r="D3910" s="2" t="inlineStr">
        <is>
          <t>DRIVEX</t>
        </is>
      </c>
      <c r="E3910" s="3" t="n">
        <v>6</v>
      </c>
      <c r="F3910" s="4" t="n">
        <v>0.3</v>
      </c>
      <c r="G3910" s="5">
        <f>ROUND(E3910*(1+F3910),2)</f>
        <v>7.80</v>
      </c>
      <c r="H3910" s="5">
        <f>ROUND(G3910*NOTAS!$B$2,2)</f>
        <v>5626.50</v>
      </c>
      <c r="I3910" s="6">
        <f>ROUND(G3910*NOTAS!$B$3,0)</f>
        <v>25341</v>
      </c>
      <c r="J3910" s="2" t="n">
        <v>3</v>
      </c>
    </row>
    <row r="3911">
      <c r="A3911" s="2" t="inlineStr">
        <is>
          <t>FD0011</t>
        </is>
      </c>
      <c r="B3911" s="2" t="inlineStr"/>
      <c r="C3911" s="2" t="inlineStr">
        <is>
          <t>TERMINAL DIRECCION FESTIVA</t>
        </is>
      </c>
      <c r="D3911" s="2" t="inlineStr">
        <is>
          <t>DRIVEX</t>
        </is>
      </c>
      <c r="E3911" s="3" t="n">
        <v>6</v>
      </c>
      <c r="F3911" s="4" t="n">
        <v>0.3</v>
      </c>
      <c r="G3911" s="5">
        <f>ROUND(E3911*(1+F3911),2)</f>
        <v>7.80</v>
      </c>
      <c r="H3911" s="5">
        <f>ROUND(G3911*NOTAS!$B$2,2)</f>
        <v>5626.50</v>
      </c>
      <c r="I3911" s="6">
        <f>ROUND(G3911*NOTAS!$B$3,0)</f>
        <v>25341</v>
      </c>
      <c r="J3911" s="2" t="n">
        <v>4</v>
      </c>
    </row>
    <row r="3912">
      <c r="A3912" s="2" t="inlineStr">
        <is>
          <t>283395</t>
        </is>
      </c>
      <c r="B3912" s="2" t="inlineStr"/>
      <c r="C3912" s="2" t="inlineStr">
        <is>
          <t>TERMINAL DIRECCION FESTIVA</t>
        </is>
      </c>
      <c r="D3912" s="2" t="inlineStr">
        <is>
          <t>OCAP</t>
        </is>
      </c>
      <c r="E3912" s="3" t="n">
        <v>8</v>
      </c>
      <c r="F3912" s="4" t="n">
        <v>0.3</v>
      </c>
      <c r="G3912" s="5">
        <f>ROUND(E3912*(1+F3912),2)</f>
        <v>10.40</v>
      </c>
      <c r="H3912" s="5">
        <f>ROUND(G3912*NOTAS!$B$2,2)</f>
        <v>7501.99</v>
      </c>
      <c r="I3912" s="6">
        <f>ROUND(G3912*NOTAS!$B$3,0)</f>
        <v>33788</v>
      </c>
      <c r="J3912" s="2" t="n">
        <v>2</v>
      </c>
    </row>
    <row r="3913">
      <c r="A3913" s="2" t="inlineStr">
        <is>
          <t>KJOES2827RL</t>
        </is>
      </c>
      <c r="B3913" s="2" t="inlineStr"/>
      <c r="C3913" s="2" t="inlineStr">
        <is>
          <t>TERMINAL DIRECCION FESTIVA</t>
        </is>
      </c>
      <c r="D3913" s="2" t="inlineStr">
        <is>
          <t>JOINT</t>
        </is>
      </c>
      <c r="E3913" s="3" t="n">
        <v>8</v>
      </c>
      <c r="F3913" s="4" t="n">
        <v>0.3</v>
      </c>
      <c r="G3913" s="5">
        <f>ROUND(E3913*(1+F3913),2)</f>
        <v>10.40</v>
      </c>
      <c r="H3913" s="5">
        <f>ROUND(G3913*NOTAS!$B$2,2)</f>
        <v>7501.99</v>
      </c>
      <c r="I3913" s="6">
        <f>ROUND(G3913*NOTAS!$B$3,0)</f>
        <v>33788</v>
      </c>
      <c r="J3913" s="2" t="n">
        <v>7</v>
      </c>
    </row>
    <row r="3914">
      <c r="A3914" s="2" t="inlineStr">
        <is>
          <t>280297</t>
        </is>
      </c>
      <c r="B3914" s="2" t="inlineStr"/>
      <c r="C3914" s="2" t="inlineStr">
        <is>
          <t>TERMINAL DIRECCION F-REGATA/RITMO</t>
        </is>
      </c>
      <c r="D3914" s="2" t="inlineStr">
        <is>
          <t>OCAP</t>
        </is>
      </c>
      <c r="E3914" s="3" t="n">
        <v>6</v>
      </c>
      <c r="F3914" s="4" t="n">
        <v>0.3</v>
      </c>
      <c r="G3914" s="5">
        <f>ROUND(E3914*(1+F3914),2)</f>
        <v>7.80</v>
      </c>
      <c r="H3914" s="5">
        <f>ROUND(G3914*NOTAS!$B$2,2)</f>
        <v>5626.50</v>
      </c>
      <c r="I3914" s="6">
        <f>ROUND(G3914*NOTAS!$B$3,0)</f>
        <v>25341</v>
      </c>
      <c r="J3914" s="2" t="n">
        <v>13</v>
      </c>
    </row>
    <row r="3915">
      <c r="A3915" s="2" t="inlineStr">
        <is>
          <t>280389</t>
        </is>
      </c>
      <c r="B3915" s="2" t="inlineStr"/>
      <c r="C3915" s="2" t="inlineStr">
        <is>
          <t>TERMINAL DIRECCION F-UNO/PREMIO CORTO</t>
        </is>
      </c>
      <c r="D3915" s="2" t="inlineStr">
        <is>
          <t>OCAP</t>
        </is>
      </c>
      <c r="E3915" s="3" t="n">
        <v>8</v>
      </c>
      <c r="F3915" s="4" t="n">
        <v>0.3</v>
      </c>
      <c r="G3915" s="5">
        <f>ROUND(E3915*(1+F3915),2)</f>
        <v>10.40</v>
      </c>
      <c r="H3915" s="5">
        <f>ROUND(G3915*NOTAS!$B$2,2)</f>
        <v>7501.99</v>
      </c>
      <c r="I3915" s="6">
        <f>ROUND(G3915*NOTAS!$B$3,0)</f>
        <v>33788</v>
      </c>
      <c r="J3915" s="2" t="n">
        <v>3</v>
      </c>
    </row>
    <row r="3916">
      <c r="A3916" s="2" t="inlineStr">
        <is>
          <t>7690960</t>
        </is>
      </c>
      <c r="B3916" s="2" t="inlineStr"/>
      <c r="C3916" s="2" t="inlineStr">
        <is>
          <t>TERMINAL DIRECCION F-UNO/PREMIO CORTO</t>
        </is>
      </c>
      <c r="D3916" s="2" t="inlineStr">
        <is>
          <t>HDSMECPAR</t>
        </is>
      </c>
      <c r="E3916" s="3" t="n">
        <v>8</v>
      </c>
      <c r="F3916" s="4" t="n">
        <v>0.3</v>
      </c>
      <c r="G3916" s="5">
        <f>ROUND(E3916*(1+F3916),2)</f>
        <v>10.40</v>
      </c>
      <c r="H3916" s="5">
        <f>ROUND(G3916*NOTAS!$B$2,2)</f>
        <v>7501.99</v>
      </c>
      <c r="I3916" s="6">
        <f>ROUND(G3916*NOTAS!$B$3,0)</f>
        <v>33788</v>
      </c>
      <c r="J3916" s="2" t="n">
        <v>1</v>
      </c>
    </row>
    <row r="3917">
      <c r="A3917" s="2" t="inlineStr">
        <is>
          <t>280009</t>
        </is>
      </c>
      <c r="B3917" s="2" t="inlineStr"/>
      <c r="C3917" s="2" t="inlineStr">
        <is>
          <t>TERMINAL DIRECCION F-UNO/PREMIO LARGO</t>
        </is>
      </c>
      <c r="D3917" s="2" t="inlineStr">
        <is>
          <t>OCAP</t>
        </is>
      </c>
      <c r="E3917" s="3" t="n">
        <v>6</v>
      </c>
      <c r="F3917" s="4" t="n">
        <v>0.3</v>
      </c>
      <c r="G3917" s="5">
        <f>ROUND(E3917*(1+F3917),2)</f>
        <v>7.80</v>
      </c>
      <c r="H3917" s="5">
        <f>ROUND(G3917*NOTAS!$B$2,2)</f>
        <v>5626.50</v>
      </c>
      <c r="I3917" s="6">
        <f>ROUND(G3917*NOTAS!$B$3,0)</f>
        <v>25341</v>
      </c>
      <c r="J3917" s="2" t="n">
        <v>18</v>
      </c>
    </row>
    <row r="3918">
      <c r="A3918" s="2" t="inlineStr">
        <is>
          <t>283361</t>
        </is>
      </c>
      <c r="B3918" s="2" t="inlineStr"/>
      <c r="C3918" s="2" t="inlineStr">
        <is>
          <t>TERMINAL DIRECCION HYUNDAI EXCEL/ACCENT</t>
        </is>
      </c>
      <c r="D3918" s="2" t="inlineStr">
        <is>
          <t>OCAP</t>
        </is>
      </c>
      <c r="E3918" s="3" t="n">
        <v>8</v>
      </c>
      <c r="F3918" s="4" t="n">
        <v>0.3</v>
      </c>
      <c r="G3918" s="5">
        <f>ROUND(E3918*(1+F3918),2)</f>
        <v>10.40</v>
      </c>
      <c r="H3918" s="5">
        <f>ROUND(G3918*NOTAS!$B$2,2)</f>
        <v>7501.99</v>
      </c>
      <c r="I3918" s="6">
        <f>ROUND(G3918*NOTAS!$B$3,0)</f>
        <v>33788</v>
      </c>
      <c r="J3918" s="2" t="n">
        <v>1</v>
      </c>
    </row>
    <row r="3919">
      <c r="A3919" s="2" t="inlineStr">
        <is>
          <t>GM0134</t>
        </is>
      </c>
      <c r="B3919" s="2" t="inlineStr"/>
      <c r="C3919" s="2" t="inlineStr">
        <is>
          <t>TERMINAL DIRECCION IZQUIERDO AVEO</t>
        </is>
      </c>
      <c r="D3919" s="2" t="inlineStr">
        <is>
          <t>DRIVEX</t>
        </is>
      </c>
      <c r="E3919" s="3" t="n">
        <v>6</v>
      </c>
      <c r="F3919" s="4" t="n">
        <v>0.3</v>
      </c>
      <c r="G3919" s="5">
        <f>ROUND(E3919*(1+F3919),2)</f>
        <v>7.80</v>
      </c>
      <c r="H3919" s="5">
        <f>ROUND(G3919*NOTAS!$B$2,2)</f>
        <v>5626.50</v>
      </c>
      <c r="I3919" s="6">
        <f>ROUND(G3919*NOTAS!$B$3,0)</f>
        <v>25341</v>
      </c>
      <c r="J3919" s="2" t="n">
        <v>5</v>
      </c>
    </row>
    <row r="3920">
      <c r="A3920" s="2" t="inlineStr">
        <is>
          <t>CEKD-13L</t>
        </is>
      </c>
      <c r="B3920" s="2" t="inlineStr"/>
      <c r="C3920" s="2" t="inlineStr">
        <is>
          <t>TERMINAL DIRECCION IZQUIERDO AVEO</t>
        </is>
      </c>
      <c r="D3920" s="2" t="inlineStr">
        <is>
          <t>CTR</t>
        </is>
      </c>
      <c r="E3920" s="3" t="n">
        <v>12</v>
      </c>
      <c r="F3920" s="4" t="n">
        <v>0.3</v>
      </c>
      <c r="G3920" s="5">
        <f>ROUND(E3920*(1+F3920),2)</f>
        <v>15.60</v>
      </c>
      <c r="H3920" s="5">
        <f>ROUND(G3920*NOTAS!$B$2,2)</f>
        <v>11252.99</v>
      </c>
      <c r="I3920" s="6">
        <f>ROUND(G3920*NOTAS!$B$3,0)</f>
        <v>50682</v>
      </c>
      <c r="J3920" s="2" t="n">
        <v>8</v>
      </c>
    </row>
    <row r="3921">
      <c r="A3921" s="2" t="inlineStr">
        <is>
          <t>KJO93740622</t>
        </is>
      </c>
      <c r="B3921" s="2" t="inlineStr"/>
      <c r="C3921" s="2" t="inlineStr">
        <is>
          <t>TERMINAL DIRECCION IZQUIERDO AVEO</t>
        </is>
      </c>
      <c r="D3921" s="2" t="inlineStr">
        <is>
          <t>JOINT</t>
        </is>
      </c>
      <c r="E3921" s="3" t="n">
        <v>9</v>
      </c>
      <c r="F3921" s="4" t="n">
        <v>0.3</v>
      </c>
      <c r="G3921" s="5">
        <f>ROUND(E3921*(1+F3921),2)</f>
        <v>11.70</v>
      </c>
      <c r="H3921" s="5">
        <f>ROUND(G3921*NOTAS!$B$2,2)</f>
        <v>8439.74</v>
      </c>
      <c r="I3921" s="6">
        <f>ROUND(G3921*NOTAS!$B$3,0)</f>
        <v>38012</v>
      </c>
      <c r="J3921" s="2" t="n">
        <v>2</v>
      </c>
    </row>
    <row r="3922">
      <c r="A3922" s="2" t="inlineStr">
        <is>
          <t>TI2871DB</t>
        </is>
      </c>
      <c r="B3922" s="2" t="inlineStr"/>
      <c r="C3922" s="2" t="inlineStr">
        <is>
          <t>TERMINAL DIRECCION IZQUIERDO CIELO/LANOS</t>
        </is>
      </c>
      <c r="D3922" s="2" t="inlineStr">
        <is>
          <t>HDSMECPAR</t>
        </is>
      </c>
      <c r="E3922" s="3" t="n">
        <v>6</v>
      </c>
      <c r="F3922" s="4" t="n">
        <v>0.3</v>
      </c>
      <c r="G3922" s="5">
        <f>ROUND(E3922*(1+F3922),2)</f>
        <v>7.80</v>
      </c>
      <c r="H3922" s="5">
        <f>ROUND(G3922*NOTAS!$B$2,2)</f>
        <v>5626.50</v>
      </c>
      <c r="I3922" s="6">
        <f>ROUND(G3922*NOTAS!$B$3,0)</f>
        <v>25341</v>
      </c>
      <c r="J3922" s="2" t="n">
        <v>5</v>
      </c>
    </row>
    <row r="3923">
      <c r="A3923" s="2" t="inlineStr">
        <is>
          <t>DA0045</t>
        </is>
      </c>
      <c r="B3923" s="2" t="inlineStr"/>
      <c r="C3923" s="2" t="inlineStr">
        <is>
          <t>TERMINAL DIRECCION IZQUIERDO CIELO/LANOS</t>
        </is>
      </c>
      <c r="D3923" s="2" t="inlineStr">
        <is>
          <t>DRIVEX</t>
        </is>
      </c>
      <c r="E3923" s="3" t="n">
        <v>5</v>
      </c>
      <c r="F3923" s="4" t="n">
        <v>0.3</v>
      </c>
      <c r="G3923" s="5">
        <f>ROUND(E3923*(1+F3923),2)</f>
        <v>6.50</v>
      </c>
      <c r="H3923" s="5">
        <f>ROUND(G3923*NOTAS!$B$2,2)</f>
        <v>4688.75</v>
      </c>
      <c r="I3923" s="6">
        <f>ROUND(G3923*NOTAS!$B$3,0)</f>
        <v>21118</v>
      </c>
      <c r="J3923" s="2" t="n">
        <v>15</v>
      </c>
    </row>
    <row r="3924">
      <c r="A3924" s="2" t="inlineStr">
        <is>
          <t>91-00318</t>
        </is>
      </c>
      <c r="B3924" s="2" t="inlineStr"/>
      <c r="C3924" s="2" t="inlineStr">
        <is>
          <t>TERMINAL DIRECCION IZQUIERDO CIELO/LANOS</t>
        </is>
      </c>
      <c r="D3924" s="2" t="inlineStr">
        <is>
          <t>RTS</t>
        </is>
      </c>
      <c r="E3924" s="3" t="n">
        <v>8</v>
      </c>
      <c r="F3924" s="4" t="n">
        <v>0.3</v>
      </c>
      <c r="G3924" s="5">
        <f>ROUND(E3924*(1+F3924),2)</f>
        <v>10.40</v>
      </c>
      <c r="H3924" s="5">
        <f>ROUND(G3924*NOTAS!$B$2,2)</f>
        <v>7501.99</v>
      </c>
      <c r="I3924" s="6">
        <f>ROUND(G3924*NOTAS!$B$3,0)</f>
        <v>33788</v>
      </c>
      <c r="J3924" s="2" t="n">
        <v>5</v>
      </c>
    </row>
    <row r="3925">
      <c r="A3925" s="2" t="inlineStr">
        <is>
          <t>O-201</t>
        </is>
      </c>
      <c r="B3925" s="2" t="inlineStr"/>
      <c r="C3925" s="2" t="inlineStr">
        <is>
          <t>TERMINAL DIRECCION IZQUIERDO CIELO/LANOS</t>
        </is>
      </c>
      <c r="D3925" s="2" t="inlineStr">
        <is>
          <t>TEKNOROT</t>
        </is>
      </c>
      <c r="E3925" s="3" t="n">
        <v>6</v>
      </c>
      <c r="F3925" s="4" t="n">
        <v>0.3</v>
      </c>
      <c r="G3925" s="5">
        <f>ROUND(E3925*(1+F3925),2)</f>
        <v>7.80</v>
      </c>
      <c r="H3925" s="5">
        <f>ROUND(G3925*NOTAS!$B$2,2)</f>
        <v>5626.50</v>
      </c>
      <c r="I3925" s="6">
        <f>ROUND(G3925*NOTAS!$B$3,0)</f>
        <v>25341</v>
      </c>
      <c r="J3925" s="2" t="n">
        <v>8</v>
      </c>
    </row>
    <row r="3926">
      <c r="A3926" s="2" t="inlineStr">
        <is>
          <t>CEDK-1L</t>
        </is>
      </c>
      <c r="B3926" s="2" t="inlineStr"/>
      <c r="C3926" s="2" t="inlineStr">
        <is>
          <t>TERMINAL DIRECCION IZQUIERDO CIELO/LANOS</t>
        </is>
      </c>
      <c r="D3926" s="2" t="inlineStr">
        <is>
          <t>CTR</t>
        </is>
      </c>
      <c r="E3926" s="3" t="n">
        <v>8</v>
      </c>
      <c r="F3926" s="4" t="n">
        <v>0.3</v>
      </c>
      <c r="G3926" s="5">
        <f>ROUND(E3926*(1+F3926),2)</f>
        <v>10.40</v>
      </c>
      <c r="H3926" s="5">
        <f>ROUND(G3926*NOTAS!$B$2,2)</f>
        <v>7501.99</v>
      </c>
      <c r="I3926" s="6">
        <f>ROUND(G3926*NOTAS!$B$3,0)</f>
        <v>33788</v>
      </c>
      <c r="J3926" s="2" t="n">
        <v>1</v>
      </c>
    </row>
    <row r="3927">
      <c r="A3927" s="2" t="inlineStr">
        <is>
          <t>K9061111</t>
        </is>
      </c>
      <c r="B3927" s="2" t="inlineStr"/>
      <c r="C3927" s="2" t="inlineStr">
        <is>
          <t>TERMINAL DIRECCION IZQUIERDO ECOSPORT 4X4</t>
        </is>
      </c>
      <c r="D3927" s="2" t="inlineStr">
        <is>
          <t>JOINT</t>
        </is>
      </c>
      <c r="E3927" s="3" t="n">
        <v>6</v>
      </c>
      <c r="F3927" s="4" t="n">
        <v>0.3</v>
      </c>
      <c r="G3927" s="5">
        <f>ROUND(E3927*(1+F3927),2)</f>
        <v>7.80</v>
      </c>
      <c r="H3927" s="5">
        <f>ROUND(G3927*NOTAS!$B$2,2)</f>
        <v>5626.50</v>
      </c>
      <c r="I3927" s="6">
        <f>ROUND(G3927*NOTAS!$B$3,0)</f>
        <v>25341</v>
      </c>
      <c r="J3927" s="2" t="n">
        <v>4</v>
      </c>
    </row>
    <row r="3928">
      <c r="A3928" s="2" t="inlineStr">
        <is>
          <t>KJO293963</t>
        </is>
      </c>
      <c r="B3928" s="2" t="inlineStr"/>
      <c r="C3928" s="2" t="inlineStr">
        <is>
          <t>TERMINAL DIRECCION IZQUIERDO FIESTA …/03</t>
        </is>
      </c>
      <c r="D3928" s="2" t="inlineStr">
        <is>
          <t>JOINT</t>
        </is>
      </c>
      <c r="E3928" s="3" t="n">
        <v>5</v>
      </c>
      <c r="F3928" s="4" t="n">
        <v>0.3</v>
      </c>
      <c r="G3928" s="5">
        <f>ROUND(E3928*(1+F3928),2)</f>
        <v>6.50</v>
      </c>
      <c r="H3928" s="5">
        <f>ROUND(G3928*NOTAS!$B$2,2)</f>
        <v>4688.75</v>
      </c>
      <c r="I3928" s="6">
        <f>ROUND(G3928*NOTAS!$B$3,0)</f>
        <v>21118</v>
      </c>
      <c r="J3928" s="2" t="n">
        <v>5</v>
      </c>
    </row>
    <row r="3929">
      <c r="A3929" s="2" t="inlineStr">
        <is>
          <t>91-00680-2</t>
        </is>
      </c>
      <c r="B3929" s="2" t="inlineStr"/>
      <c r="C3929" s="2" t="inlineStr">
        <is>
          <t>TERMINAL DIRECCION IZQUIERDO FIESTA …/03</t>
        </is>
      </c>
      <c r="D3929" s="2" t="inlineStr">
        <is>
          <t>RTS</t>
        </is>
      </c>
      <c r="E3929" s="3" t="n">
        <v>7</v>
      </c>
      <c r="F3929" s="4" t="n">
        <v>0.3</v>
      </c>
      <c r="G3929" s="5">
        <f>ROUND(E3929*(1+F3929),2)</f>
        <v>9.10</v>
      </c>
      <c r="H3929" s="5">
        <f>ROUND(G3929*NOTAS!$B$2,2)</f>
        <v>6564.24</v>
      </c>
      <c r="I3929" s="6">
        <f>ROUND(G3929*NOTAS!$B$3,0)</f>
        <v>29565</v>
      </c>
      <c r="J3929" s="2" t="n">
        <v>3</v>
      </c>
    </row>
    <row r="3930">
      <c r="A3930" s="2" t="inlineStr">
        <is>
          <t>K91006732</t>
        </is>
      </c>
      <c r="B3930" s="2" t="inlineStr"/>
      <c r="C3930" s="2" t="inlineStr">
        <is>
          <t>TERMINAL DIRECCION IZQUIERDO FIESTA 04/…</t>
        </is>
      </c>
      <c r="D3930" s="2" t="inlineStr">
        <is>
          <t>JOINT</t>
        </is>
      </c>
      <c r="E3930" s="3" t="n">
        <v>5</v>
      </c>
      <c r="F3930" s="4" t="n">
        <v>0.3</v>
      </c>
      <c r="G3930" s="5">
        <f>ROUND(E3930*(1+F3930),2)</f>
        <v>6.50</v>
      </c>
      <c r="H3930" s="5">
        <f>ROUND(G3930*NOTAS!$B$2,2)</f>
        <v>4688.75</v>
      </c>
      <c r="I3930" s="6">
        <f>ROUND(G3930*NOTAS!$B$3,0)</f>
        <v>21118</v>
      </c>
      <c r="J3930" s="2" t="n">
        <v>10</v>
      </c>
    </row>
    <row r="3931">
      <c r="A3931" s="2" t="inlineStr">
        <is>
          <t>91-00673-2</t>
        </is>
      </c>
      <c r="B3931" s="2" t="inlineStr"/>
      <c r="C3931" s="2" t="inlineStr">
        <is>
          <t>TERMINAL DIRECCION IZQUIERDO FIESTA 04/…</t>
        </is>
      </c>
      <c r="D3931" s="2" t="inlineStr">
        <is>
          <t>RTS</t>
        </is>
      </c>
      <c r="E3931" s="3" t="n">
        <v>7</v>
      </c>
      <c r="F3931" s="4" t="n">
        <v>0.3</v>
      </c>
      <c r="G3931" s="5">
        <f>ROUND(E3931*(1+F3931),2)</f>
        <v>9.10</v>
      </c>
      <c r="H3931" s="5">
        <f>ROUND(G3931*NOTAS!$B$2,2)</f>
        <v>6564.24</v>
      </c>
      <c r="I3931" s="6">
        <f>ROUND(G3931*NOTAS!$B$3,0)</f>
        <v>29565</v>
      </c>
      <c r="J3931" s="2" t="n">
        <v>2</v>
      </c>
    </row>
    <row r="3932">
      <c r="A3932" s="2" t="inlineStr">
        <is>
          <t>1202549</t>
        </is>
      </c>
      <c r="B3932" s="2" t="inlineStr"/>
      <c r="C3932" s="2" t="inlineStr">
        <is>
          <t>TERMINAL DIRECCION IZQUIERDO FIESTA 04/…</t>
        </is>
      </c>
      <c r="D3932" s="2" t="inlineStr">
        <is>
          <t>REMIK</t>
        </is>
      </c>
      <c r="E3932" s="3" t="n">
        <v>6</v>
      </c>
      <c r="F3932" s="4" t="n">
        <v>0.3</v>
      </c>
      <c r="G3932" s="5">
        <f>ROUND(E3932*(1+F3932),2)</f>
        <v>7.80</v>
      </c>
      <c r="H3932" s="5">
        <f>ROUND(G3932*NOTAS!$B$2,2)</f>
        <v>5626.50</v>
      </c>
      <c r="I3932" s="6">
        <f>ROUND(G3932*NOTAS!$B$3,0)</f>
        <v>25341</v>
      </c>
      <c r="J3932" s="2" t="n">
        <v>4</v>
      </c>
    </row>
    <row r="3933">
      <c r="A3933" s="2" t="inlineStr">
        <is>
          <t>GKP-81-001502</t>
        </is>
      </c>
      <c r="B3933" s="2" t="inlineStr"/>
      <c r="C3933" s="2" t="inlineStr">
        <is>
          <t>TERMINAL DIRECCION IZQUIERDO F-PAL/SIE</t>
        </is>
      </c>
      <c r="D3933" s="2" t="inlineStr">
        <is>
          <t>GKP</t>
        </is>
      </c>
      <c r="E3933" s="3" t="n">
        <v>8</v>
      </c>
      <c r="F3933" s="4" t="n">
        <v>0.3</v>
      </c>
      <c r="G3933" s="5">
        <f>ROUND(E3933*(1+F3933),2)</f>
        <v>10.40</v>
      </c>
      <c r="H3933" s="5">
        <f>ROUND(G3933*NOTAS!$B$2,2)</f>
        <v>7501.99</v>
      </c>
      <c r="I3933" s="6">
        <f>ROUND(G3933*NOTAS!$B$3,0)</f>
        <v>33788</v>
      </c>
      <c r="J3933" s="2" t="n">
        <v>1</v>
      </c>
    </row>
    <row r="3934">
      <c r="A3934" s="2" t="inlineStr">
        <is>
          <t>N6017</t>
        </is>
      </c>
      <c r="B3934" s="2" t="inlineStr"/>
      <c r="C3934" s="2" t="inlineStr">
        <is>
          <t>TERMINAL DIRECCION IZQUIERDO F-PAL/SIE</t>
        </is>
      </c>
      <c r="D3934" s="2" t="inlineStr">
        <is>
          <t>NAKATA</t>
        </is>
      </c>
      <c r="E3934" s="3" t="n">
        <v>11</v>
      </c>
      <c r="F3934" s="4" t="n">
        <v>0.3</v>
      </c>
      <c r="G3934" s="5">
        <f>ROUND(E3934*(1+F3934),2)</f>
        <v>14.30</v>
      </c>
      <c r="H3934" s="5">
        <f>ROUND(G3934*NOTAS!$B$2,2)</f>
        <v>10315.24</v>
      </c>
      <c r="I3934" s="6">
        <f>ROUND(G3934*NOTAS!$B$3,0)</f>
        <v>46459</v>
      </c>
      <c r="J3934" s="2" t="n">
        <v>1</v>
      </c>
    </row>
    <row r="3935">
      <c r="A3935" s="2" t="inlineStr">
        <is>
          <t>91-00150-2</t>
        </is>
      </c>
      <c r="B3935" s="2" t="inlineStr"/>
      <c r="C3935" s="2" t="inlineStr">
        <is>
          <t>TERMINAL DIRECCION IZQUIERDO F-PAL/SIE</t>
        </is>
      </c>
      <c r="D3935" s="2" t="inlineStr">
        <is>
          <t>RTS</t>
        </is>
      </c>
      <c r="E3935" s="3" t="n">
        <v>12</v>
      </c>
      <c r="F3935" s="4" t="n">
        <v>0.3</v>
      </c>
      <c r="G3935" s="5">
        <f>ROUND(E3935*(1+F3935),2)</f>
        <v>15.60</v>
      </c>
      <c r="H3935" s="5">
        <f>ROUND(G3935*NOTAS!$B$2,2)</f>
        <v>11252.99</v>
      </c>
      <c r="I3935" s="6">
        <f>ROUND(G3935*NOTAS!$B$3,0)</f>
        <v>50682</v>
      </c>
      <c r="J3935" s="2" t="n">
        <v>5</v>
      </c>
    </row>
    <row r="3936">
      <c r="A3936" s="2" t="inlineStr">
        <is>
          <t>FI0038</t>
        </is>
      </c>
      <c r="B3936" s="2" t="inlineStr"/>
      <c r="C3936" s="2" t="inlineStr">
        <is>
          <t>TERMINAL DIRECCION IZQUIERDO F-PAL/SIE</t>
        </is>
      </c>
      <c r="D3936" s="2" t="inlineStr">
        <is>
          <t>DRIVEX</t>
        </is>
      </c>
      <c r="E3936" s="3" t="n">
        <v>5.53</v>
      </c>
      <c r="F3936" s="4" t="n">
        <v>0.3</v>
      </c>
      <c r="G3936" s="5">
        <f>ROUND(E3936*(1+F3936),2)</f>
        <v>7.19</v>
      </c>
      <c r="H3936" s="5">
        <f>ROUND(G3936*NOTAS!$B$2,2)</f>
        <v>5186.47</v>
      </c>
      <c r="I3936" s="6">
        <f>ROUND(G3936*NOTAS!$B$3,0)</f>
        <v>23359</v>
      </c>
      <c r="J3936" s="2" t="n">
        <v>2</v>
      </c>
    </row>
    <row r="3937">
      <c r="A3937" s="2" t="inlineStr">
        <is>
          <t>46456189</t>
        </is>
      </c>
      <c r="B3937" s="2" t="inlineStr"/>
      <c r="C3937" s="2" t="inlineStr">
        <is>
          <t>TERMINAL DIRECCION IZQUIERDO F-PAL/SIE</t>
        </is>
      </c>
      <c r="D3937" s="2" t="inlineStr">
        <is>
          <t>KAPARS</t>
        </is>
      </c>
      <c r="E3937" s="3" t="n">
        <v>8</v>
      </c>
      <c r="F3937" s="4" t="n">
        <v>0.3</v>
      </c>
      <c r="G3937" s="5">
        <f>ROUND(E3937*(1+F3937),2)</f>
        <v>10.40</v>
      </c>
      <c r="H3937" s="5">
        <f>ROUND(G3937*NOTAS!$B$2,2)</f>
        <v>7501.99</v>
      </c>
      <c r="I3937" s="6">
        <f>ROUND(G3937*NOTAS!$B$3,0)</f>
        <v>33788</v>
      </c>
      <c r="J3937" s="2" t="n">
        <v>2</v>
      </c>
    </row>
    <row r="3938">
      <c r="A3938" s="2" t="inlineStr">
        <is>
          <t>K96407485</t>
        </is>
      </c>
      <c r="B3938" s="2" t="inlineStr"/>
      <c r="C3938" s="2" t="inlineStr">
        <is>
          <t>TERMINAL DIRECCION IZQUIERDO OPTRA</t>
        </is>
      </c>
      <c r="D3938" s="2" t="inlineStr">
        <is>
          <t>JOINT</t>
        </is>
      </c>
      <c r="E3938" s="3" t="n">
        <v>7</v>
      </c>
      <c r="F3938" s="4" t="n">
        <v>0.3</v>
      </c>
      <c r="G3938" s="5">
        <f>ROUND(E3938*(1+F3938),2)</f>
        <v>9.10</v>
      </c>
      <c r="H3938" s="5">
        <f>ROUND(G3938*NOTAS!$B$2,2)</f>
        <v>6564.24</v>
      </c>
      <c r="I3938" s="6">
        <f>ROUND(G3938*NOTAS!$B$3,0)</f>
        <v>29565</v>
      </c>
      <c r="J3938" s="2" t="n">
        <v>3</v>
      </c>
    </row>
    <row r="3939">
      <c r="A3939" s="2" t="inlineStr">
        <is>
          <t>C09014</t>
        </is>
      </c>
      <c r="B3939" s="2" t="inlineStr"/>
      <c r="C3939" s="2" t="inlineStr">
        <is>
          <t>TERMINAL DIRECCION IZQUIERDO OPTRA</t>
        </is>
      </c>
      <c r="D3939" s="2" t="inlineStr">
        <is>
          <t>CCP</t>
        </is>
      </c>
      <c r="E3939" s="3" t="n">
        <v>7</v>
      </c>
      <c r="F3939" s="4" t="n">
        <v>0.3</v>
      </c>
      <c r="G3939" s="5">
        <f>ROUND(E3939*(1+F3939),2)</f>
        <v>9.10</v>
      </c>
      <c r="H3939" s="5">
        <f>ROUND(G3939*NOTAS!$B$2,2)</f>
        <v>6564.24</v>
      </c>
      <c r="I3939" s="6">
        <f>ROUND(G3939*NOTAS!$B$3,0)</f>
        <v>29565</v>
      </c>
      <c r="J3939" s="2" t="n">
        <v>2</v>
      </c>
    </row>
    <row r="3940">
      <c r="A3940" s="2" t="inlineStr">
        <is>
          <t>CEKD-16L</t>
        </is>
      </c>
      <c r="B3940" s="2" t="inlineStr"/>
      <c r="C3940" s="2" t="inlineStr">
        <is>
          <t>TERMINAL DIRECCION IZQUIERDO OPTRA</t>
        </is>
      </c>
      <c r="D3940" s="2" t="inlineStr">
        <is>
          <t>CTR</t>
        </is>
      </c>
      <c r="E3940" s="3" t="n">
        <v>11</v>
      </c>
      <c r="F3940" s="4" t="n">
        <v>0.3</v>
      </c>
      <c r="G3940" s="5">
        <f>ROUND(E3940*(1+F3940),2)</f>
        <v>14.30</v>
      </c>
      <c r="H3940" s="5">
        <f>ROUND(G3940*NOTAS!$B$2,2)</f>
        <v>10315.24</v>
      </c>
      <c r="I3940" s="6">
        <f>ROUND(G3940*NOTAS!$B$3,0)</f>
        <v>46459</v>
      </c>
      <c r="J3940" s="2" t="n">
        <v>2</v>
      </c>
    </row>
    <row r="3941">
      <c r="A3941" s="2" t="inlineStr">
        <is>
          <t>R-302</t>
        </is>
      </c>
      <c r="B3941" s="2" t="inlineStr"/>
      <c r="C3941" s="2" t="inlineStr">
        <is>
          <t>TERMINAL DIRECCION IZQUIERDO R-12</t>
        </is>
      </c>
      <c r="D3941" s="2" t="inlineStr">
        <is>
          <t>TEKNOROT</t>
        </is>
      </c>
      <c r="E3941" s="3" t="n">
        <v>8</v>
      </c>
      <c r="F3941" s="4" t="n">
        <v>0.3</v>
      </c>
      <c r="G3941" s="5">
        <f>ROUND(E3941*(1+F3941),2)</f>
        <v>10.40</v>
      </c>
      <c r="H3941" s="5">
        <f>ROUND(G3941*NOTAS!$B$2,2)</f>
        <v>7501.99</v>
      </c>
      <c r="I3941" s="6">
        <f>ROUND(G3941*NOTAS!$B$3,0)</f>
        <v>33788</v>
      </c>
      <c r="J3941" s="2" t="n">
        <v>1</v>
      </c>
    </row>
    <row r="3942">
      <c r="A3942" s="2" t="inlineStr">
        <is>
          <t>WB80118-RH</t>
        </is>
      </c>
      <c r="B3942" s="2" t="inlineStr"/>
      <c r="C3942" s="2" t="inlineStr">
        <is>
          <t>TERMINAL DIRECCION IZQUIERDO R-19</t>
        </is>
      </c>
      <c r="D3942" s="2" t="inlineStr">
        <is>
          <t>CCP</t>
        </is>
      </c>
      <c r="E3942" s="3" t="n">
        <v>5</v>
      </c>
      <c r="F3942" s="4" t="n">
        <v>0.3</v>
      </c>
      <c r="G3942" s="5">
        <f>ROUND(E3942*(1+F3942),2)</f>
        <v>6.50</v>
      </c>
      <c r="H3942" s="5">
        <f>ROUND(G3942*NOTAS!$B$2,2)</f>
        <v>4688.75</v>
      </c>
      <c r="I3942" s="6">
        <f>ROUND(G3942*NOTAS!$B$3,0)</f>
        <v>21118</v>
      </c>
      <c r="J3942" s="2" t="n">
        <v>1</v>
      </c>
    </row>
    <row r="3943">
      <c r="A3943" s="2" t="inlineStr"/>
      <c r="B3943" s="2" t="inlineStr"/>
      <c r="C3943" s="2" t="inlineStr">
        <is>
          <t>TERMINAL DIRECCION IZQUIERDO R-19</t>
        </is>
      </c>
      <c r="D3943" s="2" t="inlineStr">
        <is>
          <t>RTS</t>
        </is>
      </c>
      <c r="E3943" s="3" t="n">
        <v>8</v>
      </c>
      <c r="F3943" s="4" t="n">
        <v>0.3</v>
      </c>
      <c r="G3943" s="5">
        <f>ROUND(E3943*(1+F3943),2)</f>
        <v>10.40</v>
      </c>
      <c r="H3943" s="5">
        <f>ROUND(G3943*NOTAS!$B$2,2)</f>
        <v>7501.99</v>
      </c>
      <c r="I3943" s="6">
        <f>ROUND(G3943*NOTAS!$B$3,0)</f>
        <v>33788</v>
      </c>
      <c r="J3943" s="2" t="n">
        <v>1</v>
      </c>
    </row>
    <row r="3944">
      <c r="A3944" s="2" t="inlineStr">
        <is>
          <t>7701467274</t>
        </is>
      </c>
      <c r="B3944" s="2" t="inlineStr"/>
      <c r="C3944" s="2" t="inlineStr">
        <is>
          <t>TERMINAL DIRECCION IZQUIERDO R-19</t>
        </is>
      </c>
      <c r="D3944" s="2" t="inlineStr">
        <is>
          <t>GUTTMANN</t>
        </is>
      </c>
      <c r="E3944" s="3" t="n">
        <v>5</v>
      </c>
      <c r="F3944" s="4" t="n">
        <v>0.3</v>
      </c>
      <c r="G3944" s="5">
        <f>ROUND(E3944*(1+F3944),2)</f>
        <v>6.50</v>
      </c>
      <c r="H3944" s="5">
        <f>ROUND(G3944*NOTAS!$B$2,2)</f>
        <v>4688.75</v>
      </c>
      <c r="I3944" s="6">
        <f>ROUND(G3944*NOTAS!$B$3,0)</f>
        <v>21118</v>
      </c>
      <c r="J3944" s="2" t="n">
        <v>3</v>
      </c>
    </row>
    <row r="3945">
      <c r="A3945" s="2" t="inlineStr">
        <is>
          <t>190675</t>
        </is>
      </c>
      <c r="B3945" s="2" t="inlineStr"/>
      <c r="C3945" s="2" t="inlineStr">
        <is>
          <t>TERMINAL DIRECCION IZQUIERDO R-19</t>
        </is>
      </c>
      <c r="D3945" s="2" t="inlineStr">
        <is>
          <t>OCAP</t>
        </is>
      </c>
      <c r="E3945" s="3" t="n">
        <v>7</v>
      </c>
      <c r="F3945" s="4" t="n">
        <v>0.3</v>
      </c>
      <c r="G3945" s="5">
        <f>ROUND(E3945*(1+F3945),2)</f>
        <v>9.10</v>
      </c>
      <c r="H3945" s="5">
        <f>ROUND(G3945*NOTAS!$B$2,2)</f>
        <v>6564.24</v>
      </c>
      <c r="I3945" s="6">
        <f>ROUND(G3945*NOTAS!$B$3,0)</f>
        <v>29565</v>
      </c>
      <c r="J3945" s="2" t="n">
        <v>15</v>
      </c>
    </row>
    <row r="3946">
      <c r="A3946" s="2" t="inlineStr">
        <is>
          <t>292450</t>
        </is>
      </c>
      <c r="B3946" s="2" t="inlineStr"/>
      <c r="C3946" s="2" t="inlineStr">
        <is>
          <t>TERMINAL DIRECCION IZQUIERDO R-LOGAN</t>
        </is>
      </c>
      <c r="D3946" s="2" t="inlineStr">
        <is>
          <t>OCAP</t>
        </is>
      </c>
      <c r="E3946" s="3" t="n">
        <v>10</v>
      </c>
      <c r="F3946" s="4" t="n">
        <v>0.3</v>
      </c>
      <c r="G3946" s="5">
        <f>ROUND(E3946*(1+F3946),2)</f>
        <v>13.00</v>
      </c>
      <c r="H3946" s="5">
        <f>ROUND(G3946*NOTAS!$B$2,2)</f>
        <v>9377.49</v>
      </c>
      <c r="I3946" s="6">
        <f>ROUND(G3946*NOTAS!$B$3,0)</f>
        <v>42235</v>
      </c>
      <c r="J3946" s="2" t="n">
        <v>14</v>
      </c>
    </row>
    <row r="3947">
      <c r="A3947" s="2" t="inlineStr">
        <is>
          <t>RC8526</t>
        </is>
      </c>
      <c r="B3947" s="2" t="inlineStr"/>
      <c r="C3947" s="2" t="inlineStr">
        <is>
          <t>TERMINAL DIRECCION IZQUIERDO R-LOGAN</t>
        </is>
      </c>
      <c r="D3947" s="2" t="inlineStr">
        <is>
          <t>TNK</t>
        </is>
      </c>
      <c r="E3947" s="3" t="n">
        <v>10</v>
      </c>
      <c r="F3947" s="4" t="n">
        <v>0.3</v>
      </c>
      <c r="G3947" s="5">
        <f>ROUND(E3947*(1+F3947),2)</f>
        <v>13.00</v>
      </c>
      <c r="H3947" s="5">
        <f>ROUND(G3947*NOTAS!$B$2,2)</f>
        <v>9377.49</v>
      </c>
      <c r="I3947" s="6">
        <f>ROUND(G3947*NOTAS!$B$3,0)</f>
        <v>42235</v>
      </c>
      <c r="J3947" s="2" t="n">
        <v>4</v>
      </c>
    </row>
    <row r="3948">
      <c r="A3948" s="2" t="inlineStr">
        <is>
          <t>RE0107</t>
        </is>
      </c>
      <c r="B3948" s="2" t="inlineStr"/>
      <c r="C3948" s="2" t="inlineStr">
        <is>
          <t>TERMINAL DIRECCION IZQUIERDO R-LOGAN</t>
        </is>
      </c>
      <c r="D3948" s="2" t="inlineStr">
        <is>
          <t>DRIVEX</t>
        </is>
      </c>
      <c r="E3948" s="3" t="n">
        <v>6.65</v>
      </c>
      <c r="F3948" s="4" t="n">
        <v>0.3</v>
      </c>
      <c r="G3948" s="5">
        <f>ROUND(E3948*(1+F3948),2)</f>
        <v>8.65</v>
      </c>
      <c r="H3948" s="5">
        <f>ROUND(G3948*NOTAS!$B$2,2)</f>
        <v>6239.64</v>
      </c>
      <c r="I3948" s="6">
        <f>ROUND(G3948*NOTAS!$B$3,0)</f>
        <v>28103</v>
      </c>
      <c r="J3948" s="2" t="n">
        <v>4</v>
      </c>
    </row>
    <row r="3949">
      <c r="A3949" s="2" t="inlineStr">
        <is>
          <t>91-90402-2</t>
        </is>
      </c>
      <c r="B3949" s="2" t="inlineStr"/>
      <c r="C3949" s="2" t="inlineStr">
        <is>
          <t>TERMINAL DIRECCION IZQUIERDO R-SYMBOL/MEGANE/CLIO</t>
        </is>
      </c>
      <c r="D3949" s="2" t="inlineStr">
        <is>
          <t>RTS</t>
        </is>
      </c>
      <c r="E3949" s="3" t="n">
        <v>9.18</v>
      </c>
      <c r="F3949" s="4" t="n">
        <v>0.3</v>
      </c>
      <c r="G3949" s="5">
        <f>ROUND(E3949*(1+F3949),2)</f>
        <v>11.93</v>
      </c>
      <c r="H3949" s="5">
        <f>ROUND(G3949*NOTAS!$B$2,2)</f>
        <v>8605.65</v>
      </c>
      <c r="I3949" s="6">
        <f>ROUND(G3949*NOTAS!$B$3,0)</f>
        <v>38759</v>
      </c>
      <c r="J3949" s="2" t="n">
        <v>18</v>
      </c>
    </row>
    <row r="3950">
      <c r="A3950" s="2" t="inlineStr">
        <is>
          <t>R-732</t>
        </is>
      </c>
      <c r="B3950" s="2" t="inlineStr"/>
      <c r="C3950" s="2" t="inlineStr">
        <is>
          <t>TERMINAL DIRECCION IZQUIERDO R-SYMBOL/MEGANE/CLIO</t>
        </is>
      </c>
      <c r="D3950" s="2" t="inlineStr">
        <is>
          <t>TEKNOROT</t>
        </is>
      </c>
      <c r="E3950" s="3" t="n">
        <v>7</v>
      </c>
      <c r="F3950" s="4" t="n">
        <v>0.3</v>
      </c>
      <c r="G3950" s="5">
        <f>ROUND(E3950*(1+F3950),2)</f>
        <v>9.10</v>
      </c>
      <c r="H3950" s="5">
        <f>ROUND(G3950*NOTAS!$B$2,2)</f>
        <v>6564.24</v>
      </c>
      <c r="I3950" s="6">
        <f>ROUND(G3950*NOTAS!$B$3,0)</f>
        <v>29565</v>
      </c>
      <c r="J3950" s="2" t="n">
        <v>2</v>
      </c>
    </row>
    <row r="3951">
      <c r="A3951" s="2" t="inlineStr">
        <is>
          <t>GKP-81-90402-2</t>
        </is>
      </c>
      <c r="B3951" s="2" t="inlineStr"/>
      <c r="C3951" s="2" t="inlineStr">
        <is>
          <t>TERMINAL DIRECCION IZQUIERDO R-SYMBOL/MEGANE/CLIO</t>
        </is>
      </c>
      <c r="D3951" s="2" t="inlineStr">
        <is>
          <t>GKP</t>
        </is>
      </c>
      <c r="E3951" s="3" t="n">
        <v>7</v>
      </c>
      <c r="F3951" s="4" t="n">
        <v>0.3</v>
      </c>
      <c r="G3951" s="5">
        <f>ROUND(E3951*(1+F3951),2)</f>
        <v>9.10</v>
      </c>
      <c r="H3951" s="5">
        <f>ROUND(G3951*NOTAS!$B$2,2)</f>
        <v>6564.24</v>
      </c>
      <c r="I3951" s="6">
        <f>ROUND(G3951*NOTAS!$B$3,0)</f>
        <v>29565</v>
      </c>
      <c r="J3951" s="2" t="n">
        <v>8</v>
      </c>
    </row>
    <row r="3952">
      <c r="A3952" s="2" t="inlineStr">
        <is>
          <t>RC2011</t>
        </is>
      </c>
      <c r="B3952" s="2" t="inlineStr"/>
      <c r="C3952" s="2" t="inlineStr">
        <is>
          <t>TERMINAL DIRECCION IZQUIERDO R-SYMBOL/MEGANE/CLIO</t>
        </is>
      </c>
      <c r="D3952" s="2" t="inlineStr">
        <is>
          <t>TNK</t>
        </is>
      </c>
      <c r="E3952" s="3" t="n">
        <v>7</v>
      </c>
      <c r="F3952" s="4" t="n">
        <v>0.3</v>
      </c>
      <c r="G3952" s="5">
        <f>ROUND(E3952*(1+F3952),2)</f>
        <v>9.10</v>
      </c>
      <c r="H3952" s="5">
        <f>ROUND(G3952*NOTAS!$B$2,2)</f>
        <v>6564.24</v>
      </c>
      <c r="I3952" s="6">
        <f>ROUND(G3952*NOTAS!$B$3,0)</f>
        <v>29565</v>
      </c>
      <c r="J3952" s="2" t="n">
        <v>5</v>
      </c>
    </row>
    <row r="3953">
      <c r="A3953" s="2" t="inlineStr">
        <is>
          <t>WB80916-L</t>
        </is>
      </c>
      <c r="B3953" s="2" t="inlineStr"/>
      <c r="C3953" s="2" t="inlineStr">
        <is>
          <t>TERMINAL DIRECCION IZQUIERDO R-SYMBOL/MEGANE/CLIO</t>
        </is>
      </c>
      <c r="D3953" s="2" t="inlineStr">
        <is>
          <t>CCP</t>
        </is>
      </c>
      <c r="E3953" s="3" t="n">
        <v>6</v>
      </c>
      <c r="F3953" s="4" t="n">
        <v>0.3</v>
      </c>
      <c r="G3953" s="5">
        <f>ROUND(E3953*(1+F3953),2)</f>
        <v>7.80</v>
      </c>
      <c r="H3953" s="5">
        <f>ROUND(G3953*NOTAS!$B$2,2)</f>
        <v>5626.50</v>
      </c>
      <c r="I3953" s="6">
        <f>ROUND(G3953*NOTAS!$B$3,0)</f>
        <v>25341</v>
      </c>
      <c r="J3953" s="2" t="n">
        <v>10</v>
      </c>
    </row>
    <row r="3954">
      <c r="A3954" s="2" t="inlineStr">
        <is>
          <t>RE0175</t>
        </is>
      </c>
      <c r="B3954" s="2" t="inlineStr"/>
      <c r="C3954" s="2" t="inlineStr">
        <is>
          <t>TERMINAL DIRECCION IZQUIERDO R-SYMBOL/MEGANE/CLIO</t>
        </is>
      </c>
      <c r="D3954" s="2" t="inlineStr">
        <is>
          <t>DRIVEX</t>
        </is>
      </c>
      <c r="E3954" s="3" t="n">
        <v>5</v>
      </c>
      <c r="F3954" s="4" t="n">
        <v>0.3</v>
      </c>
      <c r="G3954" s="5">
        <f>ROUND(E3954*(1+F3954),2)</f>
        <v>6.50</v>
      </c>
      <c r="H3954" s="5">
        <f>ROUND(G3954*NOTAS!$B$2,2)</f>
        <v>4688.75</v>
      </c>
      <c r="I3954" s="6">
        <f>ROUND(G3954*NOTAS!$B$3,0)</f>
        <v>21118</v>
      </c>
      <c r="J3954" s="2" t="n">
        <v>8</v>
      </c>
    </row>
    <row r="3955">
      <c r="A3955" s="2" t="inlineStr">
        <is>
          <t>R-802</t>
        </is>
      </c>
      <c r="B3955" s="2" t="inlineStr"/>
      <c r="C3955" s="2" t="inlineStr">
        <is>
          <t>TERMINAL DIRECCION IZQUIERDO R-TWINGO</t>
        </is>
      </c>
      <c r="D3955" s="2" t="inlineStr">
        <is>
          <t>TEKNOROT</t>
        </is>
      </c>
      <c r="E3955" s="3" t="n">
        <v>6</v>
      </c>
      <c r="F3955" s="4" t="n">
        <v>0.3</v>
      </c>
      <c r="G3955" s="5">
        <f>ROUND(E3955*(1+F3955),2)</f>
        <v>7.80</v>
      </c>
      <c r="H3955" s="5">
        <f>ROUND(G3955*NOTAS!$B$2,2)</f>
        <v>5626.50</v>
      </c>
      <c r="I3955" s="6">
        <f>ROUND(G3955*NOTAS!$B$3,0)</f>
        <v>25341</v>
      </c>
      <c r="J3955" s="2" t="n">
        <v>7</v>
      </c>
    </row>
    <row r="3956">
      <c r="A3956" s="2" t="inlineStr">
        <is>
          <t>K901400</t>
        </is>
      </c>
      <c r="B3956" s="2" t="inlineStr"/>
      <c r="C3956" s="2" t="inlineStr">
        <is>
          <t>TERMINAL DIRECCION KA</t>
        </is>
      </c>
      <c r="D3956" s="2" t="inlineStr">
        <is>
          <t>JOINT</t>
        </is>
      </c>
      <c r="E3956" s="3" t="n">
        <v>6</v>
      </c>
      <c r="F3956" s="4" t="n">
        <v>0.3</v>
      </c>
      <c r="G3956" s="5">
        <f>ROUND(E3956*(1+F3956),2)</f>
        <v>7.80</v>
      </c>
      <c r="H3956" s="5">
        <f>ROUND(G3956*NOTAS!$B$2,2)</f>
        <v>5626.50</v>
      </c>
      <c r="I3956" s="6">
        <f>ROUND(G3956*NOTAS!$B$3,0)</f>
        <v>25341</v>
      </c>
      <c r="J3956" s="2" t="n">
        <v>3</v>
      </c>
    </row>
    <row r="3957">
      <c r="A3957" s="2" t="inlineStr">
        <is>
          <t>91-00605</t>
        </is>
      </c>
      <c r="B3957" s="2" t="inlineStr"/>
      <c r="C3957" s="2" t="inlineStr">
        <is>
          <t>TERMINAL DIRECCION KA</t>
        </is>
      </c>
      <c r="D3957" s="2" t="inlineStr">
        <is>
          <t>RTS</t>
        </is>
      </c>
      <c r="E3957" s="3" t="n">
        <v>9</v>
      </c>
      <c r="F3957" s="4" t="n">
        <v>0.3</v>
      </c>
      <c r="G3957" s="5">
        <f>ROUND(E3957*(1+F3957),2)</f>
        <v>11.70</v>
      </c>
      <c r="H3957" s="5">
        <f>ROUND(G3957*NOTAS!$B$2,2)</f>
        <v>8439.74</v>
      </c>
      <c r="I3957" s="6">
        <f>ROUND(G3957*NOTAS!$B$3,0)</f>
        <v>38012</v>
      </c>
      <c r="J3957" s="2" t="n">
        <v>15</v>
      </c>
    </row>
    <row r="3958">
      <c r="A3958" s="2" t="inlineStr">
        <is>
          <t>MDX5032280-PH</t>
        </is>
      </c>
      <c r="B3958" s="2" t="inlineStr"/>
      <c r="C3958" s="2" t="inlineStr">
        <is>
          <t>TERMINAL DIRECCION KIA RIO</t>
        </is>
      </c>
      <c r="D3958" s="2" t="inlineStr">
        <is>
          <t>PHIA</t>
        </is>
      </c>
      <c r="E3958" s="3" t="n">
        <v>5</v>
      </c>
      <c r="F3958" s="4" t="n">
        <v>0.3</v>
      </c>
      <c r="G3958" s="5">
        <f>ROUND(E3958*(1+F3958),2)</f>
        <v>6.50</v>
      </c>
      <c r="H3958" s="5">
        <f>ROUND(G3958*NOTAS!$B$2,2)</f>
        <v>4688.75</v>
      </c>
      <c r="I3958" s="6">
        <f>ROUND(G3958*NOTAS!$B$3,0)</f>
        <v>21118</v>
      </c>
      <c r="J3958" s="2" t="n">
        <v>1</v>
      </c>
    </row>
    <row r="3959">
      <c r="A3959" s="2" t="inlineStr">
        <is>
          <t>KI0009</t>
        </is>
      </c>
      <c r="B3959" s="2" t="inlineStr"/>
      <c r="C3959" s="2" t="inlineStr">
        <is>
          <t>TERMINAL DIRECCION KIA RIO</t>
        </is>
      </c>
      <c r="D3959" s="2" t="inlineStr">
        <is>
          <t>DRIVEX</t>
        </is>
      </c>
      <c r="E3959" s="3" t="n">
        <v>5</v>
      </c>
      <c r="F3959" s="4" t="n">
        <v>0.3</v>
      </c>
      <c r="G3959" s="5">
        <f>ROUND(E3959*(1+F3959),2)</f>
        <v>6.50</v>
      </c>
      <c r="H3959" s="5">
        <f>ROUND(G3959*NOTAS!$B$2,2)</f>
        <v>4688.75</v>
      </c>
      <c r="I3959" s="6">
        <f>ROUND(G3959*NOTAS!$B$3,0)</f>
        <v>21118</v>
      </c>
      <c r="J3959" s="2" t="n">
        <v>4</v>
      </c>
    </row>
    <row r="3960">
      <c r="A3960" s="2" t="inlineStr">
        <is>
          <t>DA-301</t>
        </is>
      </c>
      <c r="B3960" s="2" t="inlineStr"/>
      <c r="C3960" s="2" t="inlineStr">
        <is>
          <t>TERMINAL DIRECCION NUBIRA</t>
        </is>
      </c>
      <c r="D3960" s="2" t="inlineStr">
        <is>
          <t>TEKNOROT</t>
        </is>
      </c>
      <c r="E3960" s="3" t="n">
        <v>7</v>
      </c>
      <c r="F3960" s="4" t="n">
        <v>0.3</v>
      </c>
      <c r="G3960" s="5">
        <f>ROUND(E3960*(1+F3960),2)</f>
        <v>9.10</v>
      </c>
      <c r="H3960" s="5">
        <f>ROUND(G3960*NOTAS!$B$2,2)</f>
        <v>6564.24</v>
      </c>
      <c r="I3960" s="6">
        <f>ROUND(G3960*NOTAS!$B$3,0)</f>
        <v>29565</v>
      </c>
      <c r="J3960" s="2" t="n">
        <v>2</v>
      </c>
    </row>
    <row r="3961">
      <c r="A3961" s="2" t="inlineStr">
        <is>
          <t>180926</t>
        </is>
      </c>
      <c r="B3961" s="2" t="inlineStr"/>
      <c r="C3961" s="2" t="inlineStr">
        <is>
          <t>TERMINAL DIRECCION R-11/18/FUEGO</t>
        </is>
      </c>
      <c r="D3961" s="2" t="inlineStr">
        <is>
          <t>OCAP</t>
        </is>
      </c>
      <c r="E3961" s="3" t="n">
        <v>8</v>
      </c>
      <c r="F3961" s="4" t="n">
        <v>0.3</v>
      </c>
      <c r="G3961" s="5">
        <f>ROUND(E3961*(1+F3961),2)</f>
        <v>10.40</v>
      </c>
      <c r="H3961" s="5">
        <f>ROUND(G3961*NOTAS!$B$2,2)</f>
        <v>7501.99</v>
      </c>
      <c r="I3961" s="6">
        <f>ROUND(G3961*NOTAS!$B$3,0)</f>
        <v>33788</v>
      </c>
      <c r="J3961" s="2" t="n">
        <v>4</v>
      </c>
    </row>
    <row r="3962">
      <c r="A3962" s="2" t="inlineStr">
        <is>
          <t>91-00404</t>
        </is>
      </c>
      <c r="B3962" s="2" t="inlineStr"/>
      <c r="C3962" s="2" t="inlineStr">
        <is>
          <t>TERMINAL DIRECCION R-11/18/FUEGO</t>
        </is>
      </c>
      <c r="D3962" s="2" t="inlineStr">
        <is>
          <t>RTS</t>
        </is>
      </c>
      <c r="E3962" s="3" t="n">
        <v>8</v>
      </c>
      <c r="F3962" s="4" t="n">
        <v>0.3</v>
      </c>
      <c r="G3962" s="5">
        <f>ROUND(E3962*(1+F3962),2)</f>
        <v>10.40</v>
      </c>
      <c r="H3962" s="5">
        <f>ROUND(G3962*NOTAS!$B$2,2)</f>
        <v>7501.99</v>
      </c>
      <c r="I3962" s="6">
        <f>ROUND(G3962*NOTAS!$B$3,0)</f>
        <v>33788</v>
      </c>
      <c r="J3962" s="2" t="n">
        <v>49</v>
      </c>
    </row>
    <row r="3963">
      <c r="A3963" s="2" t="inlineStr">
        <is>
          <t>RE0029</t>
        </is>
      </c>
      <c r="B3963" s="2" t="inlineStr"/>
      <c r="C3963" s="2" t="inlineStr">
        <is>
          <t>TERMINAL DIRECCION R-5/11/18/FUEGO</t>
        </is>
      </c>
      <c r="D3963" s="2" t="inlineStr">
        <is>
          <t>DRIVEX</t>
        </is>
      </c>
      <c r="E3963" s="3" t="n">
        <v>6</v>
      </c>
      <c r="F3963" s="4" t="n">
        <v>0.3</v>
      </c>
      <c r="G3963" s="5">
        <f>ROUND(E3963*(1+F3963),2)</f>
        <v>7.80</v>
      </c>
      <c r="H3963" s="5">
        <f>ROUND(G3963*NOTAS!$B$2,2)</f>
        <v>5626.50</v>
      </c>
      <c r="I3963" s="6">
        <f>ROUND(G3963*NOTAS!$B$3,0)</f>
        <v>25341</v>
      </c>
      <c r="J3963" s="2" t="n">
        <v>4</v>
      </c>
    </row>
    <row r="3964">
      <c r="A3964" s="2" t="inlineStr">
        <is>
          <t>180926</t>
        </is>
      </c>
      <c r="B3964" s="2" t="inlineStr"/>
      <c r="C3964" s="2" t="inlineStr">
        <is>
          <t>TERMINAL DIRECCION R-5/11/18/FUEGO</t>
        </is>
      </c>
      <c r="D3964" s="2" t="inlineStr">
        <is>
          <t>OCAP</t>
        </is>
      </c>
      <c r="E3964" s="3" t="n">
        <v>8</v>
      </c>
      <c r="F3964" s="4" t="n">
        <v>0.3</v>
      </c>
      <c r="G3964" s="5">
        <f>ROUND(E3964*(1+F3964),2)</f>
        <v>10.40</v>
      </c>
      <c r="H3964" s="5">
        <f>ROUND(G3964*NOTAS!$B$2,2)</f>
        <v>7501.99</v>
      </c>
      <c r="I3964" s="6">
        <f>ROUND(G3964*NOTAS!$B$3,0)</f>
        <v>33788</v>
      </c>
      <c r="J3964" s="2" t="n">
        <v>2</v>
      </c>
    </row>
    <row r="3965">
      <c r="A3965" s="2" t="inlineStr">
        <is>
          <t>R-201</t>
        </is>
      </c>
      <c r="B3965" s="2" t="inlineStr"/>
      <c r="C3965" s="2" t="inlineStr">
        <is>
          <t>TERMINAL DIRECCION R-5/11/18/FUEGO</t>
        </is>
      </c>
      <c r="D3965" s="2" t="inlineStr">
        <is>
          <t>TEKNOROT</t>
        </is>
      </c>
      <c r="E3965" s="3" t="n">
        <v>7</v>
      </c>
      <c r="F3965" s="4" t="n">
        <v>0.3</v>
      </c>
      <c r="G3965" s="5">
        <f>ROUND(E3965*(1+F3965),2)</f>
        <v>9.10</v>
      </c>
      <c r="H3965" s="5">
        <f>ROUND(G3965*NOTAS!$B$2,2)</f>
        <v>6564.24</v>
      </c>
      <c r="I3965" s="6">
        <f>ROUND(G3965*NOTAS!$B$3,0)</f>
        <v>29565</v>
      </c>
      <c r="J3965" s="2" t="n">
        <v>1</v>
      </c>
    </row>
    <row r="3966">
      <c r="A3966" s="2" t="inlineStr">
        <is>
          <t>CEKD-11</t>
        </is>
      </c>
      <c r="B3966" s="2" t="inlineStr"/>
      <c r="C3966" s="2" t="inlineStr">
        <is>
          <t>TERMINAL DIRECCION SPARK/MATIZ</t>
        </is>
      </c>
      <c r="D3966" s="2" t="inlineStr">
        <is>
          <t>CTR</t>
        </is>
      </c>
      <c r="E3966" s="3" t="n">
        <v>8</v>
      </c>
      <c r="F3966" s="4" t="n">
        <v>0.3</v>
      </c>
      <c r="G3966" s="5">
        <f>ROUND(E3966*(1+F3966),2)</f>
        <v>10.40</v>
      </c>
      <c r="H3966" s="5">
        <f>ROUND(G3966*NOTAS!$B$2,2)</f>
        <v>7501.99</v>
      </c>
      <c r="I3966" s="6">
        <f>ROUND(G3966*NOTAS!$B$3,0)</f>
        <v>33788</v>
      </c>
      <c r="J3966" s="2" t="n">
        <v>2</v>
      </c>
    </row>
    <row r="3967">
      <c r="A3967" s="2" t="inlineStr">
        <is>
          <t>91-03130</t>
        </is>
      </c>
      <c r="B3967" s="2" t="inlineStr"/>
      <c r="C3967" s="2" t="inlineStr">
        <is>
          <t>TERMINAL DIRECCION SPARK/MATIZ</t>
        </is>
      </c>
      <c r="D3967" s="2" t="inlineStr">
        <is>
          <t>RTS</t>
        </is>
      </c>
      <c r="E3967" s="3" t="n">
        <v>8</v>
      </c>
      <c r="F3967" s="4" t="n">
        <v>0.3</v>
      </c>
      <c r="G3967" s="5">
        <f>ROUND(E3967*(1+F3967),2)</f>
        <v>10.40</v>
      </c>
      <c r="H3967" s="5">
        <f>ROUND(G3967*NOTAS!$B$2,2)</f>
        <v>7501.99</v>
      </c>
      <c r="I3967" s="6">
        <f>ROUND(G3967*NOTAS!$B$3,0)</f>
        <v>33788</v>
      </c>
      <c r="J3967" s="2" t="n">
        <v>1</v>
      </c>
    </row>
    <row r="3968">
      <c r="A3968" s="2" t="inlineStr"/>
      <c r="B3968" s="2" t="inlineStr"/>
      <c r="C3968" s="2" t="inlineStr">
        <is>
          <t>TERMINAL DIRECCION SPARK/MATIZ</t>
        </is>
      </c>
      <c r="D3968" s="2" t="inlineStr">
        <is>
          <t>TEKNOROT</t>
        </is>
      </c>
      <c r="E3968" s="3" t="n">
        <v>6</v>
      </c>
      <c r="F3968" s="4" t="n">
        <v>0.3</v>
      </c>
      <c r="G3968" s="5">
        <f>ROUND(E3968*(1+F3968),2)</f>
        <v>7.80</v>
      </c>
      <c r="H3968" s="5">
        <f>ROUND(G3968*NOTAS!$B$2,2)</f>
        <v>5626.50</v>
      </c>
      <c r="I3968" s="6">
        <f>ROUND(G3968*NOTAS!$B$3,0)</f>
        <v>25341</v>
      </c>
      <c r="J3968" s="2" t="n">
        <v>1</v>
      </c>
    </row>
    <row r="3969">
      <c r="A3969" s="2" t="inlineStr">
        <is>
          <t>46802892</t>
        </is>
      </c>
      <c r="B3969" s="2" t="inlineStr"/>
      <c r="C3969" s="2" t="inlineStr">
        <is>
          <t>TERMINAL GUAYA VELOCIDAD F-PAL/SIE GRANDE</t>
        </is>
      </c>
      <c r="D3969" s="2" t="inlineStr">
        <is>
          <t>BRAZIL</t>
        </is>
      </c>
      <c r="E3969" s="3" t="n">
        <v>2</v>
      </c>
      <c r="F3969" s="4" t="n">
        <v>0.3</v>
      </c>
      <c r="G3969" s="5">
        <f>ROUND(E3969*(1+F3969),2)</f>
        <v>2.60</v>
      </c>
      <c r="H3969" s="5">
        <f>ROUND(G3969*NOTAS!$B$2,2)</f>
        <v>1875.50</v>
      </c>
      <c r="I3969" s="6">
        <f>ROUND(G3969*NOTAS!$B$3,0)</f>
        <v>8447</v>
      </c>
      <c r="J3969" s="2" t="n">
        <v>1</v>
      </c>
    </row>
    <row r="3970">
      <c r="A3970" s="2" t="inlineStr">
        <is>
          <t>46802890</t>
        </is>
      </c>
      <c r="B3970" s="2" t="inlineStr"/>
      <c r="C3970" s="2" t="inlineStr">
        <is>
          <t>TERMINAL GUAYA VELOCIDAD F-PAL/SIE PEQUENA</t>
        </is>
      </c>
      <c r="D3970" s="2" t="inlineStr">
        <is>
          <t>BRAZIL</t>
        </is>
      </c>
      <c r="E3970" s="3" t="n">
        <v>2</v>
      </c>
      <c r="F3970" s="4" t="n">
        <v>0.3</v>
      </c>
      <c r="G3970" s="5">
        <f>ROUND(E3970*(1+F3970),2)</f>
        <v>2.60</v>
      </c>
      <c r="H3970" s="5">
        <f>ROUND(G3970*NOTAS!$B$2,2)</f>
        <v>1875.50</v>
      </c>
      <c r="I3970" s="6">
        <f>ROUND(G3970*NOTAS!$B$3,0)</f>
        <v>8447</v>
      </c>
      <c r="J3970" s="2" t="n">
        <v>7</v>
      </c>
    </row>
    <row r="3971">
      <c r="A3971" s="2" t="inlineStr">
        <is>
          <t>FI0029</t>
        </is>
      </c>
      <c r="B3971" s="2" t="inlineStr"/>
      <c r="C3971" s="2" t="inlineStr">
        <is>
          <t>TERMINAL PUNTA BARRA ESTABILIZADORA F-UNO 1.3 ROSCA GRUESA</t>
        </is>
      </c>
      <c r="D3971" s="2" t="inlineStr">
        <is>
          <t>DRIVEX</t>
        </is>
      </c>
      <c r="E3971" s="3" t="n">
        <v>8</v>
      </c>
      <c r="F3971" s="4" t="n">
        <v>0.3</v>
      </c>
      <c r="G3971" s="5">
        <f>ROUND(E3971*(1+F3971),2)</f>
        <v>10.40</v>
      </c>
      <c r="H3971" s="5">
        <f>ROUND(G3971*NOTAS!$B$2,2)</f>
        <v>7501.99</v>
      </c>
      <c r="I3971" s="6">
        <f>ROUND(G3971*NOTAS!$B$3,0)</f>
        <v>33788</v>
      </c>
      <c r="J3971" s="2" t="n">
        <v>2</v>
      </c>
    </row>
    <row r="3972">
      <c r="A3972" s="2" t="inlineStr">
        <is>
          <t>7524715-2</t>
        </is>
      </c>
      <c r="B3972" s="2" t="inlineStr"/>
      <c r="C3972" s="2" t="inlineStr">
        <is>
          <t>TERMINAL PUNTA BARRA ESTABILIZADORA F-UNO 1.3 ROSCA GRUESA</t>
        </is>
      </c>
      <c r="D3972" s="2" t="inlineStr">
        <is>
          <t>SKP</t>
        </is>
      </c>
      <c r="E3972" s="3" t="n">
        <v>8</v>
      </c>
      <c r="F3972" s="4" t="n">
        <v>0.3</v>
      </c>
      <c r="G3972" s="5">
        <f>ROUND(E3972*(1+F3972),2)</f>
        <v>10.40</v>
      </c>
      <c r="H3972" s="5">
        <f>ROUND(G3972*NOTAS!$B$2,2)</f>
        <v>7501.99</v>
      </c>
      <c r="I3972" s="6">
        <f>ROUND(G3972*NOTAS!$B$3,0)</f>
        <v>33788</v>
      </c>
      <c r="J3972" s="2" t="n">
        <v>4</v>
      </c>
    </row>
    <row r="3973">
      <c r="A3973" s="2" t="inlineStr">
        <is>
          <t>FI0036</t>
        </is>
      </c>
      <c r="B3973" s="2" t="inlineStr"/>
      <c r="C3973" s="2" t="inlineStr">
        <is>
          <t>TERMINAL PUNTA BARRA ESTABILIZADORA F-UNO/PREMIO 1.5 ROSCA FINA</t>
        </is>
      </c>
      <c r="D3973" s="2" t="inlineStr">
        <is>
          <t>DRIVEX</t>
        </is>
      </c>
      <c r="E3973" s="3" t="n">
        <v>8</v>
      </c>
      <c r="F3973" s="4" t="n">
        <v>0.3</v>
      </c>
      <c r="G3973" s="5">
        <f>ROUND(E3973*(1+F3973),2)</f>
        <v>10.40</v>
      </c>
      <c r="H3973" s="5">
        <f>ROUND(G3973*NOTAS!$B$2,2)</f>
        <v>7501.99</v>
      </c>
      <c r="I3973" s="6">
        <f>ROUND(G3973*NOTAS!$B$3,0)</f>
        <v>33788</v>
      </c>
      <c r="J3973" s="2" t="n">
        <v>5</v>
      </c>
    </row>
    <row r="3974">
      <c r="A3974" s="2" t="inlineStr">
        <is>
          <t>7693816-2</t>
        </is>
      </c>
      <c r="B3974" s="2" t="inlineStr"/>
      <c r="C3974" s="2" t="inlineStr">
        <is>
          <t>TERMINAL PUNTA BARRA ESTABILIZADORA F-UNO/PREMIO 1.5 ROSCA FINA</t>
        </is>
      </c>
      <c r="D3974" s="2" t="inlineStr">
        <is>
          <t>SKP</t>
        </is>
      </c>
      <c r="E3974" s="3" t="n">
        <v>8</v>
      </c>
      <c r="F3974" s="4" t="n">
        <v>0.3</v>
      </c>
      <c r="G3974" s="5">
        <f>ROUND(E3974*(1+F3974),2)</f>
        <v>10.40</v>
      </c>
      <c r="H3974" s="5">
        <f>ROUND(G3974*NOTAS!$B$2,2)</f>
        <v>7501.99</v>
      </c>
      <c r="I3974" s="6">
        <f>ROUND(G3974*NOTAS!$B$3,0)</f>
        <v>33788</v>
      </c>
      <c r="J3974" s="2" t="n">
        <v>4</v>
      </c>
    </row>
    <row r="3975">
      <c r="A3975" s="2" t="inlineStr">
        <is>
          <t>96407677</t>
        </is>
      </c>
      <c r="B3975" s="2" t="inlineStr"/>
      <c r="C3975" s="2" t="inlineStr">
        <is>
          <t>TOMA DE AGUA CON TERMOSTATO CON BASE AVEO ALUMINIO</t>
        </is>
      </c>
      <c r="D3975" s="2" t="inlineStr">
        <is>
          <t>FA</t>
        </is>
      </c>
      <c r="E3975" s="3" t="n">
        <v>9.279999999999999</v>
      </c>
      <c r="F3975" s="4" t="n">
        <v>0.3</v>
      </c>
      <c r="G3975" s="5">
        <f>ROUND(E3975*(1+F3975),2)</f>
        <v>12.06</v>
      </c>
      <c r="H3975" s="5">
        <f>ROUND(G3975*NOTAS!$B$2,2)</f>
        <v>8699.43</v>
      </c>
      <c r="I3975" s="6">
        <f>ROUND(G3975*NOTAS!$B$3,0)</f>
        <v>39181</v>
      </c>
      <c r="J3975" s="2" t="n">
        <v>2</v>
      </c>
    </row>
    <row r="3976">
      <c r="A3976" s="2" t="inlineStr">
        <is>
          <t>P96282726</t>
        </is>
      </c>
      <c r="B3976" s="2" t="inlineStr"/>
      <c r="C3976" s="2" t="inlineStr">
        <is>
          <t>TOMA DE AGUA CON TERMOSTATO CON BASE AVEO PLASTICO</t>
        </is>
      </c>
      <c r="D3976" s="2" t="inlineStr">
        <is>
          <t>RAON</t>
        </is>
      </c>
      <c r="E3976" s="3" t="n">
        <v>15.3846</v>
      </c>
      <c r="F3976" s="4" t="n">
        <v>0.3</v>
      </c>
      <c r="G3976" s="5">
        <f>ROUND(E3976*(1+F3976),2)</f>
        <v>20.00</v>
      </c>
      <c r="H3976" s="5">
        <f>ROUND(G3976*NOTAS!$B$2,2)</f>
        <v>14426.91</v>
      </c>
      <c r="I3976" s="6">
        <f>ROUND(G3976*NOTAS!$B$3,0)</f>
        <v>64977</v>
      </c>
      <c r="J3976" s="2" t="n">
        <v>1</v>
      </c>
    </row>
    <row r="3977">
      <c r="A3977" s="2" t="inlineStr">
        <is>
          <t>4110291</t>
        </is>
      </c>
      <c r="B3977" s="2" t="inlineStr">
        <is>
          <t>3M4Z8575B</t>
        </is>
      </c>
      <c r="C3977" s="2" t="inlineStr">
        <is>
          <t>TOMA DE AGUA CON TERMOSTATO CON BASE ECOSPORT/FOCUS 2.0 PLASTICO</t>
        </is>
      </c>
      <c r="D3977" s="2" t="inlineStr">
        <is>
          <t>MOTORCRAFT</t>
        </is>
      </c>
      <c r="E3977" s="3" t="n">
        <v>16.9231</v>
      </c>
      <c r="F3977" s="4" t="n">
        <v>0.3</v>
      </c>
      <c r="G3977" s="5">
        <f>ROUND(E3977*(1+F3977),2)</f>
        <v>22.00</v>
      </c>
      <c r="H3977" s="5">
        <f>ROUND(G3977*NOTAS!$B$2,2)</f>
        <v>15869.60</v>
      </c>
      <c r="I3977" s="6">
        <f>ROUND(G3977*NOTAS!$B$3,0)</f>
        <v>71475</v>
      </c>
      <c r="J3977" s="2" t="n">
        <v>1</v>
      </c>
    </row>
    <row r="3978">
      <c r="A3978" s="2" t="inlineStr">
        <is>
          <t>2S6G8A586B1A</t>
        </is>
      </c>
      <c r="B3978" s="2" t="inlineStr"/>
      <c r="C3978" s="2" t="inlineStr">
        <is>
          <t>TERMOSTATO CON BASE FIESTA 04/11 ALUMINIO</t>
        </is>
      </c>
      <c r="D3978" s="2" t="inlineStr">
        <is>
          <t>FA</t>
        </is>
      </c>
      <c r="E3978" s="3" t="n">
        <v>16.36</v>
      </c>
      <c r="F3978" s="4" t="n">
        <v>0.3</v>
      </c>
      <c r="G3978" s="5">
        <f>ROUND(E3978*(1+F3978),2)</f>
        <v>21.27</v>
      </c>
      <c r="H3978" s="5">
        <f>ROUND(G3978*NOTAS!$B$2,2)</f>
        <v>15343.02</v>
      </c>
      <c r="I3978" s="6">
        <f>ROUND(G3978*NOTAS!$B$3,0)</f>
        <v>69103</v>
      </c>
      <c r="J3978" s="2" t="n">
        <v>2</v>
      </c>
    </row>
    <row r="3979">
      <c r="A3979" s="2" t="inlineStr">
        <is>
          <t>90200836</t>
        </is>
      </c>
      <c r="B3979" s="2" t="inlineStr"/>
      <c r="C3979" s="2" t="inlineStr">
        <is>
          <t>TERMOSTATO CORSA</t>
        </is>
      </c>
      <c r="D3979" s="2" t="inlineStr">
        <is>
          <t>GM</t>
        </is>
      </c>
      <c r="E3979" s="3" t="n">
        <v>10</v>
      </c>
      <c r="F3979" s="4" t="n">
        <v>0.3</v>
      </c>
      <c r="G3979" s="5">
        <f>ROUND(E3979*(1+F3979),2)</f>
        <v>13.00</v>
      </c>
      <c r="H3979" s="5">
        <f>ROUND(G3979*NOTAS!$B$2,2)</f>
        <v>9377.49</v>
      </c>
      <c r="I3979" s="6">
        <f>ROUND(G3979*NOTAS!$B$3,0)</f>
        <v>42235</v>
      </c>
      <c r="J3979" s="2" t="n">
        <v>1</v>
      </c>
    </row>
    <row r="3980">
      <c r="A3980" s="2" t="inlineStr">
        <is>
          <t>92062728</t>
        </is>
      </c>
      <c r="B3980" s="2" t="inlineStr"/>
      <c r="C3980" s="2" t="inlineStr">
        <is>
          <t>TOMA DE AGUA CON TERMOSTATO OPTRA LIMITED/NUB/TAC 2.0</t>
        </is>
      </c>
      <c r="D3980" s="2" t="inlineStr">
        <is>
          <t>GM</t>
        </is>
      </c>
      <c r="E3980" s="3" t="n">
        <v>10</v>
      </c>
      <c r="F3980" s="4" t="n">
        <v>0.3</v>
      </c>
      <c r="G3980" s="5">
        <f>ROUND(E3980*(1+F3980),2)</f>
        <v>13.00</v>
      </c>
      <c r="H3980" s="5">
        <f>ROUND(G3980*NOTAS!$B$2,2)</f>
        <v>9377.49</v>
      </c>
      <c r="I3980" s="6">
        <f>ROUND(G3980*NOTAS!$B$3,0)</f>
        <v>42235</v>
      </c>
      <c r="J3980" s="2" t="n">
        <v>1</v>
      </c>
    </row>
    <row r="3981">
      <c r="A3981" s="2" t="inlineStr">
        <is>
          <t>R.CLI-2410</t>
        </is>
      </c>
      <c r="B3981" s="2" t="inlineStr"/>
      <c r="C3981" s="2" t="inlineStr">
        <is>
          <t>TERMOSTATO R-SYMBOL/MEGANE/CLIO</t>
        </is>
      </c>
      <c r="D3981" s="2" t="inlineStr">
        <is>
          <t>TAKSIM GROUP</t>
        </is>
      </c>
      <c r="E3981" s="3" t="n">
        <v>8</v>
      </c>
      <c r="F3981" s="4" t="n">
        <v>0.3</v>
      </c>
      <c r="G3981" s="5">
        <f>ROUND(E3981*(1+F3981),2)</f>
        <v>10.40</v>
      </c>
      <c r="H3981" s="5">
        <f>ROUND(G3981*NOTAS!$B$2,2)</f>
        <v>7501.99</v>
      </c>
      <c r="I3981" s="6">
        <f>ROUND(G3981*NOTAS!$B$3,0)</f>
        <v>33788</v>
      </c>
      <c r="J3981" s="2" t="n">
        <v>2</v>
      </c>
    </row>
    <row r="3982">
      <c r="A3982" s="2" t="inlineStr">
        <is>
          <t>93275736</t>
        </is>
      </c>
      <c r="B3982" s="2" t="inlineStr"/>
      <c r="C3982" s="2" t="inlineStr">
        <is>
          <t>TOMA DE AGUA CARCAZA CON TERMOSTATO CORSA</t>
        </is>
      </c>
      <c r="D3982" s="2" t="inlineStr">
        <is>
          <t>GM</t>
        </is>
      </c>
      <c r="E3982" s="3" t="n">
        <v>10</v>
      </c>
      <c r="F3982" s="4" t="n">
        <v>0.3</v>
      </c>
      <c r="G3982" s="5">
        <f>ROUND(E3982*(1+F3982),2)</f>
        <v>13.00</v>
      </c>
      <c r="H3982" s="5">
        <f>ROUND(G3982*NOTAS!$B$2,2)</f>
        <v>9377.49</v>
      </c>
      <c r="I3982" s="6">
        <f>ROUND(G3982*NOTAS!$B$3,0)</f>
        <v>42235</v>
      </c>
      <c r="J3982" s="2" t="n">
        <v>1</v>
      </c>
    </row>
    <row r="3983">
      <c r="A3983" s="2" t="inlineStr">
        <is>
          <t>96180324</t>
        </is>
      </c>
      <c r="B3983" s="2" t="inlineStr"/>
      <c r="C3983" s="2" t="inlineStr">
        <is>
          <t>TOMA DE AGUA CARCAZA SIN TERMOSTATO CIELO/LANOS</t>
        </is>
      </c>
      <c r="D3983" s="2" t="inlineStr">
        <is>
          <t>DAEWOO</t>
        </is>
      </c>
      <c r="E3983" s="3" t="n">
        <v>3</v>
      </c>
      <c r="F3983" s="4" t="n">
        <v>0.3</v>
      </c>
      <c r="G3983" s="5">
        <f>ROUND(E3983*(1+F3983),2)</f>
        <v>3.90</v>
      </c>
      <c r="H3983" s="5">
        <f>ROUND(G3983*NOTAS!$B$2,2)</f>
        <v>2813.25</v>
      </c>
      <c r="I3983" s="6">
        <f>ROUND(G3983*NOTAS!$B$3,0)</f>
        <v>12671</v>
      </c>
      <c r="J3983" s="2" t="n">
        <v>11</v>
      </c>
    </row>
    <row r="3984">
      <c r="A3984" s="2" t="inlineStr">
        <is>
          <t>7700866387</t>
        </is>
      </c>
      <c r="B3984" s="2" t="inlineStr"/>
      <c r="C3984" s="2" t="inlineStr">
        <is>
          <t>TOMA DE AGUA CARCAZA SIN TERMOSTATO R-SYMBOL/LOGAN</t>
        </is>
      </c>
      <c r="D3984" s="2" t="inlineStr">
        <is>
          <t>RENAULT</t>
        </is>
      </c>
      <c r="E3984" s="3" t="n">
        <v>6</v>
      </c>
      <c r="F3984" s="4" t="n">
        <v>0.3</v>
      </c>
      <c r="G3984" s="5">
        <f>ROUND(E3984*(1+F3984),2)</f>
        <v>7.80</v>
      </c>
      <c r="H3984" s="5">
        <f>ROUND(G3984*NOTAS!$B$2,2)</f>
        <v>5626.50</v>
      </c>
      <c r="I3984" s="6">
        <f>ROUND(G3984*NOTAS!$B$3,0)</f>
        <v>25341</v>
      </c>
      <c r="J3984" s="2" t="n">
        <v>3</v>
      </c>
    </row>
    <row r="3985">
      <c r="A3985" s="2" t="inlineStr">
        <is>
          <t>8461</t>
        </is>
      </c>
      <c r="B3985" s="2" t="inlineStr"/>
      <c r="C3985" s="2" t="inlineStr">
        <is>
          <t>TOMA DE AGUA CARCAZA SIN TERMOSTATO R-SYMBOL/LOGAN</t>
        </is>
      </c>
      <c r="D3985" s="2" t="inlineStr">
        <is>
          <t>ORIGINAL BIRTH</t>
        </is>
      </c>
      <c r="E3985" s="3" t="n">
        <v>5</v>
      </c>
      <c r="F3985" s="4" t="n">
        <v>0.3</v>
      </c>
      <c r="G3985" s="5">
        <f>ROUND(E3985*(1+F3985),2)</f>
        <v>6.50</v>
      </c>
      <c r="H3985" s="5">
        <f>ROUND(G3985*NOTAS!$B$2,2)</f>
        <v>4688.75</v>
      </c>
      <c r="I3985" s="6">
        <f>ROUND(G3985*NOTAS!$B$3,0)</f>
        <v>21118</v>
      </c>
      <c r="J3985" s="2" t="n">
        <v>6</v>
      </c>
    </row>
    <row r="3986">
      <c r="A3986" s="2" t="inlineStr">
        <is>
          <t>8200561420M</t>
        </is>
      </c>
      <c r="B3986" s="2" t="inlineStr"/>
      <c r="C3986" s="2" t="inlineStr">
        <is>
          <t>TOMA DE AGUA CARCAZA SIN TERMOSTATO R-SYMBOL/LOGAN ALUMINIO</t>
        </is>
      </c>
      <c r="D3986" s="2" t="inlineStr">
        <is>
          <t>WOLF</t>
        </is>
      </c>
      <c r="E3986" s="3" t="n">
        <v>6</v>
      </c>
      <c r="F3986" s="4" t="n">
        <v>0.3</v>
      </c>
      <c r="G3986" s="5">
        <f>ROUND(E3986*(1+F3986),2)</f>
        <v>7.80</v>
      </c>
      <c r="H3986" s="5">
        <f>ROUND(G3986*NOTAS!$B$2,2)</f>
        <v>5626.50</v>
      </c>
      <c r="I3986" s="6">
        <f>ROUND(G3986*NOTAS!$B$3,0)</f>
        <v>25341</v>
      </c>
      <c r="J3986" s="2" t="n">
        <v>1</v>
      </c>
    </row>
    <row r="3987">
      <c r="A3987" s="2" t="inlineStr">
        <is>
          <t>96282726-A</t>
        </is>
      </c>
      <c r="B3987" s="2" t="inlineStr"/>
      <c r="C3987" s="2" t="inlineStr">
        <is>
          <t>TOMA DE AGUA CON TERMOSTATO AVEO</t>
        </is>
      </c>
      <c r="D3987" s="2" t="inlineStr">
        <is>
          <t>4USA</t>
        </is>
      </c>
      <c r="E3987" s="3" t="n">
        <v>10</v>
      </c>
      <c r="F3987" s="4" t="n">
        <v>0.3</v>
      </c>
      <c r="G3987" s="5">
        <f>ROUND(E3987*(1+F3987),2)</f>
        <v>13.00</v>
      </c>
      <c r="H3987" s="5">
        <f>ROUND(G3987*NOTAS!$B$2,2)</f>
        <v>9377.49</v>
      </c>
      <c r="I3987" s="6">
        <f>ROUND(G3987*NOTAS!$B$3,0)</f>
        <v>42235</v>
      </c>
      <c r="J3987" s="2" t="n">
        <v>1</v>
      </c>
    </row>
    <row r="3988">
      <c r="A3988" s="2" t="inlineStr">
        <is>
          <t>P96282726</t>
        </is>
      </c>
      <c r="B3988" s="2" t="inlineStr"/>
      <c r="C3988" s="2" t="inlineStr">
        <is>
          <t>TOMA DE AGUA CON TERMOSTATO AVEO</t>
        </is>
      </c>
      <c r="D3988" s="2" t="inlineStr">
        <is>
          <t>RAON</t>
        </is>
      </c>
      <c r="E3988" s="3" t="n">
        <v>10</v>
      </c>
      <c r="F3988" s="4" t="n">
        <v>0.3</v>
      </c>
      <c r="G3988" s="5">
        <f>ROUND(E3988*(1+F3988),2)</f>
        <v>13.00</v>
      </c>
      <c r="H3988" s="5">
        <f>ROUND(G3988*NOTAS!$B$2,2)</f>
        <v>9377.49</v>
      </c>
      <c r="I3988" s="6">
        <f>ROUND(G3988*NOTAS!$B$3,0)</f>
        <v>42235</v>
      </c>
      <c r="J3988" s="2" t="n">
        <v>1</v>
      </c>
    </row>
    <row r="3989">
      <c r="A3989" s="2" t="inlineStr">
        <is>
          <t>7700110716</t>
        </is>
      </c>
      <c r="B3989" s="2" t="inlineStr"/>
      <c r="C3989" s="2" t="inlineStr">
        <is>
          <t>TOMA DE AGUA CON TERMOSTATO CARCAZA R-TWINGO</t>
        </is>
      </c>
      <c r="D3989" s="2" t="inlineStr">
        <is>
          <t>RENAULT</t>
        </is>
      </c>
      <c r="E3989" s="3" t="n">
        <v>13</v>
      </c>
      <c r="F3989" s="4" t="n">
        <v>0.3</v>
      </c>
      <c r="G3989" s="5">
        <f>ROUND(E3989*(1+F3989),2)</f>
        <v>16.90</v>
      </c>
      <c r="H3989" s="5">
        <f>ROUND(G3989*NOTAS!$B$2,2)</f>
        <v>12190.74</v>
      </c>
      <c r="I3989" s="6">
        <f>ROUND(G3989*NOTAS!$B$3,0)</f>
        <v>54906</v>
      </c>
      <c r="J3989" s="2" t="n">
        <v>3</v>
      </c>
    </row>
    <row r="3990">
      <c r="A3990" s="2" t="inlineStr">
        <is>
          <t>96535006</t>
        </is>
      </c>
      <c r="B3990" s="2" t="inlineStr"/>
      <c r="C3990" s="2" t="inlineStr">
        <is>
          <t>TOPE AMORTIGUADOR DELANTERO AVEO</t>
        </is>
      </c>
      <c r="D3990" s="2" t="inlineStr">
        <is>
          <t>GM</t>
        </is>
      </c>
      <c r="E3990" s="3" t="n">
        <v>7.6923</v>
      </c>
      <c r="F3990" s="4" t="n">
        <v>0.3</v>
      </c>
      <c r="G3990" s="5">
        <f>ROUND(E3990*(1+F3990),2)</f>
        <v>10.00</v>
      </c>
      <c r="H3990" s="5">
        <f>ROUND(G3990*NOTAS!$B$2,2)</f>
        <v>7213.46</v>
      </c>
      <c r="I3990" s="6">
        <f>ROUND(G3990*NOTAS!$B$3,0)</f>
        <v>32489</v>
      </c>
      <c r="J3990" s="2" t="n">
        <v>4</v>
      </c>
    </row>
    <row r="3991">
      <c r="A3991" s="2" t="inlineStr">
        <is>
          <t>905031</t>
        </is>
      </c>
      <c r="B3991" s="2" t="inlineStr"/>
      <c r="C3991" s="2" t="inlineStr">
        <is>
          <t>TOPE AMORTIGUADOR TRASERO FIESTA 04/13-ECOSPORT</t>
        </is>
      </c>
      <c r="D3991" s="2" t="inlineStr">
        <is>
          <t>FORD</t>
        </is>
      </c>
      <c r="E3991" s="3" t="n">
        <v>7.6923</v>
      </c>
      <c r="F3991" s="4" t="n">
        <v>0.3</v>
      </c>
      <c r="G3991" s="5">
        <f>ROUND(E3991*(1+F3991),2)</f>
        <v>10.00</v>
      </c>
      <c r="H3991" s="5">
        <f>ROUND(G3991*NOTAS!$B$2,2)</f>
        <v>7213.46</v>
      </c>
      <c r="I3991" s="6">
        <f>ROUND(G3991*NOTAS!$B$3,0)</f>
        <v>32489</v>
      </c>
      <c r="J3991" s="2" t="n">
        <v>2</v>
      </c>
    </row>
    <row r="3992">
      <c r="A3992" s="2" t="inlineStr"/>
      <c r="B3992" s="2" t="inlineStr"/>
      <c r="C3992" s="2" t="inlineStr">
        <is>
          <t>TORNILLO BASE MOTOR F-UNO/PREMIO</t>
        </is>
      </c>
      <c r="D3992" s="2" t="inlineStr">
        <is>
          <t>BRAZIL</t>
        </is>
      </c>
      <c r="E3992" s="3" t="n">
        <v>3.8462</v>
      </c>
      <c r="F3992" s="4" t="n">
        <v>0.3</v>
      </c>
      <c r="G3992" s="5">
        <f>ROUND(E3992*(1+F3992),2)</f>
        <v>5.00</v>
      </c>
      <c r="H3992" s="5">
        <f>ROUND(G3992*NOTAS!$B$2,2)</f>
        <v>3606.73</v>
      </c>
      <c r="I3992" s="6">
        <f>ROUND(G3992*NOTAS!$B$3,0)</f>
        <v>16244</v>
      </c>
      <c r="J3992" s="2" t="n">
        <v>8</v>
      </c>
    </row>
    <row r="3993">
      <c r="A3993" s="2" t="inlineStr"/>
      <c r="B3993" s="2" t="inlineStr"/>
      <c r="C3993" s="2" t="inlineStr">
        <is>
          <t>TORNILLO CAMARA F-PALIO/SIENA 1.3 16V FIRE</t>
        </is>
      </c>
      <c r="D3993" s="2" t="inlineStr">
        <is>
          <t>BRAZIL</t>
        </is>
      </c>
      <c r="E3993" s="3" t="n">
        <v>3.0769</v>
      </c>
      <c r="F3993" s="4" t="n">
        <v>0.3</v>
      </c>
      <c r="G3993" s="5">
        <f>ROUND(E3993*(1+F3993),2)</f>
        <v>4.00</v>
      </c>
      <c r="H3993" s="5">
        <f>ROUND(G3993*NOTAS!$B$2,2)</f>
        <v>2885.38</v>
      </c>
      <c r="I3993" s="6">
        <f>ROUND(G3993*NOTAS!$B$3,0)</f>
        <v>12995</v>
      </c>
      <c r="J3993" s="2" t="n">
        <v>3</v>
      </c>
    </row>
    <row r="3994">
      <c r="A3994" s="2" t="inlineStr">
        <is>
          <t>CO165</t>
        </is>
      </c>
      <c r="B3994" s="2" t="inlineStr"/>
      <c r="C3994" s="2" t="inlineStr">
        <is>
          <t>TRICETA CORCEL</t>
        </is>
      </c>
      <c r="D3994" s="2" t="inlineStr">
        <is>
          <t>AXN</t>
        </is>
      </c>
      <c r="E3994" s="3" t="n">
        <v>6</v>
      </c>
      <c r="F3994" s="4" t="n">
        <v>0.3</v>
      </c>
      <c r="G3994" s="5">
        <f>ROUND(E3994*(1+F3994),2)</f>
        <v>7.80</v>
      </c>
      <c r="H3994" s="5">
        <f>ROUND(G3994*NOTAS!$B$2,2)</f>
        <v>5626.50</v>
      </c>
      <c r="I3994" s="6">
        <f>ROUND(G3994*NOTAS!$B$3,0)</f>
        <v>25341</v>
      </c>
      <c r="J3994" s="2" t="n">
        <v>2</v>
      </c>
    </row>
    <row r="3995">
      <c r="A3995" s="2" t="inlineStr">
        <is>
          <t>TPT071</t>
        </is>
      </c>
      <c r="B3995" s="2" t="inlineStr"/>
      <c r="C3995" s="2" t="inlineStr">
        <is>
          <t>TRICETA COROLLA AVILA GRANDE</t>
        </is>
      </c>
      <c r="D3995" s="2" t="inlineStr">
        <is>
          <t xml:space="preserve">EXTRA </t>
        </is>
      </c>
      <c r="E3995" s="3" t="n">
        <v>19.2308</v>
      </c>
      <c r="F3995" s="4" t="n">
        <v>0.3</v>
      </c>
      <c r="G3995" s="5">
        <f>ROUND(E3995*(1+F3995),2)</f>
        <v>25.00</v>
      </c>
      <c r="H3995" s="5">
        <f>ROUND(G3995*NOTAS!$B$2,2)</f>
        <v>18033.64</v>
      </c>
      <c r="I3995" s="6">
        <f>ROUND(G3995*NOTAS!$B$3,0)</f>
        <v>81222</v>
      </c>
      <c r="J3995" s="2" t="n">
        <v>1</v>
      </c>
    </row>
    <row r="3996">
      <c r="A3996" s="2" t="inlineStr">
        <is>
          <t>611401</t>
        </is>
      </c>
      <c r="B3996" s="2" t="inlineStr"/>
      <c r="C3996" s="2" t="inlineStr">
        <is>
          <t>TRICETA COROLLA PEQUENA</t>
        </is>
      </c>
      <c r="D3996" s="2" t="inlineStr">
        <is>
          <t>STELL</t>
        </is>
      </c>
      <c r="E3996" s="3" t="n">
        <v>15.3846</v>
      </c>
      <c r="F3996" s="4" t="n">
        <v>0.3</v>
      </c>
      <c r="G3996" s="5">
        <f>ROUND(E3996*(1+F3996),2)</f>
        <v>20.00</v>
      </c>
      <c r="H3996" s="5">
        <f>ROUND(G3996*NOTAS!$B$2,2)</f>
        <v>14426.91</v>
      </c>
      <c r="I3996" s="6">
        <f>ROUND(G3996*NOTAS!$B$3,0)</f>
        <v>64977</v>
      </c>
      <c r="J3996" s="2" t="n">
        <v>2</v>
      </c>
    </row>
    <row r="3997">
      <c r="A3997" s="2" t="inlineStr">
        <is>
          <t>CC015</t>
        </is>
      </c>
      <c r="B3997" s="2" t="inlineStr"/>
      <c r="C3997" s="2" t="inlineStr">
        <is>
          <t>TRICETA COROLLA PEQUENA</t>
        </is>
      </c>
      <c r="D3997" s="2" t="inlineStr">
        <is>
          <t xml:space="preserve">EXTRA </t>
        </is>
      </c>
      <c r="E3997" s="3" t="n">
        <v>15.3846</v>
      </c>
      <c r="F3997" s="4" t="n">
        <v>0.3</v>
      </c>
      <c r="G3997" s="5">
        <f>ROUND(E3997*(1+F3997),2)</f>
        <v>20.00</v>
      </c>
      <c r="H3997" s="5">
        <f>ROUND(G3997*NOTAS!$B$2,2)</f>
        <v>14426.91</v>
      </c>
      <c r="I3997" s="6">
        <f>ROUND(G3997*NOTAS!$B$3,0)</f>
        <v>64977</v>
      </c>
      <c r="J3997" s="2" t="n">
        <v>1</v>
      </c>
    </row>
    <row r="3998">
      <c r="A3998" s="2" t="inlineStr">
        <is>
          <t>FI0211</t>
        </is>
      </c>
      <c r="B3998" s="2" t="inlineStr"/>
      <c r="C3998" s="2" t="inlineStr">
        <is>
          <t>TRICETA F-147/SPAZIO</t>
        </is>
      </c>
      <c r="D3998" s="2" t="inlineStr">
        <is>
          <t>MAXXUN</t>
        </is>
      </c>
      <c r="E3998" s="3" t="n">
        <v>6</v>
      </c>
      <c r="F3998" s="4" t="n">
        <v>0.3</v>
      </c>
      <c r="G3998" s="5">
        <f>ROUND(E3998*(1+F3998),2)</f>
        <v>7.80</v>
      </c>
      <c r="H3998" s="5">
        <f>ROUND(G3998*NOTAS!$B$2,2)</f>
        <v>5626.50</v>
      </c>
      <c r="I3998" s="6">
        <f>ROUND(G3998*NOTAS!$B$3,0)</f>
        <v>25341</v>
      </c>
      <c r="J3998" s="2" t="n">
        <v>2</v>
      </c>
    </row>
    <row r="3999">
      <c r="A3999" s="2" t="inlineStr">
        <is>
          <t>CC4</t>
        </is>
      </c>
      <c r="B3999" s="2" t="inlineStr"/>
      <c r="C3999" s="2" t="inlineStr">
        <is>
          <t>TRICETA F-147/SPAZIO</t>
        </is>
      </c>
      <c r="D3999" s="2" t="inlineStr">
        <is>
          <t>EUROBERING</t>
        </is>
      </c>
      <c r="E3999" s="3" t="n">
        <v>10</v>
      </c>
      <c r="F3999" s="4" t="n">
        <v>0.3</v>
      </c>
      <c r="G3999" s="5">
        <f>ROUND(E3999*(1+F3999),2)</f>
        <v>13.00</v>
      </c>
      <c r="H3999" s="5">
        <f>ROUND(G3999*NOTAS!$B$2,2)</f>
        <v>9377.49</v>
      </c>
      <c r="I3999" s="6">
        <f>ROUND(G3999*NOTAS!$B$3,0)</f>
        <v>42235</v>
      </c>
      <c r="J3999" s="2" t="n">
        <v>1</v>
      </c>
    </row>
    <row r="4000">
      <c r="A4000" s="2" t="inlineStr">
        <is>
          <t>CC-002N</t>
        </is>
      </c>
      <c r="B4000" s="2" t="inlineStr">
        <is>
          <t>4247393-1</t>
        </is>
      </c>
      <c r="C4000" s="2" t="inlineStr">
        <is>
          <t>TRICETA F-147/SPAZIO</t>
        </is>
      </c>
      <c r="D4000" s="2" t="inlineStr">
        <is>
          <t>AXN</t>
        </is>
      </c>
      <c r="E4000" s="3" t="n">
        <v>7</v>
      </c>
      <c r="F4000" s="4" t="n">
        <v>0.3</v>
      </c>
      <c r="G4000" s="5">
        <f>ROUND(E4000*(1+F4000),2)</f>
        <v>9.10</v>
      </c>
      <c r="H4000" s="5">
        <f>ROUND(G4000*NOTAS!$B$2,2)</f>
        <v>6564.24</v>
      </c>
      <c r="I4000" s="6">
        <f>ROUND(G4000*NOTAS!$B$3,0)</f>
        <v>29565</v>
      </c>
      <c r="J4000" s="2" t="n">
        <v>4</v>
      </c>
    </row>
    <row r="4001">
      <c r="A4001" s="2" t="inlineStr">
        <is>
          <t>CC30</t>
        </is>
      </c>
      <c r="B4001" s="2" t="inlineStr"/>
      <c r="C4001" s="2" t="inlineStr">
        <is>
          <t>TRICETA FIESTA/KA 21DT</t>
        </is>
      </c>
      <c r="D4001" s="2" t="inlineStr">
        <is>
          <t>EUROBERING</t>
        </is>
      </c>
      <c r="E4001" s="3" t="n">
        <v>10</v>
      </c>
      <c r="F4001" s="4" t="n">
        <v>0.3</v>
      </c>
      <c r="G4001" s="5">
        <f>ROUND(E4001*(1+F4001),2)</f>
        <v>13.00</v>
      </c>
      <c r="H4001" s="5">
        <f>ROUND(G4001*NOTAS!$B$2,2)</f>
        <v>9377.49</v>
      </c>
      <c r="I4001" s="6">
        <f>ROUND(G4001*NOTAS!$B$3,0)</f>
        <v>42235</v>
      </c>
      <c r="J4001" s="2" t="n">
        <v>3</v>
      </c>
    </row>
    <row r="4002">
      <c r="A4002" s="2" t="inlineStr">
        <is>
          <t>TPF072</t>
        </is>
      </c>
      <c r="B4002" s="2" t="inlineStr"/>
      <c r="C4002" s="2" t="inlineStr">
        <is>
          <t>TRICETA FIESTA/KA 21DT</t>
        </is>
      </c>
      <c r="D4002" s="2" t="inlineStr">
        <is>
          <t>TITANIUM</t>
        </is>
      </c>
      <c r="E4002" s="3" t="n">
        <v>4.8</v>
      </c>
      <c r="F4002" s="4" t="n">
        <v>0.3</v>
      </c>
      <c r="G4002" s="5">
        <f>ROUND(E4002*(1+F4002),2)</f>
        <v>6.24</v>
      </c>
      <c r="H4002" s="5">
        <f>ROUND(G4002*NOTAS!$B$2,2)</f>
        <v>4501.20</v>
      </c>
      <c r="I4002" s="6">
        <f>ROUND(G4002*NOTAS!$B$3,0)</f>
        <v>20273</v>
      </c>
      <c r="J4002" s="2" t="n">
        <v>1</v>
      </c>
    </row>
    <row r="4003">
      <c r="A4003" s="2" t="inlineStr">
        <is>
          <t>FD0075</t>
        </is>
      </c>
      <c r="B4003" s="2" t="inlineStr"/>
      <c r="C4003" s="2" t="inlineStr">
        <is>
          <t>TRICETA FIESTA/KA 21DT</t>
        </is>
      </c>
      <c r="D4003" s="2" t="inlineStr">
        <is>
          <t>MAXXUN</t>
        </is>
      </c>
      <c r="E4003" s="3" t="n">
        <v>4.8</v>
      </c>
      <c r="F4003" s="4" t="n">
        <v>0.3</v>
      </c>
      <c r="G4003" s="5">
        <f>ROUND(E4003*(1+F4003),2)</f>
        <v>6.24</v>
      </c>
      <c r="H4003" s="5">
        <f>ROUND(G4003*NOTAS!$B$2,2)</f>
        <v>4501.20</v>
      </c>
      <c r="I4003" s="6">
        <f>ROUND(G4003*NOTAS!$B$3,0)</f>
        <v>20273</v>
      </c>
      <c r="J4003" s="2" t="n">
        <v>1</v>
      </c>
    </row>
    <row r="4004">
      <c r="A4004" s="2" t="inlineStr">
        <is>
          <t>4469834-1</t>
        </is>
      </c>
      <c r="B4004" s="2" t="inlineStr"/>
      <c r="C4004" s="2" t="inlineStr">
        <is>
          <t>TRICETA F-PAL/SIE 1.3</t>
        </is>
      </c>
      <c r="D4004" s="2" t="inlineStr">
        <is>
          <t>AXN</t>
        </is>
      </c>
      <c r="E4004" s="3" t="n">
        <v>7</v>
      </c>
      <c r="F4004" s="4" t="n">
        <v>0.3</v>
      </c>
      <c r="G4004" s="5">
        <f>ROUND(E4004*(1+F4004),2)</f>
        <v>9.10</v>
      </c>
      <c r="H4004" s="5">
        <f>ROUND(G4004*NOTAS!$B$2,2)</f>
        <v>6564.24</v>
      </c>
      <c r="I4004" s="6">
        <f>ROUND(G4004*NOTAS!$B$3,0)</f>
        <v>29565</v>
      </c>
      <c r="J4004" s="2" t="n">
        <v>6</v>
      </c>
    </row>
    <row r="4005">
      <c r="A4005" s="2" t="inlineStr">
        <is>
          <t>CC018</t>
        </is>
      </c>
      <c r="B4005" s="2" t="inlineStr"/>
      <c r="C4005" s="2" t="inlineStr">
        <is>
          <t>TRICETA F-PAL/SIE 1.3</t>
        </is>
      </c>
      <c r="D4005" s="2" t="inlineStr">
        <is>
          <t>CORAM</t>
        </is>
      </c>
      <c r="E4005" s="3" t="n">
        <v>11</v>
      </c>
      <c r="F4005" s="4" t="n">
        <v>0.3</v>
      </c>
      <c r="G4005" s="5">
        <f>ROUND(E4005*(1+F4005),2)</f>
        <v>14.30</v>
      </c>
      <c r="H4005" s="5">
        <f>ROUND(G4005*NOTAS!$B$2,2)</f>
        <v>10315.24</v>
      </c>
      <c r="I4005" s="6">
        <f>ROUND(G4005*NOTAS!$B$3,0)</f>
        <v>46459</v>
      </c>
      <c r="J4005" s="2" t="n">
        <v>10</v>
      </c>
    </row>
    <row r="4006">
      <c r="A4006" s="2" t="inlineStr">
        <is>
          <t>FI0213</t>
        </is>
      </c>
      <c r="B4006" s="2" t="inlineStr"/>
      <c r="C4006" s="2" t="inlineStr">
        <is>
          <t>TRICETA F-PAL/SIE 1.6 AVEO</t>
        </is>
      </c>
      <c r="D4006" s="2" t="inlineStr">
        <is>
          <t>MAXXUN</t>
        </is>
      </c>
      <c r="E4006" s="3" t="n">
        <v>6</v>
      </c>
      <c r="F4006" s="4" t="n">
        <v>0.3</v>
      </c>
      <c r="G4006" s="5">
        <f>ROUND(E4006*(1+F4006),2)</f>
        <v>7.80</v>
      </c>
      <c r="H4006" s="5">
        <f>ROUND(G4006*NOTAS!$B$2,2)</f>
        <v>5626.50</v>
      </c>
      <c r="I4006" s="6">
        <f>ROUND(G4006*NOTAS!$B$3,0)</f>
        <v>25341</v>
      </c>
      <c r="J4006" s="2" t="n">
        <v>5</v>
      </c>
    </row>
    <row r="4007">
      <c r="A4007" s="2" t="inlineStr">
        <is>
          <t>CC-019</t>
        </is>
      </c>
      <c r="B4007" s="2" t="inlineStr">
        <is>
          <t>46448513</t>
        </is>
      </c>
      <c r="C4007" s="2" t="inlineStr">
        <is>
          <t>TRICETA F-PAL/SIE 1.6 AVEO</t>
        </is>
      </c>
      <c r="D4007" s="2" t="inlineStr">
        <is>
          <t>AXN</t>
        </is>
      </c>
      <c r="E4007" s="3" t="n">
        <v>7</v>
      </c>
      <c r="F4007" s="4" t="n">
        <v>0.3</v>
      </c>
      <c r="G4007" s="5">
        <f>ROUND(E4007*(1+F4007),2)</f>
        <v>9.10</v>
      </c>
      <c r="H4007" s="5">
        <f>ROUND(G4007*NOTAS!$B$2,2)</f>
        <v>6564.24</v>
      </c>
      <c r="I4007" s="6">
        <f>ROUND(G4007*NOTAS!$B$3,0)</f>
        <v>29565</v>
      </c>
      <c r="J4007" s="2" t="n">
        <v>8</v>
      </c>
    </row>
    <row r="4008">
      <c r="A4008" s="2" t="inlineStr">
        <is>
          <t>CC004</t>
        </is>
      </c>
      <c r="B4008" s="2" t="inlineStr"/>
      <c r="C4008" s="2" t="inlineStr">
        <is>
          <t>TRICETA F-UNO/PREMIO 20DIENTES</t>
        </is>
      </c>
      <c r="D4008" s="2" t="inlineStr">
        <is>
          <t>EUROBERING</t>
        </is>
      </c>
      <c r="E4008" s="3" t="n">
        <v>10</v>
      </c>
      <c r="F4008" s="4" t="n">
        <v>0.3</v>
      </c>
      <c r="G4008" s="5">
        <f>ROUND(E4008*(1+F4008),2)</f>
        <v>13.00</v>
      </c>
      <c r="H4008" s="5">
        <f>ROUND(G4008*NOTAS!$B$2,2)</f>
        <v>9377.49</v>
      </c>
      <c r="I4008" s="6">
        <f>ROUND(G4008*NOTAS!$B$3,0)</f>
        <v>42235</v>
      </c>
      <c r="J4008" s="2" t="n">
        <v>4</v>
      </c>
    </row>
    <row r="4009">
      <c r="A4009" s="2" t="inlineStr">
        <is>
          <t>7508720</t>
        </is>
      </c>
      <c r="B4009" s="2" t="inlineStr"/>
      <c r="C4009" s="2" t="inlineStr">
        <is>
          <t>TRICETA F-UNO/PREMIO 28MM</t>
        </is>
      </c>
      <c r="D4009" s="2" t="inlineStr">
        <is>
          <t>ZUTAKA</t>
        </is>
      </c>
      <c r="E4009" s="3" t="n">
        <v>7</v>
      </c>
      <c r="F4009" s="4" t="n">
        <v>0.3</v>
      </c>
      <c r="G4009" s="5">
        <f>ROUND(E4009*(1+F4009),2)</f>
        <v>9.10</v>
      </c>
      <c r="H4009" s="5">
        <f>ROUND(G4009*NOTAS!$B$2,2)</f>
        <v>6564.24</v>
      </c>
      <c r="I4009" s="6">
        <f>ROUND(G4009*NOTAS!$B$3,0)</f>
        <v>29565</v>
      </c>
      <c r="J4009" s="2" t="n">
        <v>5</v>
      </c>
    </row>
    <row r="4010">
      <c r="A4010" s="2" t="inlineStr">
        <is>
          <t>CC009</t>
        </is>
      </c>
      <c r="B4010" s="2" t="inlineStr"/>
      <c r="C4010" s="2" t="inlineStr">
        <is>
          <t>TRICETA F-UNO/PREMIO 32MM</t>
        </is>
      </c>
      <c r="D4010" s="2" t="inlineStr">
        <is>
          <t>CORAM</t>
        </is>
      </c>
      <c r="E4010" s="3" t="n">
        <v>11</v>
      </c>
      <c r="F4010" s="4" t="n">
        <v>0.3</v>
      </c>
      <c r="G4010" s="5">
        <f>ROUND(E4010*(1+F4010),2)</f>
        <v>14.30</v>
      </c>
      <c r="H4010" s="5">
        <f>ROUND(G4010*NOTAS!$B$2,2)</f>
        <v>10315.24</v>
      </c>
      <c r="I4010" s="6">
        <f>ROUND(G4010*NOTAS!$B$3,0)</f>
        <v>46459</v>
      </c>
      <c r="J4010" s="2" t="n">
        <v>7</v>
      </c>
    </row>
    <row r="4011">
      <c r="A4011" s="2" t="inlineStr">
        <is>
          <t>338463</t>
        </is>
      </c>
      <c r="B4011" s="2" t="inlineStr"/>
      <c r="C4011" s="2" t="inlineStr">
        <is>
          <t>TRICETA R-19/SYMBOL</t>
        </is>
      </c>
      <c r="D4011" s="2" t="inlineStr">
        <is>
          <t>WOLF</t>
        </is>
      </c>
      <c r="E4011" s="3" t="n">
        <v>6.9</v>
      </c>
      <c r="F4011" s="4" t="n">
        <v>0.3</v>
      </c>
      <c r="G4011" s="5">
        <f>ROUND(E4011*(1+F4011),2)</f>
        <v>8.97</v>
      </c>
      <c r="H4011" s="5">
        <f>ROUND(G4011*NOTAS!$B$2,2)</f>
        <v>6470.47</v>
      </c>
      <c r="I4011" s="6">
        <f>ROUND(G4011*NOTAS!$B$3,0)</f>
        <v>29142</v>
      </c>
      <c r="J4011" s="2" t="n">
        <v>1</v>
      </c>
    </row>
    <row r="4012">
      <c r="A4012" s="2" t="inlineStr">
        <is>
          <t>CC013</t>
        </is>
      </c>
      <c r="B4012" s="2" t="inlineStr"/>
      <c r="C4012" s="2" t="inlineStr">
        <is>
          <t>TRICETA R-19/SYMBOL</t>
        </is>
      </c>
      <c r="D4012" s="2" t="inlineStr">
        <is>
          <t>CORAM</t>
        </is>
      </c>
      <c r="E4012" s="3" t="n">
        <v>11</v>
      </c>
      <c r="F4012" s="4" t="n">
        <v>0.3</v>
      </c>
      <c r="G4012" s="5">
        <f>ROUND(E4012*(1+F4012),2)</f>
        <v>14.30</v>
      </c>
      <c r="H4012" s="5">
        <f>ROUND(G4012*NOTAS!$B$2,2)</f>
        <v>10315.24</v>
      </c>
      <c r="I4012" s="6">
        <f>ROUND(G4012*NOTAS!$B$3,0)</f>
        <v>46459</v>
      </c>
      <c r="J4012" s="2" t="n">
        <v>4</v>
      </c>
    </row>
    <row r="4013">
      <c r="A4013" s="2" t="inlineStr">
        <is>
          <t>RE0178</t>
        </is>
      </c>
      <c r="B4013" s="2" t="inlineStr"/>
      <c r="C4013" s="2" t="inlineStr">
        <is>
          <t>TRICETA R-19/SYMBOL</t>
        </is>
      </c>
      <c r="D4013" s="2" t="inlineStr">
        <is>
          <t>MAXXUN</t>
        </is>
      </c>
      <c r="E4013" s="3" t="n">
        <v>5</v>
      </c>
      <c r="F4013" s="4" t="n">
        <v>0.3</v>
      </c>
      <c r="G4013" s="5">
        <f>ROUND(E4013*(1+F4013),2)</f>
        <v>6.50</v>
      </c>
      <c r="H4013" s="5">
        <f>ROUND(G4013*NOTAS!$B$2,2)</f>
        <v>4688.75</v>
      </c>
      <c r="I4013" s="6">
        <f>ROUND(G4013*NOTAS!$B$3,0)</f>
        <v>21118</v>
      </c>
      <c r="J4013" s="2" t="n">
        <v>2</v>
      </c>
    </row>
    <row r="4014">
      <c r="A4014" s="2" t="inlineStr">
        <is>
          <t>CC0027</t>
        </is>
      </c>
      <c r="B4014" s="2" t="inlineStr"/>
      <c r="C4014" s="2" t="inlineStr">
        <is>
          <t>TRICETA R-CLIO II/SYMB/KANGOO AUT</t>
        </is>
      </c>
      <c r="D4014" s="2" t="inlineStr">
        <is>
          <t>CORAM</t>
        </is>
      </c>
      <c r="E4014" s="3" t="n">
        <v>8</v>
      </c>
      <c r="F4014" s="4" t="n">
        <v>0.3</v>
      </c>
      <c r="G4014" s="5">
        <f>ROUND(E4014*(1+F4014),2)</f>
        <v>10.40</v>
      </c>
      <c r="H4014" s="5">
        <f>ROUND(G4014*NOTAS!$B$2,2)</f>
        <v>7501.99</v>
      </c>
      <c r="I4014" s="6">
        <f>ROUND(G4014*NOTAS!$B$3,0)</f>
        <v>33788</v>
      </c>
      <c r="J4014" s="2" t="n">
        <v>3</v>
      </c>
    </row>
    <row r="4015">
      <c r="A4015" s="2" t="inlineStr">
        <is>
          <t>TS00625</t>
        </is>
      </c>
      <c r="B4015" s="2" t="inlineStr">
        <is>
          <t>7700113959</t>
        </is>
      </c>
      <c r="C4015" s="2" t="inlineStr">
        <is>
          <t>TRICETA R-LOGAN/CLIO</t>
        </is>
      </c>
      <c r="D4015" s="2" t="inlineStr">
        <is>
          <t>OMCAR</t>
        </is>
      </c>
      <c r="E4015" s="3" t="n">
        <v>8</v>
      </c>
      <c r="F4015" s="4" t="n">
        <v>0.3</v>
      </c>
      <c r="G4015" s="5">
        <f>ROUND(E4015*(1+F4015),2)</f>
        <v>10.40</v>
      </c>
      <c r="H4015" s="5">
        <f>ROUND(G4015*NOTAS!$B$2,2)</f>
        <v>7501.99</v>
      </c>
      <c r="I4015" s="6">
        <f>ROUND(G4015*NOTAS!$B$3,0)</f>
        <v>33788</v>
      </c>
      <c r="J4015" s="2" t="n">
        <v>2</v>
      </c>
    </row>
    <row r="4016">
      <c r="A4016" s="2" t="inlineStr">
        <is>
          <t>K351376</t>
        </is>
      </c>
      <c r="B4016" s="2" t="inlineStr"/>
      <c r="C4016" s="2" t="inlineStr">
        <is>
          <t>TRIPOIDE COMPLETO DERECHO AVEO AUTOMATICO LARGO CON ABS</t>
        </is>
      </c>
      <c r="D4016" s="2" t="inlineStr">
        <is>
          <t>KAMPF</t>
        </is>
      </c>
      <c r="E4016" s="3" t="n">
        <v>77</v>
      </c>
      <c r="F4016" s="4" t="n">
        <v>0.3</v>
      </c>
      <c r="G4016" s="5">
        <f>ROUND(E4016*(1+F4016),2)</f>
        <v>100.10</v>
      </c>
      <c r="H4016" s="5">
        <f>ROUND(G4016*NOTAS!$B$2,2)</f>
        <v>72206.69</v>
      </c>
      <c r="I4016" s="6">
        <f>ROUND(G4016*NOTAS!$B$3,0)</f>
        <v>325212</v>
      </c>
      <c r="J4016" s="2" t="n">
        <v>1</v>
      </c>
    </row>
    <row r="4017">
      <c r="A4017" s="2" t="inlineStr">
        <is>
          <t>K351048</t>
        </is>
      </c>
      <c r="B4017" s="2" t="inlineStr"/>
      <c r="C4017" s="2" t="inlineStr">
        <is>
          <t>TRIPOIDE COMPLETO DERECHO CORSA</t>
        </is>
      </c>
      <c r="D4017" s="2" t="inlineStr">
        <is>
          <t>KAMPF</t>
        </is>
      </c>
      <c r="E4017" s="3" t="n">
        <v>70</v>
      </c>
      <c r="F4017" s="4" t="n">
        <v>0.3</v>
      </c>
      <c r="G4017" s="5">
        <f>ROUND(E4017*(1+F4017),2)</f>
        <v>91.00</v>
      </c>
      <c r="H4017" s="5">
        <f>ROUND(G4017*NOTAS!$B$2,2)</f>
        <v>65642.45</v>
      </c>
      <c r="I4017" s="6">
        <f>ROUND(G4017*NOTAS!$B$3,0)</f>
        <v>295647</v>
      </c>
      <c r="J4017" s="2" t="n">
        <v>1</v>
      </c>
    </row>
    <row r="4018">
      <c r="A4018" s="2" t="inlineStr">
        <is>
          <t>K311235</t>
        </is>
      </c>
      <c r="B4018" s="2" t="inlineStr"/>
      <c r="C4018" s="2" t="inlineStr">
        <is>
          <t>TRIPOIDE COMPLETO DERECHO LOGAN</t>
        </is>
      </c>
      <c r="D4018" s="2" t="inlineStr">
        <is>
          <t>KAMPF</t>
        </is>
      </c>
      <c r="E4018" s="3" t="n">
        <v>60</v>
      </c>
      <c r="F4018" s="4" t="n">
        <v>0.3</v>
      </c>
      <c r="G4018" s="5">
        <f>ROUND(E4018*(1+F4018),2)</f>
        <v>78.00</v>
      </c>
      <c r="H4018" s="5">
        <f>ROUND(G4018*NOTAS!$B$2,2)</f>
        <v>56264.96</v>
      </c>
      <c r="I4018" s="6">
        <f>ROUND(G4018*NOTAS!$B$3,0)</f>
        <v>253412</v>
      </c>
      <c r="J4018" s="2" t="n">
        <v>1</v>
      </c>
    </row>
    <row r="4019">
      <c r="A4019" s="2" t="inlineStr">
        <is>
          <t>K351047</t>
        </is>
      </c>
      <c r="B4019" s="2" t="inlineStr"/>
      <c r="C4019" s="2" t="inlineStr">
        <is>
          <t>TRIPOIDE COMPLETO IZQUIERDO CORSA</t>
        </is>
      </c>
      <c r="D4019" s="2" t="inlineStr">
        <is>
          <t>KAMPF</t>
        </is>
      </c>
      <c r="E4019" s="3" t="n">
        <v>70</v>
      </c>
      <c r="F4019" s="4" t="n">
        <v>0.3</v>
      </c>
      <c r="G4019" s="5">
        <f>ROUND(E4019*(1+F4019),2)</f>
        <v>91.00</v>
      </c>
      <c r="H4019" s="5">
        <f>ROUND(G4019*NOTAS!$B$2,2)</f>
        <v>65642.45</v>
      </c>
      <c r="I4019" s="6">
        <f>ROUND(G4019*NOTAS!$B$3,0)</f>
        <v>295647</v>
      </c>
      <c r="J4019" s="2" t="n">
        <v>1</v>
      </c>
    </row>
    <row r="4020">
      <c r="A4020" s="2" t="inlineStr">
        <is>
          <t>96273608</t>
        </is>
      </c>
      <c r="B4020" s="2" t="inlineStr"/>
      <c r="C4020" s="2" t="inlineStr">
        <is>
          <t>TUBO AGUA AVEO</t>
        </is>
      </c>
      <c r="D4020" s="2" t="inlineStr">
        <is>
          <t>GM</t>
        </is>
      </c>
      <c r="E4020" s="3" t="n">
        <v>10</v>
      </c>
      <c r="F4020" s="4" t="n">
        <v>0.3</v>
      </c>
      <c r="G4020" s="5">
        <f>ROUND(E4020*(1+F4020),2)</f>
        <v>13.00</v>
      </c>
      <c r="H4020" s="5">
        <f>ROUND(G4020*NOTAS!$B$2,2)</f>
        <v>9377.49</v>
      </c>
      <c r="I4020" s="6">
        <f>ROUND(G4020*NOTAS!$B$3,0)</f>
        <v>42235</v>
      </c>
      <c r="J4020" s="2" t="n">
        <v>4</v>
      </c>
    </row>
    <row r="4021">
      <c r="A4021" s="2" t="inlineStr">
        <is>
          <t>8132012403</t>
        </is>
      </c>
      <c r="B4021" s="2" t="inlineStr"/>
      <c r="C4021" s="2" t="inlineStr">
        <is>
          <t>TUBO AGUA CIELO/LANOS</t>
        </is>
      </c>
      <c r="D4021" s="2" t="inlineStr">
        <is>
          <t>KOREA</t>
        </is>
      </c>
      <c r="E4021" s="3" t="n">
        <v>6</v>
      </c>
      <c r="F4021" s="4" t="n">
        <v>0.3</v>
      </c>
      <c r="G4021" s="5">
        <f>ROUND(E4021*(1+F4021),2)</f>
        <v>7.80</v>
      </c>
      <c r="H4021" s="5">
        <f>ROUND(G4021*NOTAS!$B$2,2)</f>
        <v>5626.50</v>
      </c>
      <c r="I4021" s="6">
        <f>ROUND(G4021*NOTAS!$B$3,0)</f>
        <v>25341</v>
      </c>
      <c r="J4021" s="2" t="n">
        <v>3</v>
      </c>
    </row>
    <row r="4022">
      <c r="A4022" s="2" t="inlineStr">
        <is>
          <t>P96180035</t>
        </is>
      </c>
      <c r="B4022" s="2" t="inlineStr"/>
      <c r="C4022" s="2" t="inlineStr">
        <is>
          <t>TUBO AGUA CIELO/LANOS</t>
        </is>
      </c>
      <c r="D4022" s="2" t="inlineStr">
        <is>
          <t>RAON</t>
        </is>
      </c>
      <c r="E4022" s="3" t="n">
        <v>6</v>
      </c>
      <c r="F4022" s="4" t="n">
        <v>0.3</v>
      </c>
      <c r="G4022" s="5">
        <f>ROUND(E4022*(1+F4022),2)</f>
        <v>7.80</v>
      </c>
      <c r="H4022" s="5">
        <f>ROUND(G4022*NOTAS!$B$2,2)</f>
        <v>5626.50</v>
      </c>
      <c r="I4022" s="6">
        <f>ROUND(G4022*NOTAS!$B$3,0)</f>
        <v>25341</v>
      </c>
      <c r="J4022" s="2" t="n">
        <v>2</v>
      </c>
    </row>
    <row r="4023">
      <c r="A4023" s="2" t="inlineStr">
        <is>
          <t>VC-409</t>
        </is>
      </c>
      <c r="B4023" s="2" t="inlineStr">
        <is>
          <t>90448854</t>
        </is>
      </c>
      <c r="C4023" s="2" t="inlineStr">
        <is>
          <t>TUBO AGUA CORSA</t>
        </is>
      </c>
      <c r="D4023" s="2" t="inlineStr">
        <is>
          <t>VALCLEI</t>
        </is>
      </c>
      <c r="E4023" s="3" t="n">
        <v>6</v>
      </c>
      <c r="F4023" s="4" t="n">
        <v>0.3</v>
      </c>
      <c r="G4023" s="5">
        <f>ROUND(E4023*(1+F4023),2)</f>
        <v>7.80</v>
      </c>
      <c r="H4023" s="5">
        <f>ROUND(G4023*NOTAS!$B$2,2)</f>
        <v>5626.50</v>
      </c>
      <c r="I4023" s="6">
        <f>ROUND(G4023*NOTAS!$B$3,0)</f>
        <v>25341</v>
      </c>
      <c r="J4023" s="2" t="n">
        <v>7</v>
      </c>
    </row>
    <row r="4024">
      <c r="A4024" s="2" t="inlineStr">
        <is>
          <t>PL-7783</t>
        </is>
      </c>
      <c r="B4024" s="2" t="inlineStr">
        <is>
          <t>90448854</t>
        </is>
      </c>
      <c r="C4024" s="2" t="inlineStr">
        <is>
          <t>TUBO AGUA CORSA</t>
        </is>
      </c>
      <c r="D4024" s="2" t="inlineStr">
        <is>
          <t>PLATINUM</t>
        </is>
      </c>
      <c r="E4024" s="3" t="n">
        <v>6</v>
      </c>
      <c r="F4024" s="4" t="n">
        <v>0.3</v>
      </c>
      <c r="G4024" s="5">
        <f>ROUND(E4024*(1+F4024),2)</f>
        <v>7.80</v>
      </c>
      <c r="H4024" s="5">
        <f>ROUND(G4024*NOTAS!$B$2,2)</f>
        <v>5626.50</v>
      </c>
      <c r="I4024" s="6">
        <f>ROUND(G4024*NOTAS!$B$3,0)</f>
        <v>25341</v>
      </c>
      <c r="J4024" s="2" t="n">
        <v>1</v>
      </c>
    </row>
    <row r="4025">
      <c r="A4025" s="2" t="inlineStr">
        <is>
          <t>PA66GF25</t>
        </is>
      </c>
      <c r="B4025" s="2" t="inlineStr"/>
      <c r="C4025" s="2" t="inlineStr">
        <is>
          <t>TUBO AGUA CORSA</t>
        </is>
      </c>
      <c r="D4025" s="2" t="inlineStr">
        <is>
          <t>BRAZIL</t>
        </is>
      </c>
      <c r="E4025" s="3" t="n">
        <v>6</v>
      </c>
      <c r="F4025" s="4" t="n">
        <v>0.3</v>
      </c>
      <c r="G4025" s="5">
        <f>ROUND(E4025*(1+F4025),2)</f>
        <v>7.80</v>
      </c>
      <c r="H4025" s="5">
        <f>ROUND(G4025*NOTAS!$B$2,2)</f>
        <v>5626.50</v>
      </c>
      <c r="I4025" s="6">
        <f>ROUND(G4025*NOTAS!$B$3,0)</f>
        <v>25341</v>
      </c>
      <c r="J4025" s="2" t="n">
        <v>5</v>
      </c>
    </row>
    <row r="4026">
      <c r="A4026" s="2" t="inlineStr">
        <is>
          <t>90448854</t>
        </is>
      </c>
      <c r="B4026" s="2" t="inlineStr"/>
      <c r="C4026" s="2" t="inlineStr">
        <is>
          <t>TUBO AGUA CORSA</t>
        </is>
      </c>
      <c r="D4026" s="2" t="inlineStr">
        <is>
          <t>GM</t>
        </is>
      </c>
      <c r="E4026" s="3" t="n">
        <v>10</v>
      </c>
      <c r="F4026" s="4" t="n">
        <v>0.3</v>
      </c>
      <c r="G4026" s="5">
        <f>ROUND(E4026*(1+F4026),2)</f>
        <v>13.00</v>
      </c>
      <c r="H4026" s="5">
        <f>ROUND(G4026*NOTAS!$B$2,2)</f>
        <v>9377.49</v>
      </c>
      <c r="I4026" s="6">
        <f>ROUND(G4026*NOTAS!$B$3,0)</f>
        <v>42235</v>
      </c>
      <c r="J4026" s="2" t="n">
        <v>1</v>
      </c>
    </row>
    <row r="4027">
      <c r="A4027" s="2" t="inlineStr"/>
      <c r="B4027" s="2" t="inlineStr"/>
      <c r="C4027" s="2" t="inlineStr">
        <is>
          <t>TUBO AGUA F-147/UNO</t>
        </is>
      </c>
      <c r="D4027" s="2" t="inlineStr">
        <is>
          <t>ITALY</t>
        </is>
      </c>
      <c r="E4027" s="3" t="n">
        <v>6</v>
      </c>
      <c r="F4027" s="4" t="n">
        <v>0.3</v>
      </c>
      <c r="G4027" s="5">
        <f>ROUND(E4027*(1+F4027),2)</f>
        <v>7.80</v>
      </c>
      <c r="H4027" s="5">
        <f>ROUND(G4027*NOTAS!$B$2,2)</f>
        <v>5626.50</v>
      </c>
      <c r="I4027" s="6">
        <f>ROUND(G4027*NOTAS!$B$3,0)</f>
        <v>25341</v>
      </c>
      <c r="J4027" s="2" t="n">
        <v>2</v>
      </c>
    </row>
    <row r="4028">
      <c r="A4028" s="2" t="inlineStr"/>
      <c r="B4028" s="2" t="inlineStr"/>
      <c r="C4028" s="2" t="inlineStr">
        <is>
          <t>TUBO AGUA F-PAL/SIE 1.3</t>
        </is>
      </c>
      <c r="D4028" s="2" t="inlineStr">
        <is>
          <t>ITALY</t>
        </is>
      </c>
      <c r="E4028" s="3" t="n">
        <v>10</v>
      </c>
      <c r="F4028" s="4" t="n">
        <v>0.3</v>
      </c>
      <c r="G4028" s="5">
        <f>ROUND(E4028*(1+F4028),2)</f>
        <v>13.00</v>
      </c>
      <c r="H4028" s="5">
        <f>ROUND(G4028*NOTAS!$B$2,2)</f>
        <v>9377.49</v>
      </c>
      <c r="I4028" s="6">
        <f>ROUND(G4028*NOTAS!$B$3,0)</f>
        <v>42235</v>
      </c>
      <c r="J4028" s="2" t="n">
        <v>6</v>
      </c>
    </row>
    <row r="4029">
      <c r="A4029" s="2" t="inlineStr">
        <is>
          <t>FI-188</t>
        </is>
      </c>
      <c r="B4029" s="2" t="inlineStr"/>
      <c r="C4029" s="2" t="inlineStr">
        <is>
          <t>TUBO AGUA F-PAL/SIE 1.6</t>
        </is>
      </c>
      <c r="D4029" s="2" t="inlineStr">
        <is>
          <t>GRAZZIMETAL</t>
        </is>
      </c>
      <c r="E4029" s="3" t="n">
        <v>5</v>
      </c>
      <c r="F4029" s="4" t="n">
        <v>0.3</v>
      </c>
      <c r="G4029" s="5">
        <f>ROUND(E4029*(1+F4029),2)</f>
        <v>6.50</v>
      </c>
      <c r="H4029" s="5">
        <f>ROUND(G4029*NOTAS!$B$2,2)</f>
        <v>4688.75</v>
      </c>
      <c r="I4029" s="6">
        <f>ROUND(G4029*NOTAS!$B$3,0)</f>
        <v>21118</v>
      </c>
      <c r="J4029" s="2" t="n">
        <v>1</v>
      </c>
    </row>
    <row r="4030">
      <c r="A4030" s="2" t="inlineStr">
        <is>
          <t>VC-222</t>
        </is>
      </c>
      <c r="B4030" s="2" t="inlineStr"/>
      <c r="C4030" s="2" t="inlineStr">
        <is>
          <t>TUBO AGUA F-PAL/SIE 1.8</t>
        </is>
      </c>
      <c r="D4030" s="2" t="inlineStr">
        <is>
          <t>VALCLEI</t>
        </is>
      </c>
      <c r="E4030" s="3" t="n">
        <v>8</v>
      </c>
      <c r="F4030" s="4" t="n">
        <v>0.3</v>
      </c>
      <c r="G4030" s="5">
        <f>ROUND(E4030*(1+F4030),2)</f>
        <v>10.40</v>
      </c>
      <c r="H4030" s="5">
        <f>ROUND(G4030*NOTAS!$B$2,2)</f>
        <v>7501.99</v>
      </c>
      <c r="I4030" s="6">
        <f>ROUND(G4030*NOTAS!$B$3,0)</f>
        <v>33788</v>
      </c>
      <c r="J4030" s="2" t="n">
        <v>2</v>
      </c>
    </row>
    <row r="4031">
      <c r="A4031" s="2" t="inlineStr"/>
      <c r="B4031" s="2" t="inlineStr"/>
      <c r="C4031" s="2" t="inlineStr">
        <is>
          <t>TUBO AGUA F-PREMIO/REGATA AUT</t>
        </is>
      </c>
      <c r="D4031" s="2" t="inlineStr">
        <is>
          <t>ITALY</t>
        </is>
      </c>
      <c r="E4031" s="3" t="n">
        <v>5</v>
      </c>
      <c r="F4031" s="4" t="n">
        <v>0.3</v>
      </c>
      <c r="G4031" s="5">
        <f>ROUND(E4031*(1+F4031),2)</f>
        <v>6.50</v>
      </c>
      <c r="H4031" s="5">
        <f>ROUND(G4031*NOTAS!$B$2,2)</f>
        <v>4688.75</v>
      </c>
      <c r="I4031" s="6">
        <f>ROUND(G4031*NOTAS!$B$3,0)</f>
        <v>21118</v>
      </c>
      <c r="J4031" s="2" t="n">
        <v>7</v>
      </c>
    </row>
    <row r="4032">
      <c r="A4032" s="2" t="inlineStr">
        <is>
          <t>9128719</t>
        </is>
      </c>
      <c r="B4032" s="2" t="inlineStr"/>
      <c r="C4032" s="2" t="inlineStr">
        <is>
          <t>TUBO AGUA MERIVA/MONTANA</t>
        </is>
      </c>
      <c r="D4032" s="2" t="inlineStr">
        <is>
          <t>GM</t>
        </is>
      </c>
      <c r="E4032" s="3" t="n">
        <v>15</v>
      </c>
      <c r="F4032" s="4" t="n">
        <v>0.3</v>
      </c>
      <c r="G4032" s="5">
        <f>ROUND(E4032*(1+F4032),2)</f>
        <v>19.50</v>
      </c>
      <c r="H4032" s="5">
        <f>ROUND(G4032*NOTAS!$B$2,2)</f>
        <v>14066.24</v>
      </c>
      <c r="I4032" s="6">
        <f>ROUND(G4032*NOTAS!$B$3,0)</f>
        <v>63353</v>
      </c>
      <c r="J4032" s="2" t="n">
        <v>2</v>
      </c>
    </row>
    <row r="4033">
      <c r="A4033" s="2" t="inlineStr">
        <is>
          <t>7700796067</t>
        </is>
      </c>
      <c r="B4033" s="2" t="inlineStr"/>
      <c r="C4033" s="2" t="inlineStr">
        <is>
          <t>TUBO AGUA R-19</t>
        </is>
      </c>
      <c r="D4033" s="2" t="inlineStr"/>
      <c r="E4033" s="3" t="n">
        <v>7</v>
      </c>
      <c r="F4033" s="4" t="n">
        <v>0.3</v>
      </c>
      <c r="G4033" s="5">
        <f>ROUND(E4033*(1+F4033),2)</f>
        <v>9.10</v>
      </c>
      <c r="H4033" s="5">
        <f>ROUND(G4033*NOTAS!$B$2,2)</f>
        <v>6564.24</v>
      </c>
      <c r="I4033" s="6">
        <f>ROUND(G4033*NOTAS!$B$3,0)</f>
        <v>29565</v>
      </c>
      <c r="J4033" s="2" t="n">
        <v>2</v>
      </c>
    </row>
    <row r="4034">
      <c r="A4034" s="2" t="inlineStr">
        <is>
          <t>8132242403</t>
        </is>
      </c>
      <c r="B4034" s="2" t="inlineStr"/>
      <c r="C4034" s="2" t="inlineStr">
        <is>
          <t>TUBO DE AGUA 3 TUBOS</t>
        </is>
      </c>
      <c r="D4034" s="2" t="inlineStr">
        <is>
          <t>KOREA</t>
        </is>
      </c>
      <c r="E4034" s="3" t="n">
        <v>6</v>
      </c>
      <c r="F4034" s="4" t="n">
        <v>0.3</v>
      </c>
      <c r="G4034" s="5">
        <f>ROUND(E4034*(1+F4034),2)</f>
        <v>7.80</v>
      </c>
      <c r="H4034" s="5">
        <f>ROUND(G4034*NOTAS!$B$2,2)</f>
        <v>5626.50</v>
      </c>
      <c r="I4034" s="6">
        <f>ROUND(G4034*NOTAS!$B$3,0)</f>
        <v>25341</v>
      </c>
      <c r="J4034" s="2" t="n">
        <v>1</v>
      </c>
    </row>
    <row r="4035">
      <c r="A4035" s="2" t="inlineStr">
        <is>
          <t>1S657A512AA</t>
        </is>
      </c>
      <c r="B4035" s="2" t="inlineStr"/>
      <c r="C4035" s="2" t="inlineStr">
        <is>
          <t>TUBO MANGUERA BOMBA CLUTCH FIESTA</t>
        </is>
      </c>
      <c r="D4035" s="2" t="inlineStr">
        <is>
          <t>FORD</t>
        </is>
      </c>
      <c r="E4035" s="3" t="n">
        <v>35</v>
      </c>
      <c r="F4035" s="4" t="n">
        <v>0.3</v>
      </c>
      <c r="G4035" s="5">
        <f>ROUND(E4035*(1+F4035),2)</f>
        <v>45.50</v>
      </c>
      <c r="H4035" s="5">
        <f>ROUND(G4035*NOTAS!$B$2,2)</f>
        <v>32821.22</v>
      </c>
      <c r="I4035" s="6">
        <f>ROUND(G4035*NOTAS!$B$3,0)</f>
        <v>147824</v>
      </c>
      <c r="J4035" s="2" t="n">
        <v>3</v>
      </c>
    </row>
    <row r="4036">
      <c r="A4036" s="2" t="inlineStr">
        <is>
          <t>1S557A512AA</t>
        </is>
      </c>
      <c r="B4036" s="2" t="inlineStr"/>
      <c r="C4036" s="2" t="inlineStr">
        <is>
          <t>TUBO MANGUERA BOMBA CLUTCH KA</t>
        </is>
      </c>
      <c r="D4036" s="2" t="inlineStr">
        <is>
          <t>FORD</t>
        </is>
      </c>
      <c r="E4036" s="3" t="n">
        <v>35</v>
      </c>
      <c r="F4036" s="4" t="n">
        <v>0.3</v>
      </c>
      <c r="G4036" s="5">
        <f>ROUND(E4036*(1+F4036),2)</f>
        <v>45.50</v>
      </c>
      <c r="H4036" s="5">
        <f>ROUND(G4036*NOTAS!$B$2,2)</f>
        <v>32821.22</v>
      </c>
      <c r="I4036" s="6">
        <f>ROUND(G4036*NOTAS!$B$3,0)</f>
        <v>147824</v>
      </c>
      <c r="J4036" s="2" t="n">
        <v>2</v>
      </c>
    </row>
    <row r="4037">
      <c r="A4037" s="2" t="inlineStr">
        <is>
          <t>924795</t>
        </is>
      </c>
      <c r="B4037" s="2" t="inlineStr">
        <is>
          <t>2S657T504AA</t>
        </is>
      </c>
      <c r="C4037" s="2" t="inlineStr">
        <is>
          <t>TUBO MANGUERA COLLARIN CLUTCH FIESTA</t>
        </is>
      </c>
      <c r="D4037" s="2" t="inlineStr">
        <is>
          <t>FORD</t>
        </is>
      </c>
      <c r="E4037" s="3" t="n">
        <v>15</v>
      </c>
      <c r="F4037" s="4" t="n">
        <v>0.3</v>
      </c>
      <c r="G4037" s="5">
        <f>ROUND(E4037*(1+F4037),2)</f>
        <v>19.50</v>
      </c>
      <c r="H4037" s="5">
        <f>ROUND(G4037*NOTAS!$B$2,2)</f>
        <v>14066.24</v>
      </c>
      <c r="I4037" s="6">
        <f>ROUND(G4037*NOTAS!$B$3,0)</f>
        <v>63353</v>
      </c>
      <c r="J4037" s="2" t="n">
        <v>2</v>
      </c>
    </row>
    <row r="4038">
      <c r="A4038" s="2" t="inlineStr"/>
      <c r="B4038" s="2" t="inlineStr"/>
      <c r="C4038" s="2" t="inlineStr">
        <is>
          <t>TUERCA BASE CAJA F-UNO/PREMIO</t>
        </is>
      </c>
      <c r="D4038" s="2" t="inlineStr">
        <is>
          <t>BRAZIL</t>
        </is>
      </c>
      <c r="E4038" s="3" t="n">
        <v>3.8462</v>
      </c>
      <c r="F4038" s="4" t="n">
        <v>0.3</v>
      </c>
      <c r="G4038" s="5">
        <f>ROUND(E4038*(1+F4038),2)</f>
        <v>5.00</v>
      </c>
      <c r="H4038" s="5">
        <f>ROUND(G4038*NOTAS!$B$2,2)</f>
        <v>3606.73</v>
      </c>
      <c r="I4038" s="6">
        <f>ROUND(G4038*NOTAS!$B$3,0)</f>
        <v>16244</v>
      </c>
      <c r="J4038" s="2" t="n">
        <v>2</v>
      </c>
    </row>
    <row r="4039">
      <c r="A4039" s="2" t="inlineStr">
        <is>
          <t>4191151</t>
        </is>
      </c>
      <c r="B4039" s="2" t="inlineStr"/>
      <c r="C4039" s="2" t="inlineStr">
        <is>
          <t>TUERCA BRAZO AXIAL F-147/UNO</t>
        </is>
      </c>
      <c r="D4039" s="2" t="inlineStr">
        <is>
          <t>BRAZIL</t>
        </is>
      </c>
      <c r="E4039" s="3" t="n">
        <v>0.37</v>
      </c>
      <c r="F4039" s="4" t="n">
        <v>0.3</v>
      </c>
      <c r="G4039" s="5">
        <f>ROUND(E4039*(1+F4039),2)</f>
        <v>0.48</v>
      </c>
      <c r="H4039" s="5">
        <f>ROUND(G4039*NOTAS!$B$2,2)</f>
        <v>346.25</v>
      </c>
      <c r="I4039" s="6">
        <f>ROUND(G4039*NOTAS!$B$3,0)</f>
        <v>1559</v>
      </c>
      <c r="J4039" s="2" t="n">
        <v>22</v>
      </c>
    </row>
    <row r="4040">
      <c r="A4040" s="2" t="inlineStr">
        <is>
          <t>46559350</t>
        </is>
      </c>
      <c r="B4040" s="2" t="inlineStr"/>
      <c r="C4040" s="2" t="inlineStr">
        <is>
          <t>TUERCA CAJA VELOCIDAD FIAT</t>
        </is>
      </c>
      <c r="D4040" s="2" t="inlineStr">
        <is>
          <t>BRAZIL</t>
        </is>
      </c>
      <c r="E4040" s="3" t="n">
        <v>3.8462</v>
      </c>
      <c r="F4040" s="4" t="n">
        <v>0.3</v>
      </c>
      <c r="G4040" s="5">
        <f>ROUND(E4040*(1+F4040),2)</f>
        <v>5.00</v>
      </c>
      <c r="H4040" s="5">
        <f>ROUND(G4040*NOTAS!$B$2,2)</f>
        <v>3606.73</v>
      </c>
      <c r="I4040" s="6">
        <f>ROUND(G4040*NOTAS!$B$3,0)</f>
        <v>16244</v>
      </c>
      <c r="J4040" s="2" t="n">
        <v>8</v>
      </c>
    </row>
    <row r="4041">
      <c r="A4041" s="2" t="inlineStr"/>
      <c r="B4041" s="2" t="inlineStr"/>
      <c r="C4041" s="2" t="inlineStr">
        <is>
          <t>TUERCA CIGUENAL F-UNO 1.3</t>
        </is>
      </c>
      <c r="D4041" s="2" t="inlineStr">
        <is>
          <t>BRAZIL</t>
        </is>
      </c>
      <c r="E4041" s="3" t="n">
        <v>3.8462</v>
      </c>
      <c r="F4041" s="4" t="n">
        <v>0.3</v>
      </c>
      <c r="G4041" s="5">
        <f>ROUND(E4041*(1+F4041),2)</f>
        <v>5.00</v>
      </c>
      <c r="H4041" s="5">
        <f>ROUND(G4041*NOTAS!$B$2,2)</f>
        <v>3606.73</v>
      </c>
      <c r="I4041" s="6">
        <f>ROUND(G4041*NOTAS!$B$3,0)</f>
        <v>16244</v>
      </c>
      <c r="J4041" s="2" t="n">
        <v>26</v>
      </c>
    </row>
    <row r="4042">
      <c r="A4042" s="2" t="inlineStr">
        <is>
          <t>6L2Z5C491AA</t>
        </is>
      </c>
      <c r="B4042" s="2" t="inlineStr"/>
      <c r="C4042" s="2" t="inlineStr">
        <is>
          <t>TUERCA GOMA ARANDELA BIELETA ESTALIBIZADOR TRASERA EXPLORER 06/11</t>
        </is>
      </c>
      <c r="D4042" s="2" t="inlineStr">
        <is>
          <t>FORD</t>
        </is>
      </c>
      <c r="E4042" s="3" t="n">
        <v>5.3846</v>
      </c>
      <c r="F4042" s="4" t="n">
        <v>0.3</v>
      </c>
      <c r="G4042" s="5">
        <f>ROUND(E4042*(1+F4042),2)</f>
        <v>7.00</v>
      </c>
      <c r="H4042" s="5">
        <f>ROUND(G4042*NOTAS!$B$2,2)</f>
        <v>5049.42</v>
      </c>
      <c r="I4042" s="6">
        <f>ROUND(G4042*NOTAS!$B$3,0)</f>
        <v>22742</v>
      </c>
      <c r="J4042" s="2" t="n">
        <v>2</v>
      </c>
    </row>
    <row r="4043">
      <c r="A4043" s="2" t="inlineStr">
        <is>
          <t>7700426450</t>
        </is>
      </c>
      <c r="B4043" s="2" t="inlineStr"/>
      <c r="C4043" s="2" t="inlineStr">
        <is>
          <t>TUERCA SUPERIOR BASE AMORTIGUADOR DELANTERO R-SYMBOL/LOGAN</t>
        </is>
      </c>
      <c r="D4043" s="2" t="inlineStr">
        <is>
          <t>RENAULT</t>
        </is>
      </c>
      <c r="E4043" s="3" t="n">
        <v>6.1538</v>
      </c>
      <c r="F4043" s="4" t="n">
        <v>0.3</v>
      </c>
      <c r="G4043" s="5">
        <f>ROUND(E4043*(1+F4043),2)</f>
        <v>8.00</v>
      </c>
      <c r="H4043" s="5">
        <f>ROUND(G4043*NOTAS!$B$2,2)</f>
        <v>5770.76</v>
      </c>
      <c r="I4043" s="6">
        <f>ROUND(G4043*NOTAS!$B$3,0)</f>
        <v>25991</v>
      </c>
      <c r="J4043" s="2" t="n">
        <v>2</v>
      </c>
    </row>
    <row r="4044">
      <c r="A4044" s="2" t="inlineStr">
        <is>
          <t>85855828</t>
        </is>
      </c>
      <c r="B4044" s="2" t="inlineStr"/>
      <c r="C4044" s="2" t="inlineStr">
        <is>
          <t>TUERCA TANQUE GASOLINA R-SYMBOL/LOGAN/TWINGO/CLIO/MEGANE</t>
        </is>
      </c>
      <c r="D4044" s="2" t="inlineStr">
        <is>
          <t>BYSUNPARTS</t>
        </is>
      </c>
      <c r="E4044" s="3" t="n">
        <v>6.1538</v>
      </c>
      <c r="F4044" s="4" t="n">
        <v>0.3</v>
      </c>
      <c r="G4044" s="5">
        <f>ROUND(E4044*(1+F4044),2)</f>
        <v>8.00</v>
      </c>
      <c r="H4044" s="5">
        <f>ROUND(G4044*NOTAS!$B$2,2)</f>
        <v>5770.76</v>
      </c>
      <c r="I4044" s="6">
        <f>ROUND(G4044*NOTAS!$B$3,0)</f>
        <v>25991</v>
      </c>
      <c r="J4044" s="2" t="n">
        <v>1</v>
      </c>
    </row>
    <row r="4045">
      <c r="A4045" s="2" t="inlineStr">
        <is>
          <t>PL-6333</t>
        </is>
      </c>
      <c r="B4045" s="2" t="inlineStr"/>
      <c r="C4045" s="2" t="inlineStr">
        <is>
          <t>VACUM CARBURADOR AIRE ACONDICIONADO F-UNO 1 BOCA</t>
        </is>
      </c>
      <c r="D4045" s="2" t="inlineStr">
        <is>
          <t>PLATINUM</t>
        </is>
      </c>
      <c r="E4045" s="3" t="n">
        <v>11.5385</v>
      </c>
      <c r="F4045" s="4" t="n">
        <v>0.3</v>
      </c>
      <c r="G4045" s="5">
        <f>ROUND(E4045*(1+F4045),2)</f>
        <v>15.00</v>
      </c>
      <c r="H4045" s="5">
        <f>ROUND(G4045*NOTAS!$B$2,2)</f>
        <v>10820.18</v>
      </c>
      <c r="I4045" s="6">
        <f>ROUND(G4045*NOTAS!$B$3,0)</f>
        <v>48733</v>
      </c>
      <c r="J4045" s="2" t="n">
        <v>3</v>
      </c>
    </row>
    <row r="4046">
      <c r="A4046" s="2" t="inlineStr">
        <is>
          <t>1010902</t>
        </is>
      </c>
      <c r="B4046" s="2" t="inlineStr">
        <is>
          <t>96FP3N824BA</t>
        </is>
      </c>
      <c r="C4046" s="2" t="inlineStr">
        <is>
          <t>VALVULA DIRECCION HIDRAUDICA FIESTA</t>
        </is>
      </c>
      <c r="D4046" s="2" t="inlineStr">
        <is>
          <t>FORD</t>
        </is>
      </c>
      <c r="E4046" s="3" t="n">
        <v>16.9231</v>
      </c>
      <c r="F4046" s="4" t="n">
        <v>0.3</v>
      </c>
      <c r="G4046" s="5">
        <f>ROUND(E4046*(1+F4046),2)</f>
        <v>22.00</v>
      </c>
      <c r="H4046" s="5">
        <f>ROUND(G4046*NOTAS!$B$2,2)</f>
        <v>15869.60</v>
      </c>
      <c r="I4046" s="6">
        <f>ROUND(G4046*NOTAS!$B$3,0)</f>
        <v>71475</v>
      </c>
      <c r="J4046" s="2" t="n">
        <v>2</v>
      </c>
    </row>
    <row r="4047">
      <c r="A4047" s="2" t="inlineStr">
        <is>
          <t>96289637</t>
        </is>
      </c>
      <c r="B4047" s="2" t="inlineStr"/>
      <c r="C4047" s="2" t="inlineStr">
        <is>
          <t>VALVULA FRENO AVEO SINCRONICO/NUBIRA/TACUMA</t>
        </is>
      </c>
      <c r="D4047" s="2" t="inlineStr">
        <is>
          <t>GM</t>
        </is>
      </c>
      <c r="E4047" s="3" t="n">
        <v>6.1538</v>
      </c>
      <c r="F4047" s="4" t="n">
        <v>0.3</v>
      </c>
      <c r="G4047" s="5">
        <f>ROUND(E4047*(1+F4047),2)</f>
        <v>8.00</v>
      </c>
      <c r="H4047" s="5">
        <f>ROUND(G4047*NOTAS!$B$2,2)</f>
        <v>5770.76</v>
      </c>
      <c r="I4047" s="6">
        <f>ROUND(G4047*NOTAS!$B$3,0)</f>
        <v>25991</v>
      </c>
      <c r="J4047" s="2" t="n">
        <v>2</v>
      </c>
    </row>
    <row r="4048">
      <c r="A4048" s="2" t="inlineStr">
        <is>
          <t>P96212027</t>
        </is>
      </c>
      <c r="B4048" s="2" t="inlineStr"/>
      <c r="C4048" s="2" t="inlineStr">
        <is>
          <t>VALVULA FRENO CIELO/LANOS</t>
        </is>
      </c>
      <c r="D4048" s="2" t="inlineStr">
        <is>
          <t>KOREA</t>
        </is>
      </c>
      <c r="E4048" s="3" t="n">
        <v>3.8462</v>
      </c>
      <c r="F4048" s="4" t="n">
        <v>0.3</v>
      </c>
      <c r="G4048" s="5">
        <f>ROUND(E4048*(1+F4048),2)</f>
        <v>5.00</v>
      </c>
      <c r="H4048" s="5">
        <f>ROUND(G4048*NOTAS!$B$2,2)</f>
        <v>3606.73</v>
      </c>
      <c r="I4048" s="6">
        <f>ROUND(G4048*NOTAS!$B$3,0)</f>
        <v>16244</v>
      </c>
      <c r="J4048" s="2" t="n">
        <v>2</v>
      </c>
    </row>
    <row r="4049">
      <c r="A4049" s="2" t="inlineStr">
        <is>
          <t>94580647</t>
        </is>
      </c>
      <c r="B4049" s="2" t="inlineStr"/>
      <c r="C4049" s="2" t="inlineStr">
        <is>
          <t>VALVULA FRENO CORSA/CIELO/LANOS</t>
        </is>
      </c>
      <c r="D4049" s="2" t="inlineStr">
        <is>
          <t>GM</t>
        </is>
      </c>
      <c r="E4049" s="3" t="n">
        <v>3.8462</v>
      </c>
      <c r="F4049" s="4" t="n">
        <v>0.3</v>
      </c>
      <c r="G4049" s="5">
        <f>ROUND(E4049*(1+F4049),2)</f>
        <v>5.00</v>
      </c>
      <c r="H4049" s="5">
        <f>ROUND(G4049*NOTAS!$B$2,2)</f>
        <v>3606.73</v>
      </c>
      <c r="I4049" s="6">
        <f>ROUND(G4049*NOTAS!$B$3,0)</f>
        <v>16244</v>
      </c>
      <c r="J4049" s="2" t="n">
        <v>4</v>
      </c>
    </row>
    <row r="4050">
      <c r="A4050" s="2" t="inlineStr">
        <is>
          <t>BK4384</t>
        </is>
      </c>
      <c r="B4050" s="2" t="inlineStr"/>
      <c r="C4050" s="2" t="inlineStr">
        <is>
          <t>VALVULA FRENO F-PALIO/SIENA</t>
        </is>
      </c>
      <c r="D4050" s="2" t="inlineStr">
        <is>
          <t>BIRKSON</t>
        </is>
      </c>
      <c r="E4050" s="3" t="n">
        <v>6.1538</v>
      </c>
      <c r="F4050" s="4" t="n">
        <v>0.3</v>
      </c>
      <c r="G4050" s="5">
        <f>ROUND(E4050*(1+F4050),2)</f>
        <v>8.00</v>
      </c>
      <c r="H4050" s="5">
        <f>ROUND(G4050*NOTAS!$B$2,2)</f>
        <v>5770.76</v>
      </c>
      <c r="I4050" s="6">
        <f>ROUND(G4050*NOTAS!$B$3,0)</f>
        <v>25991</v>
      </c>
      <c r="J4050" s="2" t="n">
        <v>1</v>
      </c>
    </row>
    <row r="4051">
      <c r="A4051" s="2" t="inlineStr">
        <is>
          <t>14120</t>
        </is>
      </c>
      <c r="B4051" s="2" t="inlineStr"/>
      <c r="C4051" s="2" t="inlineStr">
        <is>
          <t>VALVULA FRENO F-UNO</t>
        </is>
      </c>
      <c r="D4051" s="2" t="inlineStr">
        <is>
          <t>OLIMPIC</t>
        </is>
      </c>
      <c r="E4051" s="3" t="n">
        <v>3.8462</v>
      </c>
      <c r="F4051" s="4" t="n">
        <v>0.3</v>
      </c>
      <c r="G4051" s="5">
        <f>ROUND(E4051*(1+F4051),2)</f>
        <v>5.00</v>
      </c>
      <c r="H4051" s="5">
        <f>ROUND(G4051*NOTAS!$B$2,2)</f>
        <v>3606.73</v>
      </c>
      <c r="I4051" s="6">
        <f>ROUND(G4051*NOTAS!$B$3,0)</f>
        <v>16244</v>
      </c>
      <c r="J4051" s="2" t="n">
        <v>1</v>
      </c>
    </row>
    <row r="4052">
      <c r="A4052" s="2" t="inlineStr"/>
      <c r="B4052" s="2" t="inlineStr"/>
      <c r="C4052" s="2" t="inlineStr">
        <is>
          <t>VALVULA FRENO MANO CIELO</t>
        </is>
      </c>
      <c r="D4052" s="2" t="inlineStr">
        <is>
          <t>KOREA</t>
        </is>
      </c>
      <c r="E4052" s="3" t="n">
        <v>6.1538</v>
      </c>
      <c r="F4052" s="4" t="n">
        <v>0.3</v>
      </c>
      <c r="G4052" s="5">
        <f>ROUND(E4052*(1+F4052),2)</f>
        <v>8.00</v>
      </c>
      <c r="H4052" s="5">
        <f>ROUND(G4052*NOTAS!$B$2,2)</f>
        <v>5770.76</v>
      </c>
      <c r="I4052" s="6">
        <f>ROUND(G4052*NOTAS!$B$3,0)</f>
        <v>25991</v>
      </c>
      <c r="J4052" s="2" t="n">
        <v>10</v>
      </c>
    </row>
    <row r="4053">
      <c r="A4053" s="2" t="inlineStr">
        <is>
          <t>96180918</t>
        </is>
      </c>
      <c r="B4053" s="2" t="inlineStr"/>
      <c r="C4053" s="2" t="inlineStr">
        <is>
          <t>VALVULA GASOLINA CIELO</t>
        </is>
      </c>
      <c r="D4053" s="2" t="inlineStr">
        <is>
          <t>GM</t>
        </is>
      </c>
      <c r="E4053" s="3" t="n">
        <v>11.5385</v>
      </c>
      <c r="F4053" s="4" t="n">
        <v>0.3</v>
      </c>
      <c r="G4053" s="5">
        <f>ROUND(E4053*(1+F4053),2)</f>
        <v>15.00</v>
      </c>
      <c r="H4053" s="5">
        <f>ROUND(G4053*NOTAS!$B$2,2)</f>
        <v>10820.18</v>
      </c>
      <c r="I4053" s="6">
        <f>ROUND(G4053*NOTAS!$B$3,0)</f>
        <v>48733</v>
      </c>
      <c r="J4053" s="2" t="n">
        <v>4</v>
      </c>
    </row>
    <row r="4054">
      <c r="A4054" s="2" t="inlineStr">
        <is>
          <t>92061898</t>
        </is>
      </c>
      <c r="B4054" s="2" t="inlineStr"/>
      <c r="C4054" s="2" t="inlineStr">
        <is>
          <t>VALVULA IAC CORSA/AVEO</t>
        </is>
      </c>
      <c r="D4054" s="2" t="inlineStr">
        <is>
          <t>GM</t>
        </is>
      </c>
      <c r="E4054" s="3" t="n">
        <v>9.223100000000001</v>
      </c>
      <c r="F4054" s="4" t="n">
        <v>0.3</v>
      </c>
      <c r="G4054" s="5">
        <f>ROUND(E4054*(1+F4054),2)</f>
        <v>11.99</v>
      </c>
      <c r="H4054" s="5">
        <f>ROUND(G4054*NOTAS!$B$2,2)</f>
        <v>8648.93</v>
      </c>
      <c r="I4054" s="6">
        <f>ROUND(G4054*NOTAS!$B$3,0)</f>
        <v>38954</v>
      </c>
      <c r="J4054" s="2" t="n">
        <v>2</v>
      </c>
    </row>
    <row r="4055">
      <c r="A4055" s="2" t="inlineStr">
        <is>
          <t>SI-13</t>
        </is>
      </c>
      <c r="B4055" s="2" t="inlineStr"/>
      <c r="C4055" s="2" t="inlineStr">
        <is>
          <t>VALVULA IAC CORSA/AVEO</t>
        </is>
      </c>
      <c r="D4055" s="2" t="inlineStr">
        <is>
          <t>MTE-THOMSON</t>
        </is>
      </c>
      <c r="E4055" s="3" t="n">
        <v>9.223100000000001</v>
      </c>
      <c r="F4055" s="4" t="n">
        <v>0.3</v>
      </c>
      <c r="G4055" s="5">
        <f>ROUND(E4055*(1+F4055),2)</f>
        <v>11.99</v>
      </c>
      <c r="H4055" s="5">
        <f>ROUND(G4055*NOTAS!$B$2,2)</f>
        <v>8648.93</v>
      </c>
      <c r="I4055" s="6">
        <f>ROUND(G4055*NOTAS!$B$3,0)</f>
        <v>38954</v>
      </c>
      <c r="J4055" s="2" t="n">
        <v>2</v>
      </c>
    </row>
    <row r="4056">
      <c r="A4056" s="2" t="inlineStr">
        <is>
          <t>CA002BPM</t>
        </is>
      </c>
      <c r="B4056" s="2" t="inlineStr"/>
      <c r="C4056" s="2" t="inlineStr">
        <is>
          <t>VALVULA IAC FIESTA …/03-KA</t>
        </is>
      </c>
      <c r="D4056" s="2" t="inlineStr">
        <is>
          <t>MAGNETI MARELLI</t>
        </is>
      </c>
      <c r="E4056" s="3" t="n">
        <v>7.5846</v>
      </c>
      <c r="F4056" s="4" t="n">
        <v>0.3</v>
      </c>
      <c r="G4056" s="5">
        <f>ROUND(E4056*(1+F4056),2)</f>
        <v>9.86</v>
      </c>
      <c r="H4056" s="5">
        <f>ROUND(G4056*NOTAS!$B$2,2)</f>
        <v>7112.47</v>
      </c>
      <c r="I4056" s="6">
        <f>ROUND(G4056*NOTAS!$B$3,0)</f>
        <v>32034</v>
      </c>
      <c r="J4056" s="2" t="n">
        <v>1</v>
      </c>
    </row>
    <row r="4057">
      <c r="A4057" s="2" t="inlineStr">
        <is>
          <t>XS4U-BB</t>
        </is>
      </c>
      <c r="B4057" s="2" t="inlineStr"/>
      <c r="C4057" s="2" t="inlineStr">
        <is>
          <t>VALVULA IAC FIESTA …/03-KA</t>
        </is>
      </c>
      <c r="D4057" s="2" t="inlineStr">
        <is>
          <t>4USA</t>
        </is>
      </c>
      <c r="E4057" s="3" t="n">
        <v>7.5846</v>
      </c>
      <c r="F4057" s="4" t="n">
        <v>0.3</v>
      </c>
      <c r="G4057" s="5">
        <f>ROUND(E4057*(1+F4057),2)</f>
        <v>9.86</v>
      </c>
      <c r="H4057" s="5">
        <f>ROUND(G4057*NOTAS!$B$2,2)</f>
        <v>7112.47</v>
      </c>
      <c r="I4057" s="6">
        <f>ROUND(G4057*NOTAS!$B$3,0)</f>
        <v>32034</v>
      </c>
      <c r="J4057" s="2" t="n">
        <v>2</v>
      </c>
    </row>
    <row r="4058">
      <c r="A4058" s="2" t="inlineStr">
        <is>
          <t>SI-6</t>
        </is>
      </c>
      <c r="B4058" s="2" t="inlineStr"/>
      <c r="C4058" s="2" t="inlineStr">
        <is>
          <t>VALVULA IAC FIESTA MOVE USADA</t>
        </is>
      </c>
      <c r="D4058" s="2" t="inlineStr">
        <is>
          <t>MTE-THOMSON</t>
        </is>
      </c>
      <c r="E4058" s="3" t="n">
        <v>7.5846</v>
      </c>
      <c r="F4058" s="4" t="n">
        <v>0.3</v>
      </c>
      <c r="G4058" s="5">
        <f>ROUND(E4058*(1+F4058),2)</f>
        <v>9.86</v>
      </c>
      <c r="H4058" s="5">
        <f>ROUND(G4058*NOTAS!$B$2,2)</f>
        <v>7112.47</v>
      </c>
      <c r="I4058" s="6">
        <f>ROUND(G4058*NOTAS!$B$3,0)</f>
        <v>32034</v>
      </c>
      <c r="J4058" s="2" t="n">
        <v>1</v>
      </c>
    </row>
    <row r="4059">
      <c r="A4059" s="2" t="inlineStr">
        <is>
          <t>93744675</t>
        </is>
      </c>
      <c r="B4059" s="2" t="inlineStr"/>
      <c r="C4059" s="2" t="inlineStr">
        <is>
          <t>VALVULA IAC OPTRA DESIGN</t>
        </is>
      </c>
      <c r="D4059" s="2" t="inlineStr">
        <is>
          <t>GM</t>
        </is>
      </c>
      <c r="E4059" s="3" t="n">
        <v>4.09</v>
      </c>
      <c r="F4059" s="4" t="n">
        <v>0.3</v>
      </c>
      <c r="G4059" s="5">
        <f>ROUND(E4059*(1+F4059),2)</f>
        <v>5.32</v>
      </c>
      <c r="H4059" s="5">
        <f>ROUND(G4059*NOTAS!$B$2,2)</f>
        <v>3837.56</v>
      </c>
      <c r="I4059" s="6">
        <f>ROUND(G4059*NOTAS!$B$3,0)</f>
        <v>17284</v>
      </c>
      <c r="J4059" s="2" t="n">
        <v>1</v>
      </c>
    </row>
    <row r="4060">
      <c r="A4060" s="2" t="inlineStr">
        <is>
          <t>93744875-A</t>
        </is>
      </c>
      <c r="B4060" s="2" t="inlineStr"/>
      <c r="C4060" s="2" t="inlineStr">
        <is>
          <t>VALVULA IAC OPTRA DESIGN</t>
        </is>
      </c>
      <c r="D4060" s="2" t="inlineStr">
        <is>
          <t>GM</t>
        </is>
      </c>
      <c r="E4060" s="3" t="n">
        <v>7.5846</v>
      </c>
      <c r="F4060" s="4" t="n">
        <v>0.3</v>
      </c>
      <c r="G4060" s="5">
        <f>ROUND(E4060*(1+F4060),2)</f>
        <v>9.86</v>
      </c>
      <c r="H4060" s="5">
        <f>ROUND(G4060*NOTAS!$B$2,2)</f>
        <v>7112.47</v>
      </c>
      <c r="I4060" s="6">
        <f>ROUND(G4060*NOTAS!$B$3,0)</f>
        <v>32034</v>
      </c>
      <c r="J4060" s="2" t="n">
        <v>2</v>
      </c>
    </row>
    <row r="4061">
      <c r="A4061" s="2" t="inlineStr">
        <is>
          <t>7446</t>
        </is>
      </c>
      <c r="B4061" s="2" t="inlineStr"/>
      <c r="C4061" s="2" t="inlineStr">
        <is>
          <t>VALVULA IAC PASO A PASO F-PAL/SIE 1.3</t>
        </is>
      </c>
      <c r="D4061" s="2" t="inlineStr">
        <is>
          <t>MTE-THOMSON</t>
        </is>
      </c>
      <c r="E4061" s="3" t="n">
        <v>11.5385</v>
      </c>
      <c r="F4061" s="4" t="n">
        <v>0.3</v>
      </c>
      <c r="G4061" s="5">
        <f>ROUND(E4061*(1+F4061),2)</f>
        <v>15.00</v>
      </c>
      <c r="H4061" s="5">
        <f>ROUND(G4061*NOTAS!$B$2,2)</f>
        <v>10820.18</v>
      </c>
      <c r="I4061" s="6">
        <f>ROUND(G4061*NOTAS!$B$3,0)</f>
        <v>48733</v>
      </c>
      <c r="J4061" s="2" t="n">
        <v>1</v>
      </c>
    </row>
    <row r="4062">
      <c r="A4062" s="2" t="inlineStr">
        <is>
          <t>ATU02001R</t>
        </is>
      </c>
      <c r="B4062" s="2" t="inlineStr"/>
      <c r="C4062" s="2" t="inlineStr">
        <is>
          <t>VALVULA IAC PASO A PASO F-PAL/SIE 1.3</t>
        </is>
      </c>
      <c r="D4062" s="2" t="inlineStr">
        <is>
          <t>VDO</t>
        </is>
      </c>
      <c r="E4062" s="3" t="n">
        <v>11.5385</v>
      </c>
      <c r="F4062" s="4" t="n">
        <v>0.3</v>
      </c>
      <c r="G4062" s="5">
        <f>ROUND(E4062*(1+F4062),2)</f>
        <v>15.00</v>
      </c>
      <c r="H4062" s="5">
        <f>ROUND(G4062*NOTAS!$B$2,2)</f>
        <v>10820.18</v>
      </c>
      <c r="I4062" s="6">
        <f>ROUND(G4062*NOTAS!$B$3,0)</f>
        <v>48733</v>
      </c>
      <c r="J4062" s="2" t="n">
        <v>1</v>
      </c>
    </row>
    <row r="4063">
      <c r="A4063" s="2" t="inlineStr">
        <is>
          <t>ATU01200R</t>
        </is>
      </c>
      <c r="B4063" s="2" t="inlineStr"/>
      <c r="C4063" s="2" t="inlineStr">
        <is>
          <t>VALVULA IAC PASO A PASO F-PAL/SIE 1.6 16V</t>
        </is>
      </c>
      <c r="D4063" s="2" t="inlineStr">
        <is>
          <t>VDO</t>
        </is>
      </c>
      <c r="E4063" s="3" t="n">
        <v>11.5385</v>
      </c>
      <c r="F4063" s="4" t="n">
        <v>0.3</v>
      </c>
      <c r="G4063" s="5">
        <f>ROUND(E4063*(1+F4063),2)</f>
        <v>15.00</v>
      </c>
      <c r="H4063" s="5">
        <f>ROUND(G4063*NOTAS!$B$2,2)</f>
        <v>10820.18</v>
      </c>
      <c r="I4063" s="6">
        <f>ROUND(G4063*NOTAS!$B$3,0)</f>
        <v>48733</v>
      </c>
      <c r="J4063" s="2" t="n">
        <v>1</v>
      </c>
    </row>
    <row r="4064">
      <c r="A4064" s="2" t="inlineStr">
        <is>
          <t>40415202</t>
        </is>
      </c>
      <c r="B4064" s="2" t="inlineStr"/>
      <c r="C4064" s="2" t="inlineStr">
        <is>
          <t>VALVULA IAC PASO A PASO F-PAL/SIE 1.6 16V</t>
        </is>
      </c>
      <c r="D4064" s="2" t="inlineStr">
        <is>
          <t>MAGNETI MARELLI</t>
        </is>
      </c>
      <c r="E4064" s="3" t="n">
        <v>11.5385</v>
      </c>
      <c r="F4064" s="4" t="n">
        <v>0.3</v>
      </c>
      <c r="G4064" s="5">
        <f>ROUND(E4064*(1+F4064),2)</f>
        <v>15.00</v>
      </c>
      <c r="H4064" s="5">
        <f>ROUND(G4064*NOTAS!$B$2,2)</f>
        <v>10820.18</v>
      </c>
      <c r="I4064" s="6">
        <f>ROUND(G4064*NOTAS!$B$3,0)</f>
        <v>48733</v>
      </c>
      <c r="J4064" s="2" t="n">
        <v>7</v>
      </c>
    </row>
    <row r="4065">
      <c r="A4065" s="2" t="inlineStr">
        <is>
          <t>ATU05104R</t>
        </is>
      </c>
      <c r="B4065" s="2" t="inlineStr"/>
      <c r="C4065" s="2" t="inlineStr">
        <is>
          <t>VALVULA IAC PASO A PASO F-PAL/SIE 1.6 8V</t>
        </is>
      </c>
      <c r="D4065" s="2" t="inlineStr">
        <is>
          <t>VDO</t>
        </is>
      </c>
      <c r="E4065" s="3" t="n">
        <v>11.5385</v>
      </c>
      <c r="F4065" s="4" t="n">
        <v>0.3</v>
      </c>
      <c r="G4065" s="5">
        <f>ROUND(E4065*(1+F4065),2)</f>
        <v>15.00</v>
      </c>
      <c r="H4065" s="5">
        <f>ROUND(G4065*NOTAS!$B$2,2)</f>
        <v>10820.18</v>
      </c>
      <c r="I4065" s="6">
        <f>ROUND(G4065*NOTAS!$B$3,0)</f>
        <v>48733</v>
      </c>
      <c r="J4065" s="2" t="n">
        <v>1</v>
      </c>
    </row>
    <row r="4066">
      <c r="A4066" s="2" t="inlineStr">
        <is>
          <t>40396502</t>
        </is>
      </c>
      <c r="B4066" s="2" t="inlineStr"/>
      <c r="C4066" s="2" t="inlineStr">
        <is>
          <t>VALVULA IAC PASO A PASO F-PAL/SIE 1.6 8V</t>
        </is>
      </c>
      <c r="D4066" s="2" t="inlineStr">
        <is>
          <t>MAGNETI MARELLI</t>
        </is>
      </c>
      <c r="E4066" s="3" t="n">
        <v>11.5385</v>
      </c>
      <c r="F4066" s="4" t="n">
        <v>0.3</v>
      </c>
      <c r="G4066" s="5">
        <f>ROUND(E4066*(1+F4066),2)</f>
        <v>15.00</v>
      </c>
      <c r="H4066" s="5">
        <f>ROUND(G4066*NOTAS!$B$2,2)</f>
        <v>10820.18</v>
      </c>
      <c r="I4066" s="6">
        <f>ROUND(G4066*NOTAS!$B$3,0)</f>
        <v>48733</v>
      </c>
      <c r="J4066" s="2" t="n">
        <v>4</v>
      </c>
    </row>
    <row r="4067">
      <c r="A4067" s="2" t="inlineStr">
        <is>
          <t>8200692605-A</t>
        </is>
      </c>
      <c r="B4067" s="2" t="inlineStr"/>
      <c r="C4067" s="2" t="inlineStr">
        <is>
          <t>VALVULA IAC PASO A PASO R-MEGANE/CLIO</t>
        </is>
      </c>
      <c r="D4067" s="2" t="inlineStr">
        <is>
          <t>4USA</t>
        </is>
      </c>
      <c r="E4067" s="3" t="n">
        <v>11.5385</v>
      </c>
      <c r="F4067" s="4" t="n">
        <v>0.3</v>
      </c>
      <c r="G4067" s="5">
        <f>ROUND(E4067*(1+F4067),2)</f>
        <v>15.00</v>
      </c>
      <c r="H4067" s="5">
        <f>ROUND(G4067*NOTAS!$B$2,2)</f>
        <v>10820.18</v>
      </c>
      <c r="I4067" s="6">
        <f>ROUND(G4067*NOTAS!$B$3,0)</f>
        <v>48733</v>
      </c>
      <c r="J4067" s="2" t="n">
        <v>2</v>
      </c>
    </row>
    <row r="4068">
      <c r="A4068" s="2" t="inlineStr">
        <is>
          <t>84991-A</t>
        </is>
      </c>
      <c r="B4068" s="2" t="inlineStr"/>
      <c r="C4068" s="2" t="inlineStr">
        <is>
          <t>VALVULA IAC PASO A PASO R-SYMBOL</t>
        </is>
      </c>
      <c r="D4068" s="2" t="inlineStr">
        <is>
          <t>4USA</t>
        </is>
      </c>
      <c r="E4068" s="3" t="n">
        <v>9.2308</v>
      </c>
      <c r="F4068" s="4" t="n">
        <v>0.3</v>
      </c>
      <c r="G4068" s="5">
        <f>ROUND(E4068*(1+F4068),2)</f>
        <v>12.00</v>
      </c>
      <c r="H4068" s="5">
        <f>ROUND(G4068*NOTAS!$B$2,2)</f>
        <v>8656.15</v>
      </c>
      <c r="I4068" s="6">
        <f>ROUND(G4068*NOTAS!$B$3,0)</f>
        <v>38986</v>
      </c>
      <c r="J4068" s="2" t="n">
        <v>1</v>
      </c>
    </row>
    <row r="4069">
      <c r="A4069" s="2" t="inlineStr">
        <is>
          <t>ATU05177R</t>
        </is>
      </c>
      <c r="B4069" s="2" t="inlineStr"/>
      <c r="C4069" s="2" t="inlineStr">
        <is>
          <t>VALVULA IAC PASO A PASO R-SYMBOL/LOGAN 8V</t>
        </is>
      </c>
      <c r="D4069" s="2" t="inlineStr">
        <is>
          <t>VDO</t>
        </is>
      </c>
      <c r="E4069" s="3" t="n">
        <v>9.2308</v>
      </c>
      <c r="F4069" s="4" t="n">
        <v>0.3</v>
      </c>
      <c r="G4069" s="5">
        <f>ROUND(E4069*(1+F4069),2)</f>
        <v>12.00</v>
      </c>
      <c r="H4069" s="5">
        <f>ROUND(G4069*NOTAS!$B$2,2)</f>
        <v>8656.15</v>
      </c>
      <c r="I4069" s="6">
        <f>ROUND(G4069*NOTAS!$B$3,0)</f>
        <v>38986</v>
      </c>
      <c r="J4069" s="2" t="n">
        <v>5</v>
      </c>
    </row>
    <row r="4070">
      <c r="A4070" s="2" t="inlineStr">
        <is>
          <t>7701206370-A</t>
        </is>
      </c>
      <c r="B4070" s="2" t="inlineStr"/>
      <c r="C4070" s="2" t="inlineStr">
        <is>
          <t>VALVULA IAC PASO A PASO R-SYMBOL/LOGAN 8V</t>
        </is>
      </c>
      <c r="D4070" s="2" t="inlineStr">
        <is>
          <t>4USA</t>
        </is>
      </c>
      <c r="E4070" s="3" t="n">
        <v>9.2308</v>
      </c>
      <c r="F4070" s="4" t="n">
        <v>0.3</v>
      </c>
      <c r="G4070" s="5">
        <f>ROUND(E4070*(1+F4070),2)</f>
        <v>12.00</v>
      </c>
      <c r="H4070" s="5">
        <f>ROUND(G4070*NOTAS!$B$2,2)</f>
        <v>8656.15</v>
      </c>
      <c r="I4070" s="6">
        <f>ROUND(G4070*NOTAS!$B$3,0)</f>
        <v>38986</v>
      </c>
      <c r="J4070" s="2" t="n">
        <v>24</v>
      </c>
    </row>
    <row r="4071">
      <c r="A4071" s="2" t="inlineStr">
        <is>
          <t>900169</t>
        </is>
      </c>
      <c r="B4071" s="2" t="inlineStr">
        <is>
          <t>E83E6B890A2B</t>
        </is>
      </c>
      <c r="C4071" s="2" t="inlineStr">
        <is>
          <t>VALVULA PCV FIESTA/ECOSPORT</t>
        </is>
      </c>
      <c r="D4071" s="2" t="inlineStr">
        <is>
          <t>FORD</t>
        </is>
      </c>
      <c r="E4071" s="3" t="n">
        <v>6.1538</v>
      </c>
      <c r="F4071" s="4" t="n">
        <v>0.3</v>
      </c>
      <c r="G4071" s="5">
        <f>ROUND(E4071*(1+F4071),2)</f>
        <v>8.00</v>
      </c>
      <c r="H4071" s="5">
        <f>ROUND(G4071*NOTAS!$B$2,2)</f>
        <v>5770.76</v>
      </c>
      <c r="I4071" s="6">
        <f>ROUND(G4071*NOTAS!$B$3,0)</f>
        <v>25991</v>
      </c>
      <c r="J4071" s="2" t="n">
        <v>1</v>
      </c>
    </row>
    <row r="4072">
      <c r="A4072" s="2" t="inlineStr">
        <is>
          <t>208</t>
        </is>
      </c>
      <c r="B4072" s="2" t="inlineStr"/>
      <c r="C4072" s="2" t="inlineStr">
        <is>
          <t>VALVULA PRECION ACEITE CHEVETTE</t>
        </is>
      </c>
      <c r="D4072" s="2" t="inlineStr">
        <is>
          <t>APLIC</t>
        </is>
      </c>
      <c r="E4072" s="3" t="n">
        <v>6.1538</v>
      </c>
      <c r="F4072" s="4" t="n">
        <v>0.3</v>
      </c>
      <c r="G4072" s="5">
        <f>ROUND(E4072*(1+F4072),2)</f>
        <v>8.00</v>
      </c>
      <c r="H4072" s="5">
        <f>ROUND(G4072*NOTAS!$B$2,2)</f>
        <v>5770.76</v>
      </c>
      <c r="I4072" s="6">
        <f>ROUND(G4072*NOTAS!$B$3,0)</f>
        <v>25991</v>
      </c>
      <c r="J4072" s="2" t="n">
        <v>7</v>
      </c>
    </row>
    <row r="4073">
      <c r="A4073" s="2" t="inlineStr">
        <is>
          <t>WA90061</t>
        </is>
      </c>
      <c r="B4073" s="2" t="inlineStr"/>
      <c r="C4073" s="2" t="inlineStr">
        <is>
          <t>VALVULA PRECION ACEITE CIELO</t>
        </is>
      </c>
      <c r="D4073" s="2" t="inlineStr">
        <is>
          <t>QCD</t>
        </is>
      </c>
      <c r="E4073" s="3" t="n">
        <v>6.1538</v>
      </c>
      <c r="F4073" s="4" t="n">
        <v>0.3</v>
      </c>
      <c r="G4073" s="5">
        <f>ROUND(E4073*(1+F4073),2)</f>
        <v>8.00</v>
      </c>
      <c r="H4073" s="5">
        <f>ROUND(G4073*NOTAS!$B$2,2)</f>
        <v>5770.76</v>
      </c>
      <c r="I4073" s="6">
        <f>ROUND(G4073*NOTAS!$B$3,0)</f>
        <v>25991</v>
      </c>
      <c r="J4073" s="2" t="n">
        <v>3</v>
      </c>
    </row>
    <row r="4074">
      <c r="A4074" s="2" t="inlineStr">
        <is>
          <t>9561350GM</t>
        </is>
      </c>
      <c r="B4074" s="2" t="inlineStr"/>
      <c r="C4074" s="2" t="inlineStr">
        <is>
          <t>VALVULA PRECION ACEITE CORSA</t>
        </is>
      </c>
      <c r="D4074" s="2" t="inlineStr">
        <is>
          <t>GM</t>
        </is>
      </c>
      <c r="E4074" s="3" t="n">
        <v>6.1538</v>
      </c>
      <c r="F4074" s="4" t="n">
        <v>0.3</v>
      </c>
      <c r="G4074" s="5">
        <f>ROUND(E4074*(1+F4074),2)</f>
        <v>8.00</v>
      </c>
      <c r="H4074" s="5">
        <f>ROUND(G4074*NOTAS!$B$2,2)</f>
        <v>5770.76</v>
      </c>
      <c r="I4074" s="6">
        <f>ROUND(G4074*NOTAS!$B$3,0)</f>
        <v>25991</v>
      </c>
      <c r="J4074" s="2" t="n">
        <v>2</v>
      </c>
    </row>
    <row r="4075">
      <c r="A4075" s="2" t="inlineStr">
        <is>
          <t>14117</t>
        </is>
      </c>
      <c r="B4075" s="2" t="inlineStr"/>
      <c r="C4075" s="2" t="inlineStr">
        <is>
          <t>VALVULA PRECION ACEITE CORSA</t>
        </is>
      </c>
      <c r="D4075" s="2" t="inlineStr">
        <is>
          <t>OLIMPIC</t>
        </is>
      </c>
      <c r="E4075" s="3" t="n">
        <v>6.1538</v>
      </c>
      <c r="F4075" s="4" t="n">
        <v>0.3</v>
      </c>
      <c r="G4075" s="5">
        <f>ROUND(E4075*(1+F4075),2)</f>
        <v>8.00</v>
      </c>
      <c r="H4075" s="5">
        <f>ROUND(G4075*NOTAS!$B$2,2)</f>
        <v>5770.76</v>
      </c>
      <c r="I4075" s="6">
        <f>ROUND(G4075*NOTAS!$B$3,0)</f>
        <v>25991</v>
      </c>
      <c r="J4075" s="2" t="n">
        <v>2</v>
      </c>
    </row>
    <row r="4076">
      <c r="A4076" s="2" t="inlineStr">
        <is>
          <t>13023</t>
        </is>
      </c>
      <c r="B4076" s="2" t="inlineStr"/>
      <c r="C4076" s="2" t="inlineStr">
        <is>
          <t>VALVULA PRECION ACEITE CORSA</t>
        </is>
      </c>
      <c r="D4076" s="2" t="inlineStr">
        <is>
          <t>OLIMPIC</t>
        </is>
      </c>
      <c r="E4076" s="3" t="n">
        <v>6.1538</v>
      </c>
      <c r="F4076" s="4" t="n">
        <v>0.3</v>
      </c>
      <c r="G4076" s="5">
        <f>ROUND(E4076*(1+F4076),2)</f>
        <v>8.00</v>
      </c>
      <c r="H4076" s="5">
        <f>ROUND(G4076*NOTAS!$B$2,2)</f>
        <v>5770.76</v>
      </c>
      <c r="I4076" s="6">
        <f>ROUND(G4076*NOTAS!$B$3,0)</f>
        <v>25991</v>
      </c>
      <c r="J4076" s="2" t="n">
        <v>5</v>
      </c>
    </row>
    <row r="4077">
      <c r="A4077" s="2" t="inlineStr">
        <is>
          <t>7161996</t>
        </is>
      </c>
      <c r="B4077" s="2" t="inlineStr"/>
      <c r="C4077" s="2" t="inlineStr">
        <is>
          <t>VALVULA PRECION ACEITE CORSA/AVEO/LUV DMAX/OPTRA</t>
        </is>
      </c>
      <c r="D4077" s="2" t="inlineStr">
        <is>
          <t>EMASA</t>
        </is>
      </c>
      <c r="E4077" s="3" t="n">
        <v>4.93</v>
      </c>
      <c r="F4077" s="4" t="n">
        <v>0.3</v>
      </c>
      <c r="G4077" s="5">
        <f>ROUND(E4077*(1+F4077),2)</f>
        <v>6.41</v>
      </c>
      <c r="H4077" s="5">
        <f>ROUND(G4077*NOTAS!$B$2,2)</f>
        <v>4623.83</v>
      </c>
      <c r="I4077" s="6">
        <f>ROUND(G4077*NOTAS!$B$3,0)</f>
        <v>20825</v>
      </c>
      <c r="J4077" s="2" t="n">
        <v>1</v>
      </c>
    </row>
    <row r="4078">
      <c r="A4078" s="2" t="inlineStr">
        <is>
          <t>95961350</t>
        </is>
      </c>
      <c r="B4078" s="2" t="inlineStr"/>
      <c r="C4078" s="2" t="inlineStr">
        <is>
          <t>VALVULA PRECION ACEITE CORSA/AVEO/OPTRA</t>
        </is>
      </c>
      <c r="D4078" s="2" t="inlineStr">
        <is>
          <t>GM</t>
        </is>
      </c>
      <c r="E4078" s="3" t="n">
        <v>1.73</v>
      </c>
      <c r="F4078" s="4" t="n">
        <v>0.3</v>
      </c>
      <c r="G4078" s="5">
        <f>ROUND(E4078*(1+F4078),2)</f>
        <v>2.25</v>
      </c>
      <c r="H4078" s="5">
        <f>ROUND(G4078*NOTAS!$B$2,2)</f>
        <v>1623.03</v>
      </c>
      <c r="I4078" s="6">
        <f>ROUND(G4078*NOTAS!$B$3,0)</f>
        <v>7310</v>
      </c>
      <c r="J4078" s="2" t="n">
        <v>3</v>
      </c>
    </row>
    <row r="4079">
      <c r="A4079" s="2" t="inlineStr">
        <is>
          <t>KK15018501D</t>
        </is>
      </c>
      <c r="B4079" s="2" t="inlineStr"/>
      <c r="C4079" s="2" t="inlineStr">
        <is>
          <t>VALVULA PRECION ACEITE FESTIVA</t>
        </is>
      </c>
      <c r="D4079" s="2" t="inlineStr">
        <is>
          <t>HYUNDAI</t>
        </is>
      </c>
      <c r="E4079" s="3" t="n">
        <v>6.1538</v>
      </c>
      <c r="F4079" s="4" t="n">
        <v>0.3</v>
      </c>
      <c r="G4079" s="5">
        <f>ROUND(E4079*(1+F4079),2)</f>
        <v>8.00</v>
      </c>
      <c r="H4079" s="5">
        <f>ROUND(G4079*NOTAS!$B$2,2)</f>
        <v>5770.76</v>
      </c>
      <c r="I4079" s="6">
        <f>ROUND(G4079*NOTAS!$B$3,0)</f>
        <v>25991</v>
      </c>
      <c r="J4079" s="2" t="n">
        <v>1</v>
      </c>
    </row>
    <row r="4080">
      <c r="A4080" s="2" t="inlineStr">
        <is>
          <t>13021</t>
        </is>
      </c>
      <c r="B4080" s="2" t="inlineStr"/>
      <c r="C4080" s="2" t="inlineStr">
        <is>
          <t>VALVULA PRECION ACEITE FIESTA 1.25/1.3</t>
        </is>
      </c>
      <c r="D4080" s="2" t="inlineStr">
        <is>
          <t>OLIMPIC</t>
        </is>
      </c>
      <c r="E4080" s="3" t="n">
        <v>6.1538</v>
      </c>
      <c r="F4080" s="4" t="n">
        <v>0.3</v>
      </c>
      <c r="G4080" s="5">
        <f>ROUND(E4080*(1+F4080),2)</f>
        <v>8.00</v>
      </c>
      <c r="H4080" s="5">
        <f>ROUND(G4080*NOTAS!$B$2,2)</f>
        <v>5770.76</v>
      </c>
      <c r="I4080" s="6">
        <f>ROUND(G4080*NOTAS!$B$3,0)</f>
        <v>25991</v>
      </c>
      <c r="J4080" s="2" t="n">
        <v>6</v>
      </c>
    </row>
    <row r="4081">
      <c r="A4081" s="2" t="inlineStr">
        <is>
          <t>900230</t>
        </is>
      </c>
      <c r="B4081" s="2" t="inlineStr">
        <is>
          <t>XS2Z9278CA</t>
        </is>
      </c>
      <c r="C4081" s="2" t="inlineStr">
        <is>
          <t>VALVULA PRECION ACEITE FIESTA/KA 1.6</t>
        </is>
      </c>
      <c r="D4081" s="2" t="inlineStr">
        <is>
          <t>FORD</t>
        </is>
      </c>
      <c r="E4081" s="3" t="n">
        <v>6.1538</v>
      </c>
      <c r="F4081" s="4" t="n">
        <v>0.3</v>
      </c>
      <c r="G4081" s="5">
        <f>ROUND(E4081*(1+F4081),2)</f>
        <v>8.00</v>
      </c>
      <c r="H4081" s="5">
        <f>ROUND(G4081*NOTAS!$B$2,2)</f>
        <v>5770.76</v>
      </c>
      <c r="I4081" s="6">
        <f>ROUND(G4081*NOTAS!$B$3,0)</f>
        <v>25991</v>
      </c>
      <c r="J4081" s="2" t="n">
        <v>5</v>
      </c>
    </row>
    <row r="4082">
      <c r="A4082" s="2" t="inlineStr">
        <is>
          <t>SW-6682</t>
        </is>
      </c>
      <c r="B4082" s="2" t="inlineStr"/>
      <c r="C4082" s="2" t="inlineStr">
        <is>
          <t>VALVULA PRECION ACEITE FIESTA/KA 1.6</t>
        </is>
      </c>
      <c r="D4082" s="2" t="inlineStr">
        <is>
          <t>MOTORCRAFT</t>
        </is>
      </c>
      <c r="E4082" s="3" t="n">
        <v>1.98</v>
      </c>
      <c r="F4082" s="4" t="n">
        <v>0.3</v>
      </c>
      <c r="G4082" s="5">
        <f>ROUND(E4082*(1+F4082),2)</f>
        <v>2.57</v>
      </c>
      <c r="H4082" s="5">
        <f>ROUND(G4082*NOTAS!$B$2,2)</f>
        <v>1853.86</v>
      </c>
      <c r="I4082" s="6">
        <f>ROUND(G4082*NOTAS!$B$3,0)</f>
        <v>8350</v>
      </c>
      <c r="J4082" s="2" t="n">
        <v>1</v>
      </c>
    </row>
    <row r="4083">
      <c r="A4083" s="2" t="inlineStr">
        <is>
          <t>13028</t>
        </is>
      </c>
      <c r="B4083" s="2" t="inlineStr"/>
      <c r="C4083" s="2" t="inlineStr">
        <is>
          <t>VALVULA PRECION ACEITE F-PALIO/SIENA</t>
        </is>
      </c>
      <c r="D4083" s="2" t="inlineStr">
        <is>
          <t>OLIMPIC</t>
        </is>
      </c>
      <c r="E4083" s="3" t="n">
        <v>4.24</v>
      </c>
      <c r="F4083" s="4" t="n">
        <v>0.3</v>
      </c>
      <c r="G4083" s="5">
        <f>ROUND(E4083*(1+F4083),2)</f>
        <v>5.51</v>
      </c>
      <c r="H4083" s="5">
        <f>ROUND(G4083*NOTAS!$B$2,2)</f>
        <v>3974.61</v>
      </c>
      <c r="I4083" s="6">
        <f>ROUND(G4083*NOTAS!$B$3,0)</f>
        <v>17901</v>
      </c>
      <c r="J4083" s="2" t="n">
        <v>1</v>
      </c>
    </row>
    <row r="4084">
      <c r="A4084" s="2" t="inlineStr">
        <is>
          <t>70096</t>
        </is>
      </c>
      <c r="B4084" s="2" t="inlineStr"/>
      <c r="C4084" s="2" t="inlineStr">
        <is>
          <t>VALVULA PRECION ACEITE F-PALIO/SIENA</t>
        </is>
      </c>
      <c r="D4084" s="2" t="inlineStr">
        <is>
          <t>DODUCO</t>
        </is>
      </c>
      <c r="E4084" s="3" t="n">
        <v>3.63</v>
      </c>
      <c r="F4084" s="4" t="n">
        <v>0.3</v>
      </c>
      <c r="G4084" s="5">
        <f>ROUND(E4084*(1+F4084),2)</f>
        <v>4.72</v>
      </c>
      <c r="H4084" s="5">
        <f>ROUND(G4084*NOTAS!$B$2,2)</f>
        <v>3404.75</v>
      </c>
      <c r="I4084" s="6">
        <f>ROUND(G4084*NOTAS!$B$3,0)</f>
        <v>15335</v>
      </c>
      <c r="J4084" s="2" t="n">
        <v>4</v>
      </c>
    </row>
    <row r="4085">
      <c r="A4085" s="2" t="inlineStr">
        <is>
          <t>1427</t>
        </is>
      </c>
      <c r="B4085" s="2" t="inlineStr"/>
      <c r="C4085" s="2" t="inlineStr">
        <is>
          <t>VALVULA PRECION ACEITE R-11</t>
        </is>
      </c>
      <c r="D4085" s="2" t="inlineStr">
        <is>
          <t>ANGLI</t>
        </is>
      </c>
      <c r="E4085" s="3" t="n">
        <v>6.1538</v>
      </c>
      <c r="F4085" s="4" t="n">
        <v>0.3</v>
      </c>
      <c r="G4085" s="5">
        <f>ROUND(E4085*(1+F4085),2)</f>
        <v>8.00</v>
      </c>
      <c r="H4085" s="5">
        <f>ROUND(G4085*NOTAS!$B$2,2)</f>
        <v>5770.76</v>
      </c>
      <c r="I4085" s="6">
        <f>ROUND(G4085*NOTAS!$B$3,0)</f>
        <v>25991</v>
      </c>
      <c r="J4085" s="2" t="n">
        <v>16</v>
      </c>
    </row>
    <row r="4086">
      <c r="A4086" s="2" t="inlineStr">
        <is>
          <t>13082</t>
        </is>
      </c>
      <c r="B4086" s="2" t="inlineStr"/>
      <c r="C4086" s="2" t="inlineStr">
        <is>
          <t>VALVULA PRECION ACEITE R-LOGAN/SENDERO/MEGANEII</t>
        </is>
      </c>
      <c r="D4086" s="2" t="inlineStr">
        <is>
          <t>OLIMPIC</t>
        </is>
      </c>
      <c r="E4086" s="3" t="n">
        <v>11</v>
      </c>
      <c r="F4086" s="4" t="n">
        <v>0.3</v>
      </c>
      <c r="G4086" s="5">
        <f>ROUND(E4086*(1+F4086),2)</f>
        <v>14.30</v>
      </c>
      <c r="H4086" s="5">
        <f>ROUND(G4086*NOTAS!$B$2,2)</f>
        <v>10315.24</v>
      </c>
      <c r="I4086" s="6">
        <f>ROUND(G4086*NOTAS!$B$3,0)</f>
        <v>46459</v>
      </c>
      <c r="J4086" s="2" t="n">
        <v>1</v>
      </c>
    </row>
    <row r="4087">
      <c r="A4087" s="2" t="inlineStr"/>
      <c r="B4087" s="2" t="inlineStr"/>
      <c r="C4087" s="2" t="inlineStr">
        <is>
          <t>VALVULA PRECION ACEITE R-MEGANE</t>
        </is>
      </c>
      <c r="D4087" s="2" t="inlineStr"/>
      <c r="E4087" s="3" t="n">
        <v>6.1538</v>
      </c>
      <c r="F4087" s="4" t="n">
        <v>0.3</v>
      </c>
      <c r="G4087" s="5">
        <f>ROUND(E4087*(1+F4087),2)</f>
        <v>8.00</v>
      </c>
      <c r="H4087" s="5">
        <f>ROUND(G4087*NOTAS!$B$2,2)</f>
        <v>5770.76</v>
      </c>
      <c r="I4087" s="6">
        <f>ROUND(G4087*NOTAS!$B$3,0)</f>
        <v>25991</v>
      </c>
      <c r="J4087" s="2" t="n">
        <v>5</v>
      </c>
    </row>
    <row r="4088">
      <c r="A4088" s="2" t="inlineStr">
        <is>
          <t>13040</t>
        </is>
      </c>
      <c r="B4088" s="2" t="inlineStr"/>
      <c r="C4088" s="2" t="inlineStr">
        <is>
          <t>VALVULA PRECION ACEITE R-SYMBOL/CLIO/TWINGO/MEGANE</t>
        </is>
      </c>
      <c r="D4088" s="2" t="inlineStr">
        <is>
          <t>OLIMPIC</t>
        </is>
      </c>
      <c r="E4088" s="3" t="n">
        <v>5</v>
      </c>
      <c r="F4088" s="4" t="n">
        <v>0.3</v>
      </c>
      <c r="G4088" s="5">
        <f>ROUND(E4088*(1+F4088),2)</f>
        <v>6.50</v>
      </c>
      <c r="H4088" s="5">
        <f>ROUND(G4088*NOTAS!$B$2,2)</f>
        <v>4688.75</v>
      </c>
      <c r="I4088" s="6">
        <f>ROUND(G4088*NOTAS!$B$3,0)</f>
        <v>21118</v>
      </c>
      <c r="J4088" s="2" t="n">
        <v>4</v>
      </c>
    </row>
    <row r="4089">
      <c r="A4089" s="2" t="inlineStr">
        <is>
          <t>7700771825</t>
        </is>
      </c>
      <c r="B4089" s="2" t="inlineStr"/>
      <c r="C4089" s="2" t="inlineStr">
        <is>
          <t>VALVULA PRECION ACEITE R-SYMBOL/CLIO/TWINGO/MEGANE</t>
        </is>
      </c>
      <c r="D4089" s="2" t="inlineStr">
        <is>
          <t>RENAULT</t>
        </is>
      </c>
      <c r="E4089" s="3" t="n">
        <v>6.1538</v>
      </c>
      <c r="F4089" s="4" t="n">
        <v>0.3</v>
      </c>
      <c r="G4089" s="5">
        <f>ROUND(E4089*(1+F4089),2)</f>
        <v>8.00</v>
      </c>
      <c r="H4089" s="5">
        <f>ROUND(G4089*NOTAS!$B$2,2)</f>
        <v>5770.76</v>
      </c>
      <c r="I4089" s="6">
        <f>ROUND(G4089*NOTAS!$B$3,0)</f>
        <v>25991</v>
      </c>
      <c r="J4089" s="2" t="n">
        <v>1</v>
      </c>
    </row>
    <row r="4090">
      <c r="A4090" s="2" t="inlineStr">
        <is>
          <t>94580327</t>
        </is>
      </c>
      <c r="B4090" s="2" t="inlineStr"/>
      <c r="C4090" s="2" t="inlineStr">
        <is>
          <t>VALVULA PRECION ACEITE SPARK</t>
        </is>
      </c>
      <c r="D4090" s="2" t="inlineStr">
        <is>
          <t>GM</t>
        </is>
      </c>
      <c r="E4090" s="3" t="n">
        <v>1.57</v>
      </c>
      <c r="F4090" s="4" t="n">
        <v>0.3</v>
      </c>
      <c r="G4090" s="5">
        <f>ROUND(E4090*(1+F4090),2)</f>
        <v>2.04</v>
      </c>
      <c r="H4090" s="5">
        <f>ROUND(G4090*NOTAS!$B$2,2)</f>
        <v>1471.55</v>
      </c>
      <c r="I4090" s="6">
        <f>ROUND(G4090*NOTAS!$B$3,0)</f>
        <v>6628</v>
      </c>
      <c r="J4090" s="2" t="n">
        <v>2</v>
      </c>
    </row>
    <row r="4091">
      <c r="A4091" s="2" t="inlineStr">
        <is>
          <t>71161991</t>
        </is>
      </c>
      <c r="B4091" s="2" t="inlineStr"/>
      <c r="C4091" s="2" t="inlineStr">
        <is>
          <t>VALVULA PRECION ACEITE SPARK</t>
        </is>
      </c>
      <c r="D4091" s="2" t="inlineStr">
        <is>
          <t>EMASA</t>
        </is>
      </c>
      <c r="E4091" s="3" t="n">
        <v>4.32</v>
      </c>
      <c r="F4091" s="4" t="n">
        <v>0.3</v>
      </c>
      <c r="G4091" s="5">
        <f>ROUND(E4091*(1+F4091),2)</f>
        <v>5.62</v>
      </c>
      <c r="H4091" s="5">
        <f>ROUND(G4091*NOTAS!$B$2,2)</f>
        <v>4053.96</v>
      </c>
      <c r="I4091" s="6">
        <f>ROUND(G4091*NOTAS!$B$3,0)</f>
        <v>18259</v>
      </c>
      <c r="J4091" s="2" t="n">
        <v>2</v>
      </c>
    </row>
    <row r="4092">
      <c r="A4092" s="2" t="inlineStr"/>
      <c r="B4092" s="2" t="inlineStr"/>
      <c r="C4092" s="2" t="inlineStr">
        <is>
          <t>VALVULA PRECION ACEITE SPARK</t>
        </is>
      </c>
      <c r="D4092" s="2" t="inlineStr">
        <is>
          <t>KOREA</t>
        </is>
      </c>
      <c r="E4092" s="3" t="n">
        <v>6.1538</v>
      </c>
      <c r="F4092" s="4" t="n">
        <v>0.3</v>
      </c>
      <c r="G4092" s="5">
        <f>ROUND(E4092*(1+F4092),2)</f>
        <v>8.00</v>
      </c>
      <c r="H4092" s="5">
        <f>ROUND(G4092*NOTAS!$B$2,2)</f>
        <v>5770.76</v>
      </c>
      <c r="I4092" s="6">
        <f>ROUND(G4092*NOTAS!$B$3,0)</f>
        <v>25991</v>
      </c>
      <c r="J4092" s="2" t="n">
        <v>2</v>
      </c>
    </row>
    <row r="4093">
      <c r="A4093" s="2" t="inlineStr">
        <is>
          <t>15234</t>
        </is>
      </c>
      <c r="B4093" s="2" t="inlineStr"/>
      <c r="C4093" s="2" t="inlineStr">
        <is>
          <t>VALVULA RETROCESO CHEVETTE</t>
        </is>
      </c>
      <c r="D4093" s="2" t="inlineStr">
        <is>
          <t>OLIMPIC</t>
        </is>
      </c>
      <c r="E4093" s="3" t="n">
        <v>6.1538</v>
      </c>
      <c r="F4093" s="4" t="n">
        <v>0.3</v>
      </c>
      <c r="G4093" s="5">
        <f>ROUND(E4093*(1+F4093),2)</f>
        <v>8.00</v>
      </c>
      <c r="H4093" s="5">
        <f>ROUND(G4093*NOTAS!$B$2,2)</f>
        <v>5770.76</v>
      </c>
      <c r="I4093" s="6">
        <f>ROUND(G4093*NOTAS!$B$3,0)</f>
        <v>25991</v>
      </c>
      <c r="J4093" s="2" t="n">
        <v>25</v>
      </c>
    </row>
    <row r="4094">
      <c r="A4094" s="2" t="inlineStr">
        <is>
          <t>15231</t>
        </is>
      </c>
      <c r="B4094" s="2" t="inlineStr"/>
      <c r="C4094" s="2" t="inlineStr">
        <is>
          <t>VALVULA RETROCESO CORCEL</t>
        </is>
      </c>
      <c r="D4094" s="2" t="inlineStr">
        <is>
          <t>OLIMPIC</t>
        </is>
      </c>
      <c r="E4094" s="3" t="n">
        <v>2</v>
      </c>
      <c r="F4094" s="4" t="n">
        <v>0.3</v>
      </c>
      <c r="G4094" s="5">
        <f>ROUND(E4094*(1+F4094),2)</f>
        <v>2.60</v>
      </c>
      <c r="H4094" s="5">
        <f>ROUND(G4094*NOTAS!$B$2,2)</f>
        <v>1875.50</v>
      </c>
      <c r="I4094" s="6">
        <f>ROUND(G4094*NOTAS!$B$3,0)</f>
        <v>8447</v>
      </c>
      <c r="J4094" s="2" t="n">
        <v>2</v>
      </c>
    </row>
    <row r="4095">
      <c r="A4095" s="2" t="inlineStr">
        <is>
          <t>4455</t>
        </is>
      </c>
      <c r="B4095" s="2" t="inlineStr"/>
      <c r="C4095" s="2" t="inlineStr">
        <is>
          <t>VALVULA RETROCESO CORCEL</t>
        </is>
      </c>
      <c r="D4095" s="2" t="inlineStr">
        <is>
          <t>3-RHO</t>
        </is>
      </c>
      <c r="E4095" s="3" t="n">
        <v>2</v>
      </c>
      <c r="F4095" s="4" t="n">
        <v>0.3</v>
      </c>
      <c r="G4095" s="5">
        <f>ROUND(E4095*(1+F4095),2)</f>
        <v>2.60</v>
      </c>
      <c r="H4095" s="5">
        <f>ROUND(G4095*NOTAS!$B$2,2)</f>
        <v>1875.50</v>
      </c>
      <c r="I4095" s="6">
        <f>ROUND(G4095*NOTAS!$B$3,0)</f>
        <v>8447</v>
      </c>
      <c r="J4095" s="2" t="n">
        <v>2</v>
      </c>
    </row>
    <row r="4096">
      <c r="A4096" s="2" t="inlineStr">
        <is>
          <t>90245033-A</t>
        </is>
      </c>
      <c r="B4096" s="2" t="inlineStr"/>
      <c r="C4096" s="2" t="inlineStr">
        <is>
          <t>VALVULA RETROCESO CORSA/AVEO/SPARK</t>
        </is>
      </c>
      <c r="D4096" s="2" t="inlineStr">
        <is>
          <t>4USA</t>
        </is>
      </c>
      <c r="E4096" s="3" t="n">
        <v>6.1538</v>
      </c>
      <c r="F4096" s="4" t="n">
        <v>0.3</v>
      </c>
      <c r="G4096" s="5">
        <f>ROUND(E4096*(1+F4096),2)</f>
        <v>8.00</v>
      </c>
      <c r="H4096" s="5">
        <f>ROUND(G4096*NOTAS!$B$2,2)</f>
        <v>5770.76</v>
      </c>
      <c r="I4096" s="6">
        <f>ROUND(G4096*NOTAS!$B$3,0)</f>
        <v>25991</v>
      </c>
      <c r="J4096" s="2" t="n">
        <v>3</v>
      </c>
    </row>
    <row r="4097">
      <c r="A4097" s="2" t="inlineStr">
        <is>
          <t>15238</t>
        </is>
      </c>
      <c r="B4097" s="2" t="inlineStr"/>
      <c r="C4097" s="2" t="inlineStr">
        <is>
          <t>VALVULA RETROCESO F-PAL/SIE</t>
        </is>
      </c>
      <c r="D4097" s="2" t="inlineStr">
        <is>
          <t>OLIMPIC</t>
        </is>
      </c>
      <c r="E4097" s="3" t="n">
        <v>6.1538</v>
      </c>
      <c r="F4097" s="4" t="n">
        <v>0.3</v>
      </c>
      <c r="G4097" s="5">
        <f>ROUND(E4097*(1+F4097),2)</f>
        <v>8.00</v>
      </c>
      <c r="H4097" s="5">
        <f>ROUND(G4097*NOTAS!$B$2,2)</f>
        <v>5770.76</v>
      </c>
      <c r="I4097" s="6">
        <f>ROUND(G4097*NOTAS!$B$3,0)</f>
        <v>25991</v>
      </c>
      <c r="J4097" s="2" t="n">
        <v>2</v>
      </c>
    </row>
    <row r="4098">
      <c r="A4098" s="2" t="inlineStr">
        <is>
          <t>4433</t>
        </is>
      </c>
      <c r="B4098" s="2" t="inlineStr"/>
      <c r="C4098" s="2" t="inlineStr">
        <is>
          <t>VALVULA RETROCESO F-UNO/PREMIO</t>
        </is>
      </c>
      <c r="D4098" s="2" t="inlineStr">
        <is>
          <t>3-RHO</t>
        </is>
      </c>
      <c r="E4098" s="3" t="n">
        <v>6.1538</v>
      </c>
      <c r="F4098" s="4" t="n">
        <v>0.3</v>
      </c>
      <c r="G4098" s="5">
        <f>ROUND(E4098*(1+F4098),2)</f>
        <v>8.00</v>
      </c>
      <c r="H4098" s="5">
        <f>ROUND(G4098*NOTAS!$B$2,2)</f>
        <v>5770.76</v>
      </c>
      <c r="I4098" s="6">
        <f>ROUND(G4098*NOTAS!$B$3,0)</f>
        <v>25991</v>
      </c>
      <c r="J4098" s="2" t="n">
        <v>2</v>
      </c>
    </row>
    <row r="4099">
      <c r="A4099" s="2" t="inlineStr">
        <is>
          <t>86202</t>
        </is>
      </c>
      <c r="B4099" s="2" t="inlineStr"/>
      <c r="C4099" s="2" t="inlineStr">
        <is>
          <t>VALVULA RETROCESO R-11</t>
        </is>
      </c>
      <c r="D4099" s="2" t="inlineStr">
        <is>
          <t>AEQUIPE</t>
        </is>
      </c>
      <c r="E4099" s="3" t="n">
        <v>6.1538</v>
      </c>
      <c r="F4099" s="4" t="n">
        <v>0.3</v>
      </c>
      <c r="G4099" s="5">
        <f>ROUND(E4099*(1+F4099),2)</f>
        <v>8.00</v>
      </c>
      <c r="H4099" s="5">
        <f>ROUND(G4099*NOTAS!$B$2,2)</f>
        <v>5770.76</v>
      </c>
      <c r="I4099" s="6">
        <f>ROUND(G4099*NOTAS!$B$3,0)</f>
        <v>25991</v>
      </c>
      <c r="J4099" s="2" t="n">
        <v>1</v>
      </c>
    </row>
    <row r="4100">
      <c r="A4100" s="2" t="inlineStr">
        <is>
          <t>938</t>
        </is>
      </c>
      <c r="B4100" s="2" t="inlineStr"/>
      <c r="C4100" s="2" t="inlineStr">
        <is>
          <t>VALVULA RETROCESO R-11</t>
        </is>
      </c>
      <c r="D4100" s="2" t="inlineStr">
        <is>
          <t>ANGLI</t>
        </is>
      </c>
      <c r="E4100" s="3" t="n">
        <v>6.1538</v>
      </c>
      <c r="F4100" s="4" t="n">
        <v>0.3</v>
      </c>
      <c r="G4100" s="5">
        <f>ROUND(E4100*(1+F4100),2)</f>
        <v>8.00</v>
      </c>
      <c r="H4100" s="5">
        <f>ROUND(G4100*NOTAS!$B$2,2)</f>
        <v>5770.76</v>
      </c>
      <c r="I4100" s="6">
        <f>ROUND(G4100*NOTAS!$B$3,0)</f>
        <v>25991</v>
      </c>
      <c r="J4100" s="2" t="n">
        <v>1</v>
      </c>
    </row>
    <row r="4101">
      <c r="A4101" s="2" t="inlineStr"/>
      <c r="B4101" s="2" t="inlineStr"/>
      <c r="C4101" s="2" t="inlineStr">
        <is>
          <t>VALVULA RETROCESO R-11</t>
        </is>
      </c>
      <c r="D4101" s="2" t="inlineStr"/>
      <c r="E4101" s="3" t="n">
        <v>6.1538</v>
      </c>
      <c r="F4101" s="4" t="n">
        <v>0.3</v>
      </c>
      <c r="G4101" s="5">
        <f>ROUND(E4101*(1+F4101),2)</f>
        <v>8.00</v>
      </c>
      <c r="H4101" s="5">
        <f>ROUND(G4101*NOTAS!$B$2,2)</f>
        <v>5770.76</v>
      </c>
      <c r="I4101" s="6">
        <f>ROUND(G4101*NOTAS!$B$3,0)</f>
        <v>25991</v>
      </c>
      <c r="J4101" s="2" t="n">
        <v>1</v>
      </c>
    </row>
    <row r="4102">
      <c r="A4102" s="2" t="inlineStr">
        <is>
          <t>7700784874</t>
        </is>
      </c>
      <c r="B4102" s="2" t="inlineStr"/>
      <c r="C4102" s="2" t="inlineStr">
        <is>
          <t>VALVULA RETROCESO R-21</t>
        </is>
      </c>
      <c r="D4102" s="2" t="inlineStr">
        <is>
          <t>FRANCE</t>
        </is>
      </c>
      <c r="E4102" s="3" t="n">
        <v>6.1538</v>
      </c>
      <c r="F4102" s="4" t="n">
        <v>0.3</v>
      </c>
      <c r="G4102" s="5">
        <f>ROUND(E4102*(1+F4102),2)</f>
        <v>8.00</v>
      </c>
      <c r="H4102" s="5">
        <f>ROUND(G4102*NOTAS!$B$2,2)</f>
        <v>5770.76</v>
      </c>
      <c r="I4102" s="6">
        <f>ROUND(G4102*NOTAS!$B$3,0)</f>
        <v>25991</v>
      </c>
      <c r="J4102" s="2" t="n">
        <v>1</v>
      </c>
    </row>
    <row r="4103">
      <c r="A4103" s="2" t="inlineStr"/>
      <c r="B4103" s="2" t="inlineStr"/>
      <c r="C4103" s="2" t="inlineStr">
        <is>
          <t>VALVULA RETROCESO R-LOGAN</t>
        </is>
      </c>
      <c r="D4103" s="2" t="inlineStr"/>
      <c r="E4103" s="3" t="n">
        <v>6.1538</v>
      </c>
      <c r="F4103" s="4" t="n">
        <v>0.3</v>
      </c>
      <c r="G4103" s="5">
        <f>ROUND(E4103*(1+F4103),2)</f>
        <v>8.00</v>
      </c>
      <c r="H4103" s="5">
        <f>ROUND(G4103*NOTAS!$B$2,2)</f>
        <v>5770.76</v>
      </c>
      <c r="I4103" s="6">
        <f>ROUND(G4103*NOTAS!$B$3,0)</f>
        <v>25991</v>
      </c>
      <c r="J4103" s="2" t="n">
        <v>0</v>
      </c>
    </row>
    <row r="4104">
      <c r="A4104" s="2" t="inlineStr">
        <is>
          <t>901070</t>
        </is>
      </c>
      <c r="B4104" s="2" t="inlineStr">
        <is>
          <t>7N2118495AB</t>
        </is>
      </c>
      <c r="C4104" s="2" t="inlineStr">
        <is>
          <t>VALVULA TEMPERATURA CALEFACION FIESTA/KA/ECOSPORT</t>
        </is>
      </c>
      <c r="D4104" s="2" t="inlineStr">
        <is>
          <t>FORD</t>
        </is>
      </c>
      <c r="E4104" s="3" t="n">
        <v>6.1538</v>
      </c>
      <c r="F4104" s="4" t="n">
        <v>0.3</v>
      </c>
      <c r="G4104" s="5">
        <f>ROUND(E4104*(1+F4104),2)</f>
        <v>8.00</v>
      </c>
      <c r="H4104" s="5">
        <f>ROUND(G4104*NOTAS!$B$2,2)</f>
        <v>5770.76</v>
      </c>
      <c r="I4104" s="6">
        <f>ROUND(G4104*NOTAS!$B$3,0)</f>
        <v>25991</v>
      </c>
      <c r="J4104" s="2" t="n">
        <v>1</v>
      </c>
    </row>
    <row r="4105">
      <c r="A4105" s="2" t="inlineStr">
        <is>
          <t>BS-601</t>
        </is>
      </c>
      <c r="B4105" s="2" t="inlineStr"/>
      <c r="C4105" s="2" t="inlineStr">
        <is>
          <t>VALVULA TEMPERATURA COROLLA AVILA ARAYA STARLET</t>
        </is>
      </c>
      <c r="D4105" s="2" t="inlineStr"/>
      <c r="E4105" s="3" t="n">
        <v>6.1538</v>
      </c>
      <c r="F4105" s="4" t="n">
        <v>0.3</v>
      </c>
      <c r="G4105" s="5">
        <f>ROUND(E4105*(1+F4105),2)</f>
        <v>8.00</v>
      </c>
      <c r="H4105" s="5">
        <f>ROUND(G4105*NOTAS!$B$2,2)</f>
        <v>5770.76</v>
      </c>
      <c r="I4105" s="6">
        <f>ROUND(G4105*NOTAS!$B$3,0)</f>
        <v>25991</v>
      </c>
      <c r="J4105" s="2" t="n">
        <v>1</v>
      </c>
    </row>
    <row r="4106">
      <c r="A4106" s="2" t="inlineStr"/>
      <c r="B4106" s="2" t="inlineStr"/>
      <c r="C4106" s="2" t="inlineStr">
        <is>
          <t>VALVULA TEMPERATURA R-19</t>
        </is>
      </c>
      <c r="D4106" s="2" t="inlineStr">
        <is>
          <t>RENAULT</t>
        </is>
      </c>
      <c r="E4106" s="3" t="n">
        <v>6.1538</v>
      </c>
      <c r="F4106" s="4" t="n">
        <v>0.3</v>
      </c>
      <c r="G4106" s="5">
        <f>ROUND(E4106*(1+F4106),2)</f>
        <v>8.00</v>
      </c>
      <c r="H4106" s="5">
        <f>ROUND(G4106*NOTAS!$B$2,2)</f>
        <v>5770.76</v>
      </c>
      <c r="I4106" s="6">
        <f>ROUND(G4106*NOTAS!$B$3,0)</f>
        <v>25991</v>
      </c>
      <c r="J4106" s="2" t="n">
        <v>2</v>
      </c>
    </row>
    <row r="4107">
      <c r="A4107" s="2" t="inlineStr">
        <is>
          <t>SW-4</t>
        </is>
      </c>
      <c r="B4107" s="2" t="inlineStr"/>
      <c r="C4107" s="2" t="inlineStr">
        <is>
          <t>VALVULA TEMPERATURA R-5/12</t>
        </is>
      </c>
      <c r="D4107" s="2" t="inlineStr">
        <is>
          <t>TAKSIM GROUP</t>
        </is>
      </c>
      <c r="E4107" s="3" t="n">
        <v>6.1538</v>
      </c>
      <c r="F4107" s="4" t="n">
        <v>0.3</v>
      </c>
      <c r="G4107" s="5">
        <f>ROUND(E4107*(1+F4107),2)</f>
        <v>8.00</v>
      </c>
      <c r="H4107" s="5">
        <f>ROUND(G4107*NOTAS!$B$2,2)</f>
        <v>5770.76</v>
      </c>
      <c r="I4107" s="6">
        <f>ROUND(G4107*NOTAS!$B$3,0)</f>
        <v>25991</v>
      </c>
      <c r="J4107" s="2" t="n">
        <v>2</v>
      </c>
    </row>
    <row r="4108">
      <c r="A4108" s="2" t="inlineStr">
        <is>
          <t>OHM-1705BB</t>
        </is>
      </c>
      <c r="B4108" s="2" t="inlineStr"/>
      <c r="C4108" s="2" t="inlineStr">
        <is>
          <t>VALVULA TEMPERATURA RADIADOR FIAT 75/70</t>
        </is>
      </c>
      <c r="D4108" s="2" t="inlineStr"/>
      <c r="E4108" s="3" t="n">
        <v>6.1538</v>
      </c>
      <c r="F4108" s="4" t="n">
        <v>0.3</v>
      </c>
      <c r="G4108" s="5">
        <f>ROUND(E4108*(1+F4108),2)</f>
        <v>8.00</v>
      </c>
      <c r="H4108" s="5">
        <f>ROUND(G4108*NOTAS!$B$2,2)</f>
        <v>5770.76</v>
      </c>
      <c r="I4108" s="6">
        <f>ROUND(G4108*NOTAS!$B$3,0)</f>
        <v>25991</v>
      </c>
      <c r="J4108" s="2" t="n">
        <v>1</v>
      </c>
    </row>
    <row r="4109">
      <c r="A4109" s="2" t="inlineStr">
        <is>
          <t>B1090</t>
        </is>
      </c>
      <c r="B4109" s="2" t="inlineStr"/>
      <c r="C4109" s="2" t="inlineStr">
        <is>
          <t>VALVULA TEMPERATURA RADIADOR F-PAL/SIE …/00 GRIS</t>
        </is>
      </c>
      <c r="D4109" s="2" t="inlineStr">
        <is>
          <t>VERNET</t>
        </is>
      </c>
      <c r="E4109" s="3" t="n">
        <v>6.1538</v>
      </c>
      <c r="F4109" s="4" t="n">
        <v>0.3</v>
      </c>
      <c r="G4109" s="5">
        <f>ROUND(E4109*(1+F4109),2)</f>
        <v>8.00</v>
      </c>
      <c r="H4109" s="5">
        <f>ROUND(G4109*NOTAS!$B$2,2)</f>
        <v>5770.76</v>
      </c>
      <c r="I4109" s="6">
        <f>ROUND(G4109*NOTAS!$B$3,0)</f>
        <v>25991</v>
      </c>
      <c r="J4109" s="2" t="n">
        <v>3</v>
      </c>
    </row>
    <row r="4110">
      <c r="A4110" s="2" t="inlineStr">
        <is>
          <t>37870</t>
        </is>
      </c>
      <c r="B4110" s="2" t="inlineStr"/>
      <c r="C4110" s="2" t="inlineStr">
        <is>
          <t>VALVULA TEMPERATURA RADIAROR RENAULT 21 3CABLES</t>
        </is>
      </c>
      <c r="D4110" s="2" t="inlineStr">
        <is>
          <t>FAE</t>
        </is>
      </c>
      <c r="E4110" s="3" t="n">
        <v>6.1538</v>
      </c>
      <c r="F4110" s="4" t="n">
        <v>0.3</v>
      </c>
      <c r="G4110" s="5">
        <f>ROUND(E4110*(1+F4110),2)</f>
        <v>8.00</v>
      </c>
      <c r="H4110" s="5">
        <f>ROUND(G4110*NOTAS!$B$2,2)</f>
        <v>5770.76</v>
      </c>
      <c r="I4110" s="6">
        <f>ROUND(G4110*NOTAS!$B$3,0)</f>
        <v>25991</v>
      </c>
      <c r="J4110" s="2" t="n">
        <v>1</v>
      </c>
    </row>
    <row r="4111">
      <c r="A4111" s="2" t="inlineStr">
        <is>
          <t>73191</t>
        </is>
      </c>
      <c r="B4111" s="2" t="inlineStr"/>
      <c r="C4111" s="2" t="inlineStr">
        <is>
          <t>VALVULA TEMPERATURA SPARK/MATIZ</t>
        </is>
      </c>
      <c r="D4111" s="2" t="inlineStr">
        <is>
          <t>FACET</t>
        </is>
      </c>
      <c r="E4111" s="3" t="n">
        <v>6.1538</v>
      </c>
      <c r="F4111" s="4" t="n">
        <v>0.3</v>
      </c>
      <c r="G4111" s="5">
        <f>ROUND(E4111*(1+F4111),2)</f>
        <v>8.00</v>
      </c>
      <c r="H4111" s="5">
        <f>ROUND(G4111*NOTAS!$B$2,2)</f>
        <v>5770.76</v>
      </c>
      <c r="I4111" s="6">
        <f>ROUND(G4111*NOTAS!$B$3,0)</f>
        <v>25991</v>
      </c>
      <c r="J4111" s="2" t="n">
        <v>2</v>
      </c>
    </row>
    <row r="4112">
      <c r="A4112" s="2" t="inlineStr">
        <is>
          <t>96325864</t>
        </is>
      </c>
      <c r="B4112" s="2" t="inlineStr"/>
      <c r="C4112" s="2" t="inlineStr">
        <is>
          <t>VALVULA TEMPERATURA SPARK/MATIZ</t>
        </is>
      </c>
      <c r="D4112" s="2" t="inlineStr">
        <is>
          <t>GM</t>
        </is>
      </c>
      <c r="E4112" s="3" t="n">
        <v>2.06</v>
      </c>
      <c r="F4112" s="4" t="n">
        <v>0.3</v>
      </c>
      <c r="G4112" s="5">
        <f>ROUND(E4112*(1+F4112),2)</f>
        <v>2.68</v>
      </c>
      <c r="H4112" s="5">
        <f>ROUND(G4112*NOTAS!$B$2,2)</f>
        <v>1933.21</v>
      </c>
      <c r="I4112" s="6">
        <f>ROUND(G4112*NOTAS!$B$3,0)</f>
        <v>8707</v>
      </c>
      <c r="J4112" s="2" t="n">
        <v>1</v>
      </c>
    </row>
    <row r="4113">
      <c r="A4113" s="2" t="inlineStr">
        <is>
          <t>ST-8</t>
        </is>
      </c>
      <c r="B4113" s="2" t="inlineStr"/>
      <c r="C4113" s="2" t="inlineStr">
        <is>
          <t>VALVULA TEMPERATURA TABLERO CORSA/AVEO/OPTRA/SPARK</t>
        </is>
      </c>
      <c r="D4113" s="2" t="inlineStr">
        <is>
          <t>MTE-THOMSON</t>
        </is>
      </c>
      <c r="E4113" s="3" t="n">
        <v>6.1538</v>
      </c>
      <c r="F4113" s="4" t="n">
        <v>0.3</v>
      </c>
      <c r="G4113" s="5">
        <f>ROUND(E4113*(1+F4113),2)</f>
        <v>8.00</v>
      </c>
      <c r="H4113" s="5">
        <f>ROUND(G4113*NOTAS!$B$2,2)</f>
        <v>5770.76</v>
      </c>
      <c r="I4113" s="6">
        <f>ROUND(G4113*NOTAS!$B$3,0)</f>
        <v>25991</v>
      </c>
      <c r="J4113" s="2" t="n">
        <v>2</v>
      </c>
    </row>
    <row r="4114">
      <c r="A4114" s="2" t="inlineStr">
        <is>
          <t>95025043</t>
        </is>
      </c>
      <c r="B4114" s="2" t="inlineStr"/>
      <c r="C4114" s="2" t="inlineStr">
        <is>
          <t>VALVULA TEMPERATURA TABLERO CORSA/AVEO/OPTRA/SPARK</t>
        </is>
      </c>
      <c r="D4114" s="2" t="inlineStr">
        <is>
          <t xml:space="preserve">GM </t>
        </is>
      </c>
      <c r="E4114" s="3" t="n">
        <v>6.1538</v>
      </c>
      <c r="F4114" s="4" t="n">
        <v>0.3</v>
      </c>
      <c r="G4114" s="5">
        <f>ROUND(E4114*(1+F4114),2)</f>
        <v>8.00</v>
      </c>
      <c r="H4114" s="5">
        <f>ROUND(G4114*NOTAS!$B$2,2)</f>
        <v>5770.76</v>
      </c>
      <c r="I4114" s="6">
        <f>ROUND(G4114*NOTAS!$B$3,0)</f>
        <v>25991</v>
      </c>
      <c r="J4114" s="2" t="n">
        <v>2</v>
      </c>
    </row>
    <row r="4115">
      <c r="A4115" s="2" t="inlineStr">
        <is>
          <t>93296880</t>
        </is>
      </c>
      <c r="B4115" s="2" t="inlineStr"/>
      <c r="C4115" s="2" t="inlineStr">
        <is>
          <t>VARILLA CAPOT CORSA</t>
        </is>
      </c>
      <c r="D4115" s="2" t="inlineStr">
        <is>
          <t>GM</t>
        </is>
      </c>
      <c r="E4115" s="3" t="n">
        <v>6.1538</v>
      </c>
      <c r="F4115" s="4" t="n">
        <v>0.3</v>
      </c>
      <c r="G4115" s="5">
        <f>ROUND(E4115*(1+F4115),2)</f>
        <v>8.00</v>
      </c>
      <c r="H4115" s="5">
        <f>ROUND(G4115*NOTAS!$B$2,2)</f>
        <v>5770.76</v>
      </c>
      <c r="I4115" s="6">
        <f>ROUND(G4115*NOTAS!$B$3,0)</f>
        <v>25991</v>
      </c>
      <c r="J4115" s="2" t="n">
        <v>1</v>
      </c>
    </row>
    <row r="4116">
      <c r="A4116" s="2" t="inlineStr">
        <is>
          <t>9300</t>
        </is>
      </c>
      <c r="B4116" s="2" t="inlineStr"/>
      <c r="C4116" s="2" t="inlineStr">
        <is>
          <t>VARILLA FRENO MANO FIAT</t>
        </is>
      </c>
      <c r="D4116" s="2" t="inlineStr">
        <is>
          <t>APLIC</t>
        </is>
      </c>
      <c r="E4116" s="3" t="n">
        <v>11.5385</v>
      </c>
      <c r="F4116" s="4" t="n">
        <v>0.3</v>
      </c>
      <c r="G4116" s="5">
        <f>ROUND(E4116*(1+F4116),2)</f>
        <v>15.00</v>
      </c>
      <c r="H4116" s="5">
        <f>ROUND(G4116*NOTAS!$B$2,2)</f>
        <v>10820.18</v>
      </c>
      <c r="I4116" s="6">
        <f>ROUND(G4116*NOTAS!$B$3,0)</f>
        <v>48733</v>
      </c>
      <c r="J4116" s="2" t="n">
        <v>1</v>
      </c>
    </row>
    <row r="4117">
      <c r="A4117" s="2" t="inlineStr">
        <is>
          <t>96376263</t>
        </is>
      </c>
      <c r="B4117" s="2" t="inlineStr"/>
      <c r="C4117" s="2" t="inlineStr">
        <is>
          <t>VARILLA MEDIR ACEITE AVEO</t>
        </is>
      </c>
      <c r="D4117" s="2" t="inlineStr">
        <is>
          <t>GM</t>
        </is>
      </c>
      <c r="E4117" s="3" t="n">
        <v>6.1538</v>
      </c>
      <c r="F4117" s="4" t="n">
        <v>0.3</v>
      </c>
      <c r="G4117" s="5">
        <f>ROUND(E4117*(1+F4117),2)</f>
        <v>8.00</v>
      </c>
      <c r="H4117" s="5">
        <f>ROUND(G4117*NOTAS!$B$2,2)</f>
        <v>5770.76</v>
      </c>
      <c r="I4117" s="6">
        <f>ROUND(G4117*NOTAS!$B$3,0)</f>
        <v>25991</v>
      </c>
      <c r="J4117" s="2" t="n">
        <v>2</v>
      </c>
    </row>
    <row r="4118">
      <c r="A4118" s="2" t="inlineStr">
        <is>
          <t>96351985</t>
        </is>
      </c>
      <c r="B4118" s="2" t="inlineStr"/>
      <c r="C4118" s="2" t="inlineStr">
        <is>
          <t>VARILLA MEDIR ACEITE CIELO</t>
        </is>
      </c>
      <c r="D4118" s="2" t="inlineStr">
        <is>
          <t>GM</t>
        </is>
      </c>
      <c r="E4118" s="3" t="n">
        <v>6.1538</v>
      </c>
      <c r="F4118" s="4" t="n">
        <v>0.3</v>
      </c>
      <c r="G4118" s="5">
        <f>ROUND(E4118*(1+F4118),2)</f>
        <v>8.00</v>
      </c>
      <c r="H4118" s="5">
        <f>ROUND(G4118*NOTAS!$B$2,2)</f>
        <v>5770.76</v>
      </c>
      <c r="I4118" s="6">
        <f>ROUND(G4118*NOTAS!$B$3,0)</f>
        <v>25991</v>
      </c>
      <c r="J4118" s="2" t="n">
        <v>5</v>
      </c>
    </row>
    <row r="4119">
      <c r="A4119" s="2" t="inlineStr">
        <is>
          <t>R02680</t>
        </is>
      </c>
      <c r="B4119" s="2" t="inlineStr"/>
      <c r="C4119" s="2" t="inlineStr">
        <is>
          <t>VARILLA MEDIR ACEITE SYMBOL</t>
        </is>
      </c>
      <c r="D4119" s="2" t="inlineStr"/>
      <c r="E4119" s="3" t="n">
        <v>6.1538</v>
      </c>
      <c r="F4119" s="4" t="n">
        <v>0.3</v>
      </c>
      <c r="G4119" s="5">
        <f>ROUND(E4119*(1+F4119),2)</f>
        <v>8.00</v>
      </c>
      <c r="H4119" s="5">
        <f>ROUND(G4119*NOTAS!$B$2,2)</f>
        <v>5770.76</v>
      </c>
      <c r="I4119" s="6">
        <f>ROUND(G4119*NOTAS!$B$3,0)</f>
        <v>25991</v>
      </c>
      <c r="J4119" s="2" t="n">
        <v>1</v>
      </c>
    </row>
    <row r="4120">
      <c r="A4120" s="2" t="inlineStr">
        <is>
          <t>RC142</t>
        </is>
      </c>
      <c r="B4120" s="2" t="inlineStr"/>
      <c r="C4120" s="2" t="inlineStr">
        <is>
          <t>VIDRIO FARO DELANTERO DERECHO CORCEL</t>
        </is>
      </c>
      <c r="D4120" s="2" t="inlineStr">
        <is>
          <t>RCD</t>
        </is>
      </c>
      <c r="E4120" s="3" t="n">
        <v>10</v>
      </c>
      <c r="F4120" s="4" t="n">
        <v>0.3</v>
      </c>
      <c r="G4120" s="5">
        <f>ROUND(E4120*(1+F4120),2)</f>
        <v>13.00</v>
      </c>
      <c r="H4120" s="5">
        <f>ROUND(G4120*NOTAS!$B$2,2)</f>
        <v>9377.49</v>
      </c>
      <c r="I4120" s="6">
        <f>ROUND(G4120*NOTAS!$B$3,0)</f>
        <v>42235</v>
      </c>
      <c r="J4120" s="2" t="n">
        <v>1</v>
      </c>
    </row>
    <row r="4121">
      <c r="A4121" s="2" t="inlineStr">
        <is>
          <t>118604</t>
        </is>
      </c>
      <c r="B4121" s="2" t="inlineStr"/>
      <c r="C4121" s="2" t="inlineStr">
        <is>
          <t>VIDRIO FARO DELANTERO DERECHO FIESTA 00/03</t>
        </is>
      </c>
      <c r="D4121" s="2" t="inlineStr">
        <is>
          <t>VIC</t>
        </is>
      </c>
      <c r="E4121" s="3" t="n">
        <v>10</v>
      </c>
      <c r="F4121" s="4" t="n">
        <v>0.3</v>
      </c>
      <c r="G4121" s="5">
        <f>ROUND(E4121*(1+F4121),2)</f>
        <v>13.00</v>
      </c>
      <c r="H4121" s="5">
        <f>ROUND(G4121*NOTAS!$B$2,2)</f>
        <v>9377.49</v>
      </c>
      <c r="I4121" s="6">
        <f>ROUND(G4121*NOTAS!$B$3,0)</f>
        <v>42235</v>
      </c>
      <c r="J4121" s="2" t="n">
        <v>1</v>
      </c>
    </row>
    <row r="4122">
      <c r="A4122" s="2" t="inlineStr">
        <is>
          <t>111604</t>
        </is>
      </c>
      <c r="B4122" s="2" t="inlineStr"/>
      <c r="C4122" s="2" t="inlineStr">
        <is>
          <t>VIDRIO FARO DELANTERO DERECHO F-PALIO/SIENA 96/99</t>
        </is>
      </c>
      <c r="D4122" s="2" t="inlineStr">
        <is>
          <t>VIC</t>
        </is>
      </c>
      <c r="E4122" s="3" t="n">
        <v>10</v>
      </c>
      <c r="F4122" s="4" t="n">
        <v>0.3</v>
      </c>
      <c r="G4122" s="5">
        <f>ROUND(E4122*(1+F4122),2)</f>
        <v>13.00</v>
      </c>
      <c r="H4122" s="5">
        <f>ROUND(G4122*NOTAS!$B$2,2)</f>
        <v>9377.49</v>
      </c>
      <c r="I4122" s="6">
        <f>ROUND(G4122*NOTAS!$B$3,0)</f>
        <v>42235</v>
      </c>
      <c r="J4122" s="2" t="n">
        <v>2</v>
      </c>
    </row>
    <row r="4123">
      <c r="A4123" s="2" t="inlineStr">
        <is>
          <t>103604</t>
        </is>
      </c>
      <c r="B4123" s="2" t="inlineStr"/>
      <c r="C4123" s="2" t="inlineStr">
        <is>
          <t>VIDRIO FARO DELANTERO DERECHO R-18</t>
        </is>
      </c>
      <c r="D4123" s="2" t="inlineStr">
        <is>
          <t>VIC</t>
        </is>
      </c>
      <c r="E4123" s="3" t="n">
        <v>10</v>
      </c>
      <c r="F4123" s="4" t="n">
        <v>0.3</v>
      </c>
      <c r="G4123" s="5">
        <f>ROUND(E4123*(1+F4123),2)</f>
        <v>13.00</v>
      </c>
      <c r="H4123" s="5">
        <f>ROUND(G4123*NOTAS!$B$2,2)</f>
        <v>9377.49</v>
      </c>
      <c r="I4123" s="6">
        <f>ROUND(G4123*NOTAS!$B$3,0)</f>
        <v>42235</v>
      </c>
      <c r="J4123" s="2" t="n">
        <v>6</v>
      </c>
    </row>
    <row r="4124">
      <c r="A4124" s="2" t="inlineStr">
        <is>
          <t>104604</t>
        </is>
      </c>
      <c r="B4124" s="2" t="inlineStr"/>
      <c r="C4124" s="2" t="inlineStr">
        <is>
          <t>VIDRIO FARO DELANTERO DERECHO R-FUEGO</t>
        </is>
      </c>
      <c r="D4124" s="2" t="inlineStr">
        <is>
          <t>VIC</t>
        </is>
      </c>
      <c r="E4124" s="3" t="n">
        <v>7</v>
      </c>
      <c r="F4124" s="4" t="n">
        <v>0.3</v>
      </c>
      <c r="G4124" s="5">
        <f>ROUND(E4124*(1+F4124),2)</f>
        <v>9.10</v>
      </c>
      <c r="H4124" s="5">
        <f>ROUND(G4124*NOTAS!$B$2,2)</f>
        <v>6564.24</v>
      </c>
      <c r="I4124" s="6">
        <f>ROUND(G4124*NOTAS!$B$3,0)</f>
        <v>29565</v>
      </c>
      <c r="J4124" s="2" t="n">
        <v>1</v>
      </c>
    </row>
    <row r="4125">
      <c r="A4125" s="2" t="inlineStr">
        <is>
          <t>102504</t>
        </is>
      </c>
      <c r="B4125" s="2" t="inlineStr"/>
      <c r="C4125" s="2" t="inlineStr">
        <is>
          <t>VIDRIO FARO DELANTERO IZQUIERDO F-147</t>
        </is>
      </c>
      <c r="D4125" s="2" t="inlineStr">
        <is>
          <t>VIC</t>
        </is>
      </c>
      <c r="E4125" s="3" t="n">
        <v>5</v>
      </c>
      <c r="F4125" s="4" t="n">
        <v>0.3</v>
      </c>
      <c r="G4125" s="5">
        <f>ROUND(E4125*(1+F4125),2)</f>
        <v>6.50</v>
      </c>
      <c r="H4125" s="5">
        <f>ROUND(G4125*NOTAS!$B$2,2)</f>
        <v>4688.75</v>
      </c>
      <c r="I4125" s="6">
        <f>ROUND(G4125*NOTAS!$B$3,0)</f>
        <v>21118</v>
      </c>
      <c r="J4125" s="2" t="n">
        <v>3</v>
      </c>
    </row>
    <row r="4126">
      <c r="A4126" s="2" t="inlineStr">
        <is>
          <t>104804</t>
        </is>
      </c>
      <c r="B4126" s="2" t="inlineStr"/>
      <c r="C4126" s="2" t="inlineStr">
        <is>
          <t>VIDRIO FARO DELANTERO IZQUIERDO F-REGATA</t>
        </is>
      </c>
      <c r="D4126" s="2" t="inlineStr">
        <is>
          <t>VIC</t>
        </is>
      </c>
      <c r="E4126" s="3" t="n">
        <v>10</v>
      </c>
      <c r="F4126" s="4" t="n">
        <v>0.3</v>
      </c>
      <c r="G4126" s="5">
        <f>ROUND(E4126*(1+F4126),2)</f>
        <v>13.00</v>
      </c>
      <c r="H4126" s="5">
        <f>ROUND(G4126*NOTAS!$B$2,2)</f>
        <v>9377.49</v>
      </c>
      <c r="I4126" s="6">
        <f>ROUND(G4126*NOTAS!$B$3,0)</f>
        <v>42235</v>
      </c>
      <c r="J4126" s="2" t="n">
        <v>3</v>
      </c>
    </row>
    <row r="4127">
      <c r="A4127" s="2" t="inlineStr">
        <is>
          <t>103704</t>
        </is>
      </c>
      <c r="B4127" s="2" t="inlineStr"/>
      <c r="C4127" s="2" t="inlineStr">
        <is>
          <t>VIDRIO FARO DELANTERO IZQUIERDO R-18</t>
        </is>
      </c>
      <c r="D4127" s="2" t="inlineStr">
        <is>
          <t>VIC</t>
        </is>
      </c>
      <c r="E4127" s="3" t="n">
        <v>10</v>
      </c>
      <c r="F4127" s="4" t="n">
        <v>0.3</v>
      </c>
      <c r="G4127" s="5">
        <f>ROUND(E4127*(1+F4127),2)</f>
        <v>13.00</v>
      </c>
      <c r="H4127" s="5">
        <f>ROUND(G4127*NOTAS!$B$2,2)</f>
        <v>9377.49</v>
      </c>
      <c r="I4127" s="6">
        <f>ROUND(G4127*NOTAS!$B$3,0)</f>
        <v>42235</v>
      </c>
      <c r="J4127" s="2" t="n">
        <v>5</v>
      </c>
    </row>
    <row r="4128">
      <c r="A4128" s="2" t="inlineStr">
        <is>
          <t>C11219L</t>
        </is>
      </c>
      <c r="B4128" s="2" t="inlineStr"/>
      <c r="C4128" s="2" t="inlineStr">
        <is>
          <t>VIDRIO FARO DELANTERO IZQUIERDO R-21 INY</t>
        </is>
      </c>
      <c r="D4128" s="2" t="inlineStr">
        <is>
          <t>TAKSIM GROUP</t>
        </is>
      </c>
      <c r="E4128" s="3" t="n">
        <v>10</v>
      </c>
      <c r="F4128" s="4" t="n">
        <v>0.3</v>
      </c>
      <c r="G4128" s="5">
        <f>ROUND(E4128*(1+F4128),2)</f>
        <v>13.00</v>
      </c>
      <c r="H4128" s="5">
        <f>ROUND(G4128*NOTAS!$B$2,2)</f>
        <v>9377.49</v>
      </c>
      <c r="I4128" s="6">
        <f>ROUND(G4128*NOTAS!$B$3,0)</f>
        <v>42235</v>
      </c>
      <c r="J4128" s="2" t="n">
        <v>3</v>
      </c>
    </row>
    <row r="4129">
      <c r="A4129" s="2" t="inlineStr">
        <is>
          <t>112904</t>
        </is>
      </c>
      <c r="B4129" s="2" t="inlineStr"/>
      <c r="C4129" s="2" t="inlineStr">
        <is>
          <t>VIDRIO FARO DELANTERO IZQUIERDO R-21 INY</t>
        </is>
      </c>
      <c r="D4129" s="2" t="inlineStr">
        <is>
          <t>VIC</t>
        </is>
      </c>
      <c r="E4129" s="3" t="n">
        <v>10</v>
      </c>
      <c r="F4129" s="4" t="n">
        <v>0.3</v>
      </c>
      <c r="G4129" s="5">
        <f>ROUND(E4129*(1+F4129),2)</f>
        <v>13.00</v>
      </c>
      <c r="H4129" s="5">
        <f>ROUND(G4129*NOTAS!$B$2,2)</f>
        <v>9377.49</v>
      </c>
      <c r="I4129" s="6">
        <f>ROUND(G4129*NOTAS!$B$3,0)</f>
        <v>42235</v>
      </c>
      <c r="J4129" s="2" t="n">
        <v>1</v>
      </c>
    </row>
  </sheetData>
  <autoFilter ref="A1:J4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5" customWidth="1" min="3" max="3"/>
  </cols>
  <sheetData>
    <row r="1">
      <c r="A1" s="7" t="inlineStr">
        <is>
          <t>PARÁMETROS DE CONVERSIÓN — editar las celdas amarillas recalcula toda la lista</t>
        </is>
      </c>
    </row>
    <row r="2">
      <c r="A2" s="2" t="inlineStr">
        <is>
          <t>Tasa Bs/USD (BCV)</t>
        </is>
      </c>
      <c r="B2" s="8" t="n">
        <v>721.3456</v>
      </c>
      <c r="C2" s="2" t="inlineStr">
        <is>
          <t>Banco Central de Venezuela, tipo de cambio de referencia del 13-07-2026 (bcv.org.ve via bcv.today)</t>
        </is>
      </c>
    </row>
    <row r="3">
      <c r="A3" s="2" t="inlineStr">
        <is>
          <t>Tasa COP/USD (TRM)</t>
        </is>
      </c>
      <c r="B3" s="8" t="n">
        <v>3248.87</v>
      </c>
      <c r="C3" s="2" t="inlineStr">
        <is>
          <t>TRM oficial Colombia vigente desde el 11-07-2026, Superfinanciera (datos.gov.co)</t>
        </is>
      </c>
    </row>
    <row r="5">
      <c r="A5" s="2" t="inlineStr">
        <is>
          <t>COSTO USD: dato original del archivo (la columna decía Bs pero estaba en dólares).</t>
        </is>
      </c>
    </row>
    <row r="6">
      <c r="A6" s="2" t="inlineStr">
        <is>
          <t>MARGEN: margen de venta fijo del 30%, el mismo aplicado en data/raw_ventas.xlsx.</t>
        </is>
      </c>
    </row>
    <row r="7">
      <c r="A7" s="2" t="inlineStr">
        <is>
          <t>PRECIO VENTA USD = COSTO USD × (1+MARGEN);  BS y COP se calculan con las tasas de arriba.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2026-07-14T04:12:52Z</dcterms:created>
  <dcterms:modified xmlns:dcterms="http://purl.org/dc/terms/" xmlns:xsi="http://www.w3.org/2001/XMLSchema-instance" xsi:type="dcterms:W3CDTF">2026-07-14T04:12:53Z</dcterms:modified>
</cp:coreProperties>
</file>